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User\My Drive\Bid Equity\Product\Plugin\"/>
    </mc:Choice>
  </mc:AlternateContent>
  <xr:revisionPtr revIDLastSave="0" documentId="13_ncr:1_{59C4A4A0-FC17-489F-A59B-5C1DA64E15F4}" xr6:coauthVersionLast="47" xr6:coauthVersionMax="47" xr10:uidLastSave="{00000000-0000-0000-0000-000000000000}"/>
  <bookViews>
    <workbookView xWindow="-120" yWindow="-120" windowWidth="30960" windowHeight="15720" activeTab="2" xr2:uid="{00000000-000D-0000-FFFF-FFFF00000000}"/>
  </bookViews>
  <sheets>
    <sheet name="All Tasks" sheetId="1" r:id="rId1"/>
    <sheet name="Summary by Workstream" sheetId="2" r:id="rId2"/>
    <sheet name="Effort Reduction Summary" sheetId="3" r:id="rId3"/>
    <sheet name="Real-World AI Impact" sheetId="4" r:id="rId4"/>
    <sheet name="Top 10 AI Applications" sheetId="5" r:id="rId5"/>
    <sheet name="Implementation Roadmap" sheetId="6" r:id="rId6"/>
    <sheet name="External Data Sources" sheetId="7" r:id="rId7"/>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0" i="4" l="1"/>
  <c r="F50" i="4"/>
  <c r="E50" i="4"/>
  <c r="G48" i="4"/>
  <c r="F48" i="4"/>
  <c r="E48" i="4"/>
  <c r="D42" i="4"/>
  <c r="E42" i="4" s="1"/>
  <c r="C42" i="4"/>
  <c r="B42" i="4"/>
  <c r="E41" i="4"/>
  <c r="E40" i="4"/>
  <c r="E39" i="4"/>
  <c r="E38" i="4"/>
  <c r="E37" i="4"/>
  <c r="E36" i="4"/>
  <c r="E35" i="4"/>
  <c r="E34" i="4"/>
  <c r="E33" i="4"/>
  <c r="E32" i="4"/>
  <c r="D95" i="3"/>
  <c r="F94" i="3"/>
  <c r="F93" i="3"/>
  <c r="F92" i="3"/>
  <c r="F91" i="3"/>
  <c r="F90" i="3"/>
  <c r="F89" i="3"/>
  <c r="F88" i="3"/>
  <c r="F87" i="3"/>
  <c r="D86" i="3"/>
  <c r="F85" i="3"/>
  <c r="F84" i="3"/>
  <c r="F83" i="3"/>
  <c r="F82" i="3"/>
  <c r="F81" i="3"/>
  <c r="F80" i="3"/>
  <c r="D79" i="3"/>
  <c r="F78" i="3"/>
  <c r="F77" i="3"/>
  <c r="F76" i="3"/>
  <c r="F75" i="3"/>
  <c r="F74" i="3"/>
  <c r="F73" i="3"/>
  <c r="F72" i="3"/>
  <c r="F71" i="3"/>
  <c r="F70" i="3"/>
  <c r="D69" i="3"/>
  <c r="F68" i="3"/>
  <c r="F67" i="3"/>
  <c r="F66" i="3"/>
  <c r="J65" i="3"/>
  <c r="F65" i="3"/>
  <c r="F64" i="3"/>
  <c r="F63" i="3"/>
  <c r="F62" i="3"/>
  <c r="J61" i="3"/>
  <c r="F61" i="3"/>
  <c r="F60" i="3"/>
  <c r="F59" i="3"/>
  <c r="J58" i="3"/>
  <c r="F58" i="3"/>
  <c r="J57" i="3"/>
  <c r="F57" i="3"/>
  <c r="J56" i="3"/>
  <c r="F56" i="3"/>
  <c r="F55" i="3"/>
  <c r="F54" i="3"/>
  <c r="F53" i="3"/>
  <c r="D52" i="3"/>
  <c r="F51" i="3"/>
  <c r="F50" i="3"/>
  <c r="F49" i="3"/>
  <c r="F48" i="3"/>
  <c r="F47" i="3"/>
  <c r="F46" i="3"/>
  <c r="D45" i="3"/>
  <c r="F44" i="3"/>
  <c r="F43" i="3"/>
  <c r="F42" i="3"/>
  <c r="F41" i="3"/>
  <c r="F40" i="3"/>
  <c r="F39" i="3"/>
  <c r="D38" i="3"/>
  <c r="F37" i="3"/>
  <c r="F36" i="3"/>
  <c r="F35" i="3"/>
  <c r="F34" i="3"/>
  <c r="F33" i="3"/>
  <c r="F32" i="3"/>
  <c r="D31" i="3"/>
  <c r="F30" i="3"/>
  <c r="F29" i="3"/>
  <c r="F28" i="3"/>
  <c r="F27" i="3"/>
  <c r="F26" i="3"/>
  <c r="F25" i="3"/>
  <c r="F24" i="3"/>
  <c r="D23" i="3"/>
  <c r="F22" i="3"/>
  <c r="F21" i="3"/>
  <c r="F20" i="3"/>
  <c r="F19" i="3"/>
  <c r="F18" i="3"/>
  <c r="F17" i="3"/>
  <c r="F16" i="3"/>
  <c r="F15" i="3"/>
  <c r="F14" i="3"/>
  <c r="F13" i="3"/>
  <c r="F12" i="3"/>
  <c r="F11" i="3"/>
  <c r="D10" i="3"/>
  <c r="F9" i="3"/>
  <c r="F8" i="3"/>
  <c r="F7" i="3"/>
  <c r="F6" i="3"/>
  <c r="F5" i="3"/>
  <c r="F4" i="3"/>
  <c r="F3" i="3"/>
  <c r="F2" i="3"/>
  <c r="G12" i="2"/>
  <c r="F11" i="2"/>
  <c r="E11" i="2"/>
  <c r="D11" i="2"/>
  <c r="C11" i="2"/>
  <c r="F10" i="2"/>
  <c r="E10" i="2"/>
  <c r="D10" i="2"/>
  <c r="C10" i="2"/>
  <c r="F9" i="2"/>
  <c r="E9" i="2"/>
  <c r="D9" i="2"/>
  <c r="C9" i="2"/>
  <c r="F8" i="2"/>
  <c r="E8" i="2"/>
  <c r="D8" i="2"/>
  <c r="C8" i="2"/>
  <c r="F7" i="2"/>
  <c r="E7" i="2"/>
  <c r="D7" i="2"/>
  <c r="C7" i="2"/>
  <c r="F6" i="2"/>
  <c r="E6" i="2"/>
  <c r="D6" i="2"/>
  <c r="C6" i="2"/>
  <c r="F5" i="2"/>
  <c r="E5" i="2"/>
  <c r="D5" i="2"/>
  <c r="C5" i="2"/>
  <c r="F4" i="2"/>
  <c r="E4" i="2"/>
  <c r="D4" i="2"/>
  <c r="C4" i="2"/>
  <c r="F3" i="2"/>
  <c r="E3" i="2"/>
  <c r="D3" i="2"/>
  <c r="C3" i="2"/>
  <c r="F2" i="2"/>
  <c r="E2" i="2"/>
  <c r="D2" i="2"/>
  <c r="C2" i="2"/>
  <c r="C12" i="2" s="1"/>
  <c r="O297" i="1"/>
  <c r="L297" i="1"/>
  <c r="O296" i="1"/>
  <c r="L296" i="1"/>
  <c r="P296" i="1" s="1"/>
  <c r="O295" i="1"/>
  <c r="G93" i="3" s="1"/>
  <c r="L295" i="1"/>
  <c r="O294" i="1"/>
  <c r="G92" i="3" s="1"/>
  <c r="L294" i="1"/>
  <c r="O293" i="1"/>
  <c r="L293" i="1"/>
  <c r="P293" i="1" s="1"/>
  <c r="P292" i="1"/>
  <c r="O292" i="1"/>
  <c r="G91" i="3" s="1"/>
  <c r="L292" i="1"/>
  <c r="P291" i="1"/>
  <c r="O291" i="1"/>
  <c r="L291" i="1"/>
  <c r="O290" i="1"/>
  <c r="G90" i="3" s="1"/>
  <c r="L290" i="1"/>
  <c r="P290" i="1" s="1"/>
  <c r="H90" i="3" s="1"/>
  <c r="O289" i="1"/>
  <c r="G89" i="3" s="1"/>
  <c r="L289" i="1"/>
  <c r="O288" i="1"/>
  <c r="G88" i="3" s="1"/>
  <c r="L288" i="1"/>
  <c r="P288" i="1" s="1"/>
  <c r="H88" i="3" s="1"/>
  <c r="O287" i="1"/>
  <c r="P287" i="1" s="1"/>
  <c r="L287" i="1"/>
  <c r="O286" i="1"/>
  <c r="P286" i="1" s="1"/>
  <c r="L286" i="1"/>
  <c r="O285" i="1"/>
  <c r="P285" i="1" s="1"/>
  <c r="L285" i="1"/>
  <c r="O284" i="1"/>
  <c r="G85" i="3" s="1"/>
  <c r="L284" i="1"/>
  <c r="P284" i="1" s="1"/>
  <c r="H85" i="3" s="1"/>
  <c r="P283" i="1"/>
  <c r="H84" i="3" s="1"/>
  <c r="O283" i="1"/>
  <c r="G84" i="3" s="1"/>
  <c r="L283" i="1"/>
  <c r="P282" i="1"/>
  <c r="O282" i="1"/>
  <c r="L282" i="1"/>
  <c r="O281" i="1"/>
  <c r="G83" i="3" s="1"/>
  <c r="L281" i="1"/>
  <c r="P281" i="1" s="1"/>
  <c r="H83" i="3" s="1"/>
  <c r="O280" i="1"/>
  <c r="L280" i="1"/>
  <c r="P279" i="1"/>
  <c r="O279" i="1"/>
  <c r="L279" i="1"/>
  <c r="O278" i="1"/>
  <c r="P278" i="1" s="1"/>
  <c r="L278" i="1"/>
  <c r="P277" i="1"/>
  <c r="O277" i="1"/>
  <c r="G81" i="3" s="1"/>
  <c r="L277" i="1"/>
  <c r="P276" i="1"/>
  <c r="O276" i="1"/>
  <c r="L276" i="1"/>
  <c r="O275" i="1"/>
  <c r="L275" i="1"/>
  <c r="P275" i="1" s="1"/>
  <c r="P274" i="1"/>
  <c r="O274" i="1"/>
  <c r="L274" i="1"/>
  <c r="O273" i="1"/>
  <c r="L273" i="1"/>
  <c r="P273" i="1" s="1"/>
  <c r="O272" i="1"/>
  <c r="L272" i="1"/>
  <c r="P272" i="1" s="1"/>
  <c r="P271" i="1"/>
  <c r="H77" i="3" s="1"/>
  <c r="O271" i="1"/>
  <c r="G77" i="3" s="1"/>
  <c r="L271" i="1"/>
  <c r="P270" i="1"/>
  <c r="H76" i="3" s="1"/>
  <c r="O270" i="1"/>
  <c r="G76" i="3" s="1"/>
  <c r="L270" i="1"/>
  <c r="O269" i="1"/>
  <c r="L269" i="1"/>
  <c r="P269" i="1" s="1"/>
  <c r="O268" i="1"/>
  <c r="L268" i="1"/>
  <c r="P268" i="1" s="1"/>
  <c r="H75" i="3" s="1"/>
  <c r="O267" i="1"/>
  <c r="L267" i="1"/>
  <c r="P267" i="1" s="1"/>
  <c r="O266" i="1"/>
  <c r="G74" i="3" s="1"/>
  <c r="L266" i="1"/>
  <c r="O265" i="1"/>
  <c r="L265" i="1"/>
  <c r="P265" i="1" s="1"/>
  <c r="O264" i="1"/>
  <c r="L264" i="1"/>
  <c r="P264" i="1" s="1"/>
  <c r="O263" i="1"/>
  <c r="P263" i="1" s="1"/>
  <c r="L263" i="1"/>
  <c r="P262" i="1"/>
  <c r="O262" i="1"/>
  <c r="L262" i="1"/>
  <c r="O261" i="1"/>
  <c r="L261" i="1"/>
  <c r="P261" i="1" s="1"/>
  <c r="P260" i="1"/>
  <c r="O260" i="1"/>
  <c r="L260" i="1"/>
  <c r="P259" i="1"/>
  <c r="O259" i="1"/>
  <c r="G71" i="3" s="1"/>
  <c r="L259" i="1"/>
  <c r="O258" i="1"/>
  <c r="L258" i="1"/>
  <c r="P258" i="1" s="1"/>
  <c r="O257" i="1"/>
  <c r="L257" i="1"/>
  <c r="O256" i="1"/>
  <c r="L256" i="1"/>
  <c r="P256" i="1" s="1"/>
  <c r="O255" i="1"/>
  <c r="L255" i="1"/>
  <c r="O254" i="1"/>
  <c r="P254" i="1" s="1"/>
  <c r="L254" i="1"/>
  <c r="O253" i="1"/>
  <c r="L253" i="1"/>
  <c r="O252" i="1"/>
  <c r="L252" i="1"/>
  <c r="P252" i="1" s="1"/>
  <c r="P251" i="1"/>
  <c r="O251" i="1"/>
  <c r="G66" i="3" s="1"/>
  <c r="L251" i="1"/>
  <c r="P250" i="1"/>
  <c r="O250" i="1"/>
  <c r="L250" i="1"/>
  <c r="O249" i="1"/>
  <c r="G65" i="3" s="1"/>
  <c r="L249" i="1"/>
  <c r="P249" i="1" s="1"/>
  <c r="H65" i="3" s="1"/>
  <c r="I65" i="3" s="1"/>
  <c r="O248" i="1"/>
  <c r="L248" i="1"/>
  <c r="O247" i="1"/>
  <c r="P247" i="1" s="1"/>
  <c r="L247" i="1"/>
  <c r="P246" i="1"/>
  <c r="O246" i="1"/>
  <c r="L246" i="1"/>
  <c r="P245" i="1"/>
  <c r="H63" i="3" s="1"/>
  <c r="O245" i="1"/>
  <c r="G63" i="3" s="1"/>
  <c r="L245" i="1"/>
  <c r="O244" i="1"/>
  <c r="L244" i="1"/>
  <c r="P244" i="1" s="1"/>
  <c r="O243" i="1"/>
  <c r="L243" i="1"/>
  <c r="P243" i="1" s="1"/>
  <c r="P242" i="1"/>
  <c r="O242" i="1"/>
  <c r="G62" i="3" s="1"/>
  <c r="L242" i="1"/>
  <c r="O241" i="1"/>
  <c r="L241" i="1"/>
  <c r="O240" i="1"/>
  <c r="G61" i="3" s="1"/>
  <c r="L240" i="1"/>
  <c r="P240" i="1" s="1"/>
  <c r="P239" i="1"/>
  <c r="H60" i="3" s="1"/>
  <c r="O239" i="1"/>
  <c r="G60" i="3" s="1"/>
  <c r="L239" i="1"/>
  <c r="P238" i="1"/>
  <c r="O238" i="1"/>
  <c r="L238" i="1"/>
  <c r="O237" i="1"/>
  <c r="G59" i="3" s="1"/>
  <c r="L237" i="1"/>
  <c r="P237" i="1" s="1"/>
  <c r="H59" i="3" s="1"/>
  <c r="P236" i="1"/>
  <c r="O236" i="1"/>
  <c r="L236" i="1"/>
  <c r="O235" i="1"/>
  <c r="L235" i="1"/>
  <c r="P235" i="1" s="1"/>
  <c r="H58" i="3" s="1"/>
  <c r="I58" i="3" s="1"/>
  <c r="O234" i="1"/>
  <c r="G57" i="3" s="1"/>
  <c r="L234" i="1"/>
  <c r="O233" i="1"/>
  <c r="L233" i="1"/>
  <c r="P233" i="1" s="1"/>
  <c r="O232" i="1"/>
  <c r="L232" i="1"/>
  <c r="P232" i="1" s="1"/>
  <c r="H56" i="3" s="1"/>
  <c r="I56" i="3" s="1"/>
  <c r="O231" i="1"/>
  <c r="G55" i="3" s="1"/>
  <c r="L231" i="1"/>
  <c r="P230" i="1"/>
  <c r="H54" i="3" s="1"/>
  <c r="O230" i="1"/>
  <c r="G54" i="3" s="1"/>
  <c r="L230" i="1"/>
  <c r="O229" i="1"/>
  <c r="L229" i="1"/>
  <c r="P229" i="1" s="1"/>
  <c r="P228" i="1"/>
  <c r="O228" i="1"/>
  <c r="G53" i="3" s="1"/>
  <c r="L228" i="1"/>
  <c r="P227" i="1"/>
  <c r="O227" i="1"/>
  <c r="L227" i="1"/>
  <c r="O226" i="1"/>
  <c r="L226" i="1"/>
  <c r="P226" i="1" s="1"/>
  <c r="O225" i="1"/>
  <c r="G51" i="3" s="1"/>
  <c r="L225" i="1"/>
  <c r="O224" i="1"/>
  <c r="L224" i="1"/>
  <c r="P224" i="1" s="1"/>
  <c r="O223" i="1"/>
  <c r="G50" i="3" s="1"/>
  <c r="L223" i="1"/>
  <c r="O222" i="1"/>
  <c r="P222" i="1" s="1"/>
  <c r="L222" i="1"/>
  <c r="O221" i="1"/>
  <c r="L221" i="1"/>
  <c r="O220" i="1"/>
  <c r="L220" i="1"/>
  <c r="P220" i="1" s="1"/>
  <c r="P219" i="1"/>
  <c r="O219" i="1"/>
  <c r="L219" i="1"/>
  <c r="O218" i="1"/>
  <c r="G48" i="3" s="1"/>
  <c r="L218" i="1"/>
  <c r="P218" i="1" s="1"/>
  <c r="H48" i="3" s="1"/>
  <c r="O217" i="1"/>
  <c r="L217" i="1"/>
  <c r="P217" i="1" s="1"/>
  <c r="O216" i="1"/>
  <c r="L216" i="1"/>
  <c r="O215" i="1"/>
  <c r="L215" i="1"/>
  <c r="P214" i="1"/>
  <c r="O214" i="1"/>
  <c r="L214" i="1"/>
  <c r="P213" i="1"/>
  <c r="O213" i="1"/>
  <c r="L213" i="1"/>
  <c r="O212" i="1"/>
  <c r="L212" i="1"/>
  <c r="P212" i="1" s="1"/>
  <c r="O211" i="1"/>
  <c r="L211" i="1"/>
  <c r="P211" i="1" s="1"/>
  <c r="P210" i="1"/>
  <c r="O210" i="1"/>
  <c r="L210" i="1"/>
  <c r="O209" i="1"/>
  <c r="L209" i="1"/>
  <c r="P209" i="1" s="1"/>
  <c r="O208" i="1"/>
  <c r="L208" i="1"/>
  <c r="P208" i="1" s="1"/>
  <c r="P207" i="1"/>
  <c r="H43" i="3" s="1"/>
  <c r="O207" i="1"/>
  <c r="G43" i="3" s="1"/>
  <c r="L207" i="1"/>
  <c r="P206" i="1"/>
  <c r="O206" i="1"/>
  <c r="L206" i="1"/>
  <c r="O205" i="1"/>
  <c r="L205" i="1"/>
  <c r="P205" i="1" s="1"/>
  <c r="P204" i="1"/>
  <c r="O204" i="1"/>
  <c r="L204" i="1"/>
  <c r="P203" i="1"/>
  <c r="O203" i="1"/>
  <c r="L203" i="1"/>
  <c r="O202" i="1"/>
  <c r="P202" i="1" s="1"/>
  <c r="L202" i="1"/>
  <c r="O201" i="1"/>
  <c r="L201" i="1"/>
  <c r="P201" i="1" s="1"/>
  <c r="O200" i="1"/>
  <c r="L200" i="1"/>
  <c r="P200" i="1" s="1"/>
  <c r="O199" i="1"/>
  <c r="P199" i="1" s="1"/>
  <c r="L199" i="1"/>
  <c r="P198" i="1"/>
  <c r="O198" i="1"/>
  <c r="L198" i="1"/>
  <c r="O197" i="1"/>
  <c r="L197" i="1"/>
  <c r="P197" i="1" s="1"/>
  <c r="H40" i="3" s="1"/>
  <c r="P196" i="1"/>
  <c r="O196" i="1"/>
  <c r="L196" i="1"/>
  <c r="P195" i="1"/>
  <c r="O195" i="1"/>
  <c r="L195" i="1"/>
  <c r="O194" i="1"/>
  <c r="L194" i="1"/>
  <c r="P194" i="1" s="1"/>
  <c r="O193" i="1"/>
  <c r="L193" i="1"/>
  <c r="O192" i="1"/>
  <c r="L192" i="1"/>
  <c r="P192" i="1" s="1"/>
  <c r="O191" i="1"/>
  <c r="P191" i="1" s="1"/>
  <c r="L191" i="1"/>
  <c r="O190" i="1"/>
  <c r="G37" i="3" s="1"/>
  <c r="L190" i="1"/>
  <c r="O189" i="1"/>
  <c r="P189" i="1" s="1"/>
  <c r="L189" i="1"/>
  <c r="O188" i="1"/>
  <c r="L188" i="1"/>
  <c r="P188" i="1" s="1"/>
  <c r="P187" i="1"/>
  <c r="O187" i="1"/>
  <c r="G36" i="3" s="1"/>
  <c r="L187" i="1"/>
  <c r="O186" i="1"/>
  <c r="L186" i="1"/>
  <c r="P186" i="1" s="1"/>
  <c r="O185" i="1"/>
  <c r="L185" i="1"/>
  <c r="P185" i="1" s="1"/>
  <c r="O184" i="1"/>
  <c r="G35" i="3" s="1"/>
  <c r="L184" i="1"/>
  <c r="O183" i="1"/>
  <c r="P183" i="1" s="1"/>
  <c r="L183" i="1"/>
  <c r="P182" i="1"/>
  <c r="O182" i="1"/>
  <c r="L182" i="1"/>
  <c r="P181" i="1"/>
  <c r="O181" i="1"/>
  <c r="G34" i="3" s="1"/>
  <c r="L181" i="1"/>
  <c r="O180" i="1"/>
  <c r="L180" i="1"/>
  <c r="P180" i="1" s="1"/>
  <c r="O179" i="1"/>
  <c r="L179" i="1"/>
  <c r="P179" i="1" s="1"/>
  <c r="P178" i="1"/>
  <c r="O178" i="1"/>
  <c r="G33" i="3" s="1"/>
  <c r="L178" i="1"/>
  <c r="O177" i="1"/>
  <c r="L177" i="1"/>
  <c r="P177" i="1" s="1"/>
  <c r="O176" i="1"/>
  <c r="L176" i="1"/>
  <c r="P176" i="1" s="1"/>
  <c r="P175" i="1"/>
  <c r="O175" i="1"/>
  <c r="L175" i="1"/>
  <c r="P174" i="1"/>
  <c r="O174" i="1"/>
  <c r="L174" i="1"/>
  <c r="O173" i="1"/>
  <c r="L173" i="1"/>
  <c r="P173" i="1" s="1"/>
  <c r="P172" i="1"/>
  <c r="O172" i="1"/>
  <c r="L172" i="1"/>
  <c r="P171" i="1"/>
  <c r="O171" i="1"/>
  <c r="L171" i="1"/>
  <c r="O170" i="1"/>
  <c r="P170" i="1" s="1"/>
  <c r="L170" i="1"/>
  <c r="O169" i="1"/>
  <c r="L169" i="1"/>
  <c r="P169" i="1" s="1"/>
  <c r="O168" i="1"/>
  <c r="L168" i="1"/>
  <c r="P168" i="1" s="1"/>
  <c r="O167" i="1"/>
  <c r="P167" i="1" s="1"/>
  <c r="L167" i="1"/>
  <c r="P166" i="1"/>
  <c r="O166" i="1"/>
  <c r="L166" i="1"/>
  <c r="O165" i="1"/>
  <c r="L165" i="1"/>
  <c r="P165" i="1" s="1"/>
  <c r="H29" i="3" s="1"/>
  <c r="P164" i="1"/>
  <c r="O164" i="1"/>
  <c r="L164" i="1"/>
  <c r="P163" i="1"/>
  <c r="O163" i="1"/>
  <c r="L163" i="1"/>
  <c r="O162" i="1"/>
  <c r="L162" i="1"/>
  <c r="P162" i="1" s="1"/>
  <c r="O161" i="1"/>
  <c r="L161" i="1"/>
  <c r="O160" i="1"/>
  <c r="L160" i="1"/>
  <c r="P160" i="1" s="1"/>
  <c r="O159" i="1"/>
  <c r="P159" i="1" s="1"/>
  <c r="L159" i="1"/>
  <c r="O158" i="1"/>
  <c r="P158" i="1" s="1"/>
  <c r="L158" i="1"/>
  <c r="O157" i="1"/>
  <c r="P157" i="1" s="1"/>
  <c r="L157" i="1"/>
  <c r="O156" i="1"/>
  <c r="L156" i="1"/>
  <c r="P156" i="1" s="1"/>
  <c r="P155" i="1"/>
  <c r="O155" i="1"/>
  <c r="L155" i="1"/>
  <c r="O154" i="1"/>
  <c r="L154" i="1"/>
  <c r="P154" i="1" s="1"/>
  <c r="O153" i="1"/>
  <c r="L153" i="1"/>
  <c r="P153" i="1" s="1"/>
  <c r="O152" i="1"/>
  <c r="L152" i="1"/>
  <c r="O151" i="1"/>
  <c r="P151" i="1" s="1"/>
  <c r="L151" i="1"/>
  <c r="P150" i="1"/>
  <c r="O150" i="1"/>
  <c r="L150" i="1"/>
  <c r="P149" i="1"/>
  <c r="O149" i="1"/>
  <c r="L149" i="1"/>
  <c r="O148" i="1"/>
  <c r="L148" i="1"/>
  <c r="P148" i="1" s="1"/>
  <c r="O147" i="1"/>
  <c r="L147" i="1"/>
  <c r="P147" i="1" s="1"/>
  <c r="P146" i="1"/>
  <c r="O146" i="1"/>
  <c r="L146" i="1"/>
  <c r="O145" i="1"/>
  <c r="L145" i="1"/>
  <c r="P145" i="1" s="1"/>
  <c r="O144" i="1"/>
  <c r="L144" i="1"/>
  <c r="P144" i="1" s="1"/>
  <c r="P143" i="1"/>
  <c r="O143" i="1"/>
  <c r="L143" i="1"/>
  <c r="P142" i="1"/>
  <c r="O142" i="1"/>
  <c r="L142" i="1"/>
  <c r="O141" i="1"/>
  <c r="L141" i="1"/>
  <c r="P141" i="1" s="1"/>
  <c r="P140" i="1"/>
  <c r="O140" i="1"/>
  <c r="L140" i="1"/>
  <c r="P139" i="1"/>
  <c r="O139" i="1"/>
  <c r="L139" i="1"/>
  <c r="O138" i="1"/>
  <c r="P138" i="1" s="1"/>
  <c r="L138" i="1"/>
  <c r="O137" i="1"/>
  <c r="L137" i="1"/>
  <c r="P137" i="1" s="1"/>
  <c r="O136" i="1"/>
  <c r="L136" i="1"/>
  <c r="P136" i="1" s="1"/>
  <c r="O135" i="1"/>
  <c r="P135" i="1" s="1"/>
  <c r="L135" i="1"/>
  <c r="P134" i="1"/>
  <c r="O134" i="1"/>
  <c r="L134" i="1"/>
  <c r="O133" i="1"/>
  <c r="P133" i="1" s="1"/>
  <c r="L133" i="1"/>
  <c r="P132" i="1"/>
  <c r="O132" i="1"/>
  <c r="L132" i="1"/>
  <c r="P131" i="1"/>
  <c r="O131" i="1"/>
  <c r="L131" i="1"/>
  <c r="O130" i="1"/>
  <c r="L130" i="1"/>
  <c r="P130" i="1" s="1"/>
  <c r="H22" i="3" s="1"/>
  <c r="O129" i="1"/>
  <c r="L129" i="1"/>
  <c r="O128" i="1"/>
  <c r="L128" i="1"/>
  <c r="P128" i="1" s="1"/>
  <c r="O127" i="1"/>
  <c r="P127" i="1" s="1"/>
  <c r="L127" i="1"/>
  <c r="O126" i="1"/>
  <c r="G21" i="3" s="1"/>
  <c r="L126" i="1"/>
  <c r="O125" i="1"/>
  <c r="P125" i="1" s="1"/>
  <c r="L125" i="1"/>
  <c r="O124" i="1"/>
  <c r="L124" i="1"/>
  <c r="P124" i="1" s="1"/>
  <c r="P123" i="1"/>
  <c r="O123" i="1"/>
  <c r="L123" i="1"/>
  <c r="O122" i="1"/>
  <c r="L122" i="1"/>
  <c r="P122" i="1" s="1"/>
  <c r="O121" i="1"/>
  <c r="L121" i="1"/>
  <c r="P121" i="1" s="1"/>
  <c r="O120" i="1"/>
  <c r="G20" i="3" s="1"/>
  <c r="L120" i="1"/>
  <c r="O119" i="1"/>
  <c r="P119" i="1" s="1"/>
  <c r="L119" i="1"/>
  <c r="P118" i="1"/>
  <c r="O118" i="1"/>
  <c r="L118" i="1"/>
  <c r="P117" i="1"/>
  <c r="O117" i="1"/>
  <c r="L117" i="1"/>
  <c r="O116" i="1"/>
  <c r="L116" i="1"/>
  <c r="P116" i="1" s="1"/>
  <c r="O115" i="1"/>
  <c r="G19" i="3" s="1"/>
  <c r="L115" i="1"/>
  <c r="P115" i="1" s="1"/>
  <c r="H19" i="3" s="1"/>
  <c r="P114" i="1"/>
  <c r="O114" i="1"/>
  <c r="L114" i="1"/>
  <c r="O113" i="1"/>
  <c r="L113" i="1"/>
  <c r="O112" i="1"/>
  <c r="L112" i="1"/>
  <c r="P112" i="1" s="1"/>
  <c r="P111" i="1"/>
  <c r="O111" i="1"/>
  <c r="L111" i="1"/>
  <c r="O110" i="1"/>
  <c r="L110" i="1"/>
  <c r="P110" i="1" s="1"/>
  <c r="O109" i="1"/>
  <c r="L109" i="1"/>
  <c r="P109" i="1" s="1"/>
  <c r="P108" i="1"/>
  <c r="O108" i="1"/>
  <c r="L108" i="1"/>
  <c r="O107" i="1"/>
  <c r="L107" i="1"/>
  <c r="O106" i="1"/>
  <c r="P106" i="1" s="1"/>
  <c r="L106" i="1"/>
  <c r="O105" i="1"/>
  <c r="L105" i="1"/>
  <c r="P105" i="1" s="1"/>
  <c r="O104" i="1"/>
  <c r="L104" i="1"/>
  <c r="P104" i="1" s="1"/>
  <c r="O103" i="1"/>
  <c r="P103" i="1" s="1"/>
  <c r="L103" i="1"/>
  <c r="O102" i="1"/>
  <c r="P102" i="1" s="1"/>
  <c r="L102" i="1"/>
  <c r="O101" i="1"/>
  <c r="L101" i="1"/>
  <c r="P101" i="1" s="1"/>
  <c r="P100" i="1"/>
  <c r="O100" i="1"/>
  <c r="L100" i="1"/>
  <c r="O99" i="1"/>
  <c r="L99" i="1"/>
  <c r="P99" i="1" s="1"/>
  <c r="O98" i="1"/>
  <c r="L98" i="1"/>
  <c r="P98" i="1" s="1"/>
  <c r="O97" i="1"/>
  <c r="L97" i="1"/>
  <c r="O96" i="1"/>
  <c r="L96" i="1"/>
  <c r="P96" i="1" s="1"/>
  <c r="O95" i="1"/>
  <c r="P95" i="1" s="1"/>
  <c r="L95" i="1"/>
  <c r="P94" i="1"/>
  <c r="O94" i="1"/>
  <c r="L94" i="1"/>
  <c r="O93" i="1"/>
  <c r="L93" i="1"/>
  <c r="P93" i="1" s="1"/>
  <c r="P92" i="1"/>
  <c r="O92" i="1"/>
  <c r="L92" i="1"/>
  <c r="O91" i="1"/>
  <c r="P91" i="1" s="1"/>
  <c r="L91" i="1"/>
  <c r="O90" i="1"/>
  <c r="L90" i="1"/>
  <c r="P90" i="1" s="1"/>
  <c r="H15" i="3" s="1"/>
  <c r="O89" i="1"/>
  <c r="L89" i="1"/>
  <c r="O88" i="1"/>
  <c r="P88" i="1" s="1"/>
  <c r="L88" i="1"/>
  <c r="P87" i="1"/>
  <c r="O87" i="1"/>
  <c r="L87" i="1"/>
  <c r="P86" i="1"/>
  <c r="O86" i="1"/>
  <c r="L86" i="1"/>
  <c r="O85" i="1"/>
  <c r="L85" i="1"/>
  <c r="P85" i="1" s="1"/>
  <c r="O84" i="1"/>
  <c r="L84" i="1"/>
  <c r="P84" i="1" s="1"/>
  <c r="O83" i="1"/>
  <c r="P83" i="1" s="1"/>
  <c r="L83" i="1"/>
  <c r="O82" i="1"/>
  <c r="L82" i="1"/>
  <c r="P82" i="1" s="1"/>
  <c r="O81" i="1"/>
  <c r="L81" i="1"/>
  <c r="O80" i="1"/>
  <c r="P80" i="1" s="1"/>
  <c r="L80" i="1"/>
  <c r="O79" i="1"/>
  <c r="P79" i="1" s="1"/>
  <c r="L79" i="1"/>
  <c r="O78" i="1"/>
  <c r="P78" i="1" s="1"/>
  <c r="L78" i="1"/>
  <c r="O77" i="1"/>
  <c r="P77" i="1" s="1"/>
  <c r="L77" i="1"/>
  <c r="O76" i="1"/>
  <c r="L76" i="1"/>
  <c r="P76" i="1" s="1"/>
  <c r="P75" i="1"/>
  <c r="O75" i="1"/>
  <c r="L75" i="1"/>
  <c r="O74" i="1"/>
  <c r="L74" i="1"/>
  <c r="O73" i="1"/>
  <c r="L73" i="1"/>
  <c r="P73" i="1" s="1"/>
  <c r="P72" i="1"/>
  <c r="O72" i="1"/>
  <c r="L72" i="1"/>
  <c r="O71" i="1"/>
  <c r="P71" i="1" s="1"/>
  <c r="L71" i="1"/>
  <c r="O70" i="1"/>
  <c r="L70" i="1"/>
  <c r="P70" i="1" s="1"/>
  <c r="P69" i="1"/>
  <c r="O69" i="1"/>
  <c r="L69" i="1"/>
  <c r="O68" i="1"/>
  <c r="L68" i="1"/>
  <c r="P68" i="1" s="1"/>
  <c r="O67" i="1"/>
  <c r="P67" i="1" s="1"/>
  <c r="L67" i="1"/>
  <c r="O66" i="1"/>
  <c r="P66" i="1" s="1"/>
  <c r="L66" i="1"/>
  <c r="O65" i="1"/>
  <c r="L65" i="1"/>
  <c r="O64" i="1"/>
  <c r="P64" i="1" s="1"/>
  <c r="L64" i="1"/>
  <c r="O63" i="1"/>
  <c r="L63" i="1"/>
  <c r="O62" i="1"/>
  <c r="L62" i="1"/>
  <c r="P62" i="1" s="1"/>
  <c r="P61" i="1"/>
  <c r="O61" i="1"/>
  <c r="L61" i="1"/>
  <c r="O60" i="1"/>
  <c r="L60" i="1"/>
  <c r="P60" i="1" s="1"/>
  <c r="O59" i="1"/>
  <c r="L59" i="1"/>
  <c r="P59" i="1" s="1"/>
  <c r="P58" i="1"/>
  <c r="O58" i="1"/>
  <c r="L58" i="1"/>
  <c r="O57" i="1"/>
  <c r="L57" i="1"/>
  <c r="P57" i="1" s="1"/>
  <c r="H9" i="3" s="1"/>
  <c r="O56" i="1"/>
  <c r="P56" i="1" s="1"/>
  <c r="L56" i="1"/>
  <c r="O55" i="1"/>
  <c r="P55" i="1" s="1"/>
  <c r="L55" i="1"/>
  <c r="O54" i="1"/>
  <c r="L54" i="1"/>
  <c r="P54" i="1" s="1"/>
  <c r="O53" i="1"/>
  <c r="P53" i="1" s="1"/>
  <c r="L53" i="1"/>
  <c r="O52" i="1"/>
  <c r="L52" i="1"/>
  <c r="P52" i="1" s="1"/>
  <c r="O51" i="1"/>
  <c r="L51" i="1"/>
  <c r="P50" i="1"/>
  <c r="O50" i="1"/>
  <c r="L50" i="1"/>
  <c r="O49" i="1"/>
  <c r="L49" i="1"/>
  <c r="P49" i="1" s="1"/>
  <c r="O48" i="1"/>
  <c r="P48" i="1" s="1"/>
  <c r="L48" i="1"/>
  <c r="O47" i="1"/>
  <c r="P47" i="1" s="1"/>
  <c r="L47" i="1"/>
  <c r="O46" i="1"/>
  <c r="L46" i="1"/>
  <c r="P46" i="1" s="1"/>
  <c r="O45" i="1"/>
  <c r="P45" i="1" s="1"/>
  <c r="L45" i="1"/>
  <c r="O44" i="1"/>
  <c r="L44" i="1"/>
  <c r="O43" i="1"/>
  <c r="L43" i="1"/>
  <c r="P43" i="1" s="1"/>
  <c r="P42" i="1"/>
  <c r="O42" i="1"/>
  <c r="L42" i="1"/>
  <c r="O41" i="1"/>
  <c r="L41" i="1"/>
  <c r="P41" i="1" s="1"/>
  <c r="O40" i="1"/>
  <c r="L40" i="1"/>
  <c r="P40" i="1" s="1"/>
  <c r="O39" i="1"/>
  <c r="L39" i="1"/>
  <c r="O38" i="1"/>
  <c r="L38" i="1"/>
  <c r="P38" i="1" s="1"/>
  <c r="P37" i="1"/>
  <c r="O37" i="1"/>
  <c r="L37" i="1"/>
  <c r="O36" i="1"/>
  <c r="L36" i="1"/>
  <c r="P36" i="1" s="1"/>
  <c r="O35" i="1"/>
  <c r="L35" i="1"/>
  <c r="P35" i="1" s="1"/>
  <c r="P34" i="1"/>
  <c r="O34" i="1"/>
  <c r="L34" i="1"/>
  <c r="O33" i="1"/>
  <c r="L33" i="1"/>
  <c r="P33" i="1" s="1"/>
  <c r="O32" i="1"/>
  <c r="L32" i="1"/>
  <c r="P32" i="1" s="1"/>
  <c r="O31" i="1"/>
  <c r="L31" i="1"/>
  <c r="O30" i="1"/>
  <c r="L30" i="1"/>
  <c r="P30" i="1" s="1"/>
  <c r="P29" i="1"/>
  <c r="O29" i="1"/>
  <c r="L29" i="1"/>
  <c r="P28" i="1"/>
  <c r="O28" i="1"/>
  <c r="L28" i="1"/>
  <c r="O27" i="1"/>
  <c r="L27" i="1"/>
  <c r="P27" i="1" s="1"/>
  <c r="P26" i="1"/>
  <c r="O26" i="1"/>
  <c r="L26" i="1"/>
  <c r="O25" i="1"/>
  <c r="L25" i="1"/>
  <c r="P25" i="1" s="1"/>
  <c r="O24" i="1"/>
  <c r="L24" i="1"/>
  <c r="P24" i="1" s="1"/>
  <c r="O23" i="1"/>
  <c r="P23" i="1" s="1"/>
  <c r="L23" i="1"/>
  <c r="O22" i="1"/>
  <c r="L22" i="1"/>
  <c r="P22" i="1" s="1"/>
  <c r="P21" i="1"/>
  <c r="O21" i="1"/>
  <c r="L21" i="1"/>
  <c r="O20" i="1"/>
  <c r="L20" i="1"/>
  <c r="O19" i="1"/>
  <c r="L19" i="1"/>
  <c r="P19" i="1" s="1"/>
  <c r="O18" i="1"/>
  <c r="P18" i="1" s="1"/>
  <c r="L18" i="1"/>
  <c r="O17" i="1"/>
  <c r="L17" i="1"/>
  <c r="P17" i="1" s="1"/>
  <c r="O16" i="1"/>
  <c r="L16" i="1"/>
  <c r="P16" i="1" s="1"/>
  <c r="O15" i="1"/>
  <c r="P15" i="1" s="1"/>
  <c r="L15" i="1"/>
  <c r="O14" i="1"/>
  <c r="L14" i="1"/>
  <c r="O13" i="1"/>
  <c r="P13" i="1" s="1"/>
  <c r="L13" i="1"/>
  <c r="P12" i="1"/>
  <c r="O12" i="1"/>
  <c r="L12" i="1"/>
  <c r="O11" i="1"/>
  <c r="L11" i="1"/>
  <c r="P11" i="1" s="1"/>
  <c r="P10" i="1"/>
  <c r="O10" i="1"/>
  <c r="L10" i="1"/>
  <c r="O9" i="1"/>
  <c r="L9" i="1"/>
  <c r="O8" i="1"/>
  <c r="L8" i="1"/>
  <c r="P8" i="1" s="1"/>
  <c r="O7" i="1"/>
  <c r="P7" i="1" s="1"/>
  <c r="L7" i="1"/>
  <c r="O6" i="1"/>
  <c r="L6" i="1"/>
  <c r="P6" i="1" s="1"/>
  <c r="P5" i="1"/>
  <c r="O5" i="1"/>
  <c r="L5" i="1"/>
  <c r="O4" i="1"/>
  <c r="L4" i="1"/>
  <c r="O3" i="1"/>
  <c r="L3" i="1"/>
  <c r="P3" i="1" s="1"/>
  <c r="O2" i="1"/>
  <c r="P2" i="1" s="1"/>
  <c r="L2" i="1"/>
  <c r="P241" i="1" l="1"/>
  <c r="H61" i="3"/>
  <c r="I61" i="3" s="1"/>
  <c r="G58" i="3"/>
  <c r="P113" i="1"/>
  <c r="P81" i="1"/>
  <c r="P74" i="1"/>
  <c r="P51" i="1"/>
  <c r="H8" i="3" s="1"/>
  <c r="I8" i="3" s="1"/>
  <c r="P44" i="1"/>
  <c r="G5" i="3"/>
  <c r="P20" i="1"/>
  <c r="P14" i="1"/>
  <c r="P9" i="1"/>
  <c r="D12" i="2"/>
  <c r="F12" i="2"/>
  <c r="E12" i="2"/>
  <c r="P4" i="1"/>
  <c r="H17" i="3"/>
  <c r="J48" i="3"/>
  <c r="I48" i="3"/>
  <c r="H87" i="3"/>
  <c r="H5" i="3"/>
  <c r="I22" i="3"/>
  <c r="J22" i="3"/>
  <c r="H27" i="3"/>
  <c r="H46" i="3"/>
  <c r="J29" i="3"/>
  <c r="I29" i="3"/>
  <c r="J85" i="3"/>
  <c r="I85" i="3"/>
  <c r="I9" i="3"/>
  <c r="J9" i="3"/>
  <c r="J75" i="3"/>
  <c r="I75" i="3"/>
  <c r="H80" i="3"/>
  <c r="J15" i="3"/>
  <c r="I15" i="3"/>
  <c r="J59" i="3"/>
  <c r="I59" i="3"/>
  <c r="H3" i="3"/>
  <c r="H4" i="3"/>
  <c r="H24" i="3"/>
  <c r="J40" i="3"/>
  <c r="I40" i="3"/>
  <c r="J19" i="3"/>
  <c r="I19" i="3"/>
  <c r="J90" i="3"/>
  <c r="I90" i="3"/>
  <c r="H13" i="3"/>
  <c r="H34" i="3"/>
  <c r="J60" i="3"/>
  <c r="I60" i="3"/>
  <c r="H81" i="3"/>
  <c r="H53" i="3"/>
  <c r="H10" i="2"/>
  <c r="J83" i="3"/>
  <c r="I83" i="3"/>
  <c r="H91" i="3"/>
  <c r="P65" i="1"/>
  <c r="G15" i="3"/>
  <c r="G17" i="3"/>
  <c r="G22" i="3"/>
  <c r="P231" i="1"/>
  <c r="H55" i="3" s="1"/>
  <c r="G64" i="3"/>
  <c r="P295" i="1"/>
  <c r="H93" i="3" s="1"/>
  <c r="J43" i="3"/>
  <c r="I43" i="3"/>
  <c r="J84" i="3"/>
  <c r="I84" i="3"/>
  <c r="H11" i="2"/>
  <c r="G87" i="3"/>
  <c r="P190" i="1"/>
  <c r="H37" i="3" s="1"/>
  <c r="G3" i="3"/>
  <c r="G9" i="3"/>
  <c r="G29" i="3"/>
  <c r="G40" i="3"/>
  <c r="H44" i="3"/>
  <c r="G68" i="3"/>
  <c r="H73" i="3"/>
  <c r="H78" i="3"/>
  <c r="H36" i="3"/>
  <c r="G39" i="3"/>
  <c r="H6" i="2"/>
  <c r="G24" i="3"/>
  <c r="H4" i="2"/>
  <c r="P234" i="1"/>
  <c r="H57" i="3" s="1"/>
  <c r="I57" i="3" s="1"/>
  <c r="P266" i="1"/>
  <c r="H74" i="3" s="1"/>
  <c r="G18" i="3"/>
  <c r="G16" i="3"/>
  <c r="P107" i="1"/>
  <c r="H18" i="3" s="1"/>
  <c r="G25" i="3"/>
  <c r="G26" i="3"/>
  <c r="G27" i="3"/>
  <c r="G32" i="3"/>
  <c r="H5" i="2"/>
  <c r="G44" i="3"/>
  <c r="H7" i="2"/>
  <c r="P223" i="1"/>
  <c r="H50" i="3" s="1"/>
  <c r="G56" i="3"/>
  <c r="P255" i="1"/>
  <c r="H68" i="3" s="1"/>
  <c r="G73" i="3"/>
  <c r="G78" i="3"/>
  <c r="G94" i="3"/>
  <c r="I63" i="3"/>
  <c r="J63" i="3"/>
  <c r="J77" i="3"/>
  <c r="I77" i="3"/>
  <c r="G8" i="3"/>
  <c r="P126" i="1"/>
  <c r="G7" i="3"/>
  <c r="G11" i="3"/>
  <c r="H3" i="2"/>
  <c r="H25" i="3"/>
  <c r="H30" i="3"/>
  <c r="H32" i="3"/>
  <c r="H41" i="3"/>
  <c r="G47" i="3"/>
  <c r="G49" i="3"/>
  <c r="G67" i="3"/>
  <c r="I76" i="3"/>
  <c r="J76" i="3"/>
  <c r="G82" i="3"/>
  <c r="J88" i="3"/>
  <c r="I88" i="3"/>
  <c r="P297" i="1"/>
  <c r="H94" i="3" s="1"/>
  <c r="H66" i="3"/>
  <c r="G70" i="3"/>
  <c r="H9" i="2"/>
  <c r="G4" i="3"/>
  <c r="G14" i="3"/>
  <c r="G6" i="3"/>
  <c r="H2" i="2"/>
  <c r="H12" i="2"/>
  <c r="G2" i="3"/>
  <c r="P31" i="1"/>
  <c r="H6" i="3" s="1"/>
  <c r="P39" i="1"/>
  <c r="H7" i="3" s="1"/>
  <c r="P63" i="1"/>
  <c r="G12" i="3"/>
  <c r="P97" i="1"/>
  <c r="H16" i="3" s="1"/>
  <c r="G28" i="3"/>
  <c r="G30" i="3"/>
  <c r="G41" i="3"/>
  <c r="G42" i="3"/>
  <c r="P215" i="1"/>
  <c r="I7" i="2" s="1"/>
  <c r="J7" i="2" s="1"/>
  <c r="F37" i="4" s="1"/>
  <c r="P221" i="1"/>
  <c r="H49" i="3" s="1"/>
  <c r="P253" i="1"/>
  <c r="H67" i="3" s="1"/>
  <c r="H71" i="3"/>
  <c r="G72" i="3"/>
  <c r="G75" i="3"/>
  <c r="H2" i="3"/>
  <c r="H12" i="3"/>
  <c r="G13" i="3"/>
  <c r="P89" i="1"/>
  <c r="H14" i="3" s="1"/>
  <c r="P120" i="1"/>
  <c r="H20" i="3" s="1"/>
  <c r="P129" i="1"/>
  <c r="P152" i="1"/>
  <c r="I4" i="2" s="1"/>
  <c r="J4" i="2" s="1"/>
  <c r="F34" i="4" s="1"/>
  <c r="P161" i="1"/>
  <c r="H28" i="3" s="1"/>
  <c r="H33" i="3"/>
  <c r="P184" i="1"/>
  <c r="H35" i="3" s="1"/>
  <c r="P193" i="1"/>
  <c r="H42" i="3"/>
  <c r="P216" i="1"/>
  <c r="P225" i="1"/>
  <c r="H51" i="3" s="1"/>
  <c r="J54" i="3"/>
  <c r="I54" i="3"/>
  <c r="H62" i="3"/>
  <c r="P248" i="1"/>
  <c r="H64" i="3" s="1"/>
  <c r="P257" i="1"/>
  <c r="H72" i="3"/>
  <c r="P280" i="1"/>
  <c r="H82" i="3" s="1"/>
  <c r="P289" i="1"/>
  <c r="H89" i="3" s="1"/>
  <c r="P294" i="1"/>
  <c r="H92" i="3" s="1"/>
  <c r="G80" i="3"/>
  <c r="H8" i="2"/>
  <c r="G46" i="3"/>
  <c r="J8" i="3" l="1"/>
  <c r="J64" i="3"/>
  <c r="I64" i="3"/>
  <c r="I94" i="3"/>
  <c r="J94" i="3"/>
  <c r="H34" i="4"/>
  <c r="J34" i="4" s="1"/>
  <c r="G34" i="4"/>
  <c r="I34" i="4" s="1"/>
  <c r="J16" i="3"/>
  <c r="I16" i="3"/>
  <c r="J82" i="3"/>
  <c r="I82" i="3"/>
  <c r="I14" i="3"/>
  <c r="J14" i="3"/>
  <c r="J28" i="3"/>
  <c r="I28" i="3"/>
  <c r="H37" i="4"/>
  <c r="J37" i="4" s="1"/>
  <c r="G37" i="4"/>
  <c r="I37" i="4" s="1"/>
  <c r="J89" i="3"/>
  <c r="I89" i="3"/>
  <c r="J51" i="3"/>
  <c r="I51" i="3"/>
  <c r="J25" i="3"/>
  <c r="I25" i="3"/>
  <c r="J36" i="3"/>
  <c r="I36" i="3"/>
  <c r="J44" i="3"/>
  <c r="I44" i="3"/>
  <c r="I8" i="2"/>
  <c r="J8" i="2" s="1"/>
  <c r="F38" i="4" s="1"/>
  <c r="I10" i="2"/>
  <c r="J10" i="2" s="1"/>
  <c r="F40" i="4" s="1"/>
  <c r="J5" i="3"/>
  <c r="I5" i="3"/>
  <c r="J53" i="3"/>
  <c r="I53" i="3"/>
  <c r="H69" i="3"/>
  <c r="H86" i="3"/>
  <c r="J80" i="3"/>
  <c r="I80" i="3"/>
  <c r="I2" i="2"/>
  <c r="J72" i="3"/>
  <c r="I72" i="3"/>
  <c r="J42" i="3"/>
  <c r="I42" i="3"/>
  <c r="J71" i="3"/>
  <c r="I71" i="3"/>
  <c r="J74" i="3"/>
  <c r="I74" i="3"/>
  <c r="I81" i="3"/>
  <c r="J81" i="3"/>
  <c r="J4" i="3"/>
  <c r="I4" i="3"/>
  <c r="H26" i="3"/>
  <c r="H31" i="3" s="1"/>
  <c r="J67" i="3"/>
  <c r="I67" i="3"/>
  <c r="J41" i="3"/>
  <c r="I41" i="3"/>
  <c r="J3" i="3"/>
  <c r="I3" i="3"/>
  <c r="J46" i="3"/>
  <c r="I46" i="3"/>
  <c r="J87" i="3"/>
  <c r="I87" i="3"/>
  <c r="H95" i="3"/>
  <c r="I9" i="2"/>
  <c r="J9" i="2" s="1"/>
  <c r="F39" i="4" s="1"/>
  <c r="H70" i="3"/>
  <c r="I6" i="2"/>
  <c r="J6" i="2" s="1"/>
  <c r="F36" i="4" s="1"/>
  <c r="H39" i="3"/>
  <c r="J35" i="3"/>
  <c r="I35" i="3"/>
  <c r="J12" i="3"/>
  <c r="I12" i="3"/>
  <c r="J49" i="3"/>
  <c r="I49" i="3"/>
  <c r="H11" i="3"/>
  <c r="I3" i="2"/>
  <c r="J3" i="2" s="1"/>
  <c r="F33" i="4" s="1"/>
  <c r="I5" i="2"/>
  <c r="J5" i="2" s="1"/>
  <c r="F35" i="4" s="1"/>
  <c r="H21" i="3"/>
  <c r="J78" i="3"/>
  <c r="I78" i="3"/>
  <c r="J91" i="3"/>
  <c r="I91" i="3"/>
  <c r="I11" i="2"/>
  <c r="J11" i="2" s="1"/>
  <c r="F41" i="4" s="1"/>
  <c r="J62" i="3"/>
  <c r="I62" i="3"/>
  <c r="H47" i="3"/>
  <c r="I32" i="3"/>
  <c r="H38" i="3"/>
  <c r="J32" i="3"/>
  <c r="J68" i="3"/>
  <c r="I68" i="3"/>
  <c r="J73" i="3"/>
  <c r="I73" i="3"/>
  <c r="J37" i="3"/>
  <c r="I37" i="3"/>
  <c r="J93" i="3"/>
  <c r="I93" i="3"/>
  <c r="J34" i="3"/>
  <c r="I34" i="3"/>
  <c r="I27" i="3"/>
  <c r="J27" i="3"/>
  <c r="J33" i="3"/>
  <c r="I33" i="3"/>
  <c r="J7" i="3"/>
  <c r="I7" i="3"/>
  <c r="H96" i="3"/>
  <c r="J6" i="3"/>
  <c r="I6" i="3"/>
  <c r="J30" i="3"/>
  <c r="I30" i="3"/>
  <c r="J13" i="3"/>
  <c r="I13" i="3"/>
  <c r="J24" i="3"/>
  <c r="I24" i="3"/>
  <c r="J20" i="3"/>
  <c r="I20" i="3"/>
  <c r="J2" i="3"/>
  <c r="I2" i="3"/>
  <c r="H10" i="3"/>
  <c r="J92" i="3"/>
  <c r="I92" i="3"/>
  <c r="J66" i="3"/>
  <c r="I66" i="3"/>
  <c r="I50" i="3"/>
  <c r="J50" i="3"/>
  <c r="J18" i="3"/>
  <c r="I18" i="3"/>
  <c r="I55" i="3"/>
  <c r="J55" i="3"/>
  <c r="J17" i="3"/>
  <c r="I17" i="3"/>
  <c r="I31" i="3" l="1"/>
  <c r="J31" i="3"/>
  <c r="J96" i="3"/>
  <c r="I96" i="3"/>
  <c r="H39" i="4"/>
  <c r="J39" i="4" s="1"/>
  <c r="G39" i="4"/>
  <c r="I39" i="4" s="1"/>
  <c r="H79" i="3"/>
  <c r="J70" i="3"/>
  <c r="I70" i="3"/>
  <c r="I10" i="3"/>
  <c r="J10" i="3"/>
  <c r="J38" i="3"/>
  <c r="I38" i="3"/>
  <c r="I95" i="3"/>
  <c r="J95" i="3"/>
  <c r="I12" i="2"/>
  <c r="J12" i="2" s="1"/>
  <c r="J2" i="2"/>
  <c r="F32" i="4" s="1"/>
  <c r="J21" i="3"/>
  <c r="I21" i="3"/>
  <c r="H40" i="4"/>
  <c r="J40" i="4" s="1"/>
  <c r="G40" i="4"/>
  <c r="I40" i="4" s="1"/>
  <c r="J47" i="3"/>
  <c r="I47" i="3"/>
  <c r="H35" i="4"/>
  <c r="J35" i="4" s="1"/>
  <c r="G35" i="4"/>
  <c r="I35" i="4" s="1"/>
  <c r="H38" i="4"/>
  <c r="J38" i="4" s="1"/>
  <c r="G38" i="4"/>
  <c r="I38" i="4" s="1"/>
  <c r="H33" i="4"/>
  <c r="J33" i="4" s="1"/>
  <c r="G33" i="4"/>
  <c r="I33" i="4" s="1"/>
  <c r="H45" i="3"/>
  <c r="J39" i="3"/>
  <c r="I39" i="3"/>
  <c r="J26" i="3"/>
  <c r="I26" i="3"/>
  <c r="I86" i="3"/>
  <c r="J86" i="3"/>
  <c r="H41" i="4"/>
  <c r="J41" i="4" s="1"/>
  <c r="G41" i="4"/>
  <c r="I41" i="4" s="1"/>
  <c r="H23" i="3"/>
  <c r="J11" i="3"/>
  <c r="I11" i="3"/>
  <c r="H36" i="4"/>
  <c r="J36" i="4" s="1"/>
  <c r="G36" i="4"/>
  <c r="I36" i="4" s="1"/>
  <c r="H52" i="3"/>
  <c r="I69" i="3"/>
  <c r="J69" i="3"/>
  <c r="J23" i="3" l="1"/>
  <c r="I23" i="3"/>
  <c r="I79" i="3"/>
  <c r="J79" i="3"/>
  <c r="J45" i="3"/>
  <c r="I45" i="3"/>
  <c r="J52" i="3"/>
  <c r="I52" i="3"/>
  <c r="H32" i="4"/>
  <c r="G32" i="4"/>
  <c r="I32" i="4" l="1"/>
  <c r="I42" i="4" s="1"/>
  <c r="G42" i="4"/>
  <c r="J32" i="4"/>
  <c r="J42" i="4" s="1"/>
  <c r="H42" i="4"/>
  <c r="D47" i="4" s="1"/>
  <c r="E47" i="4" l="1"/>
  <c r="G47" i="4"/>
  <c r="F47" i="4"/>
  <c r="D46" i="4"/>
  <c r="F42" i="4"/>
</calcChain>
</file>

<file path=xl/sharedStrings.xml><?xml version="1.0" encoding="utf-8"?>
<sst xmlns="http://schemas.openxmlformats.org/spreadsheetml/2006/main" count="5035" uniqueCount="1381">
  <si>
    <t>Workstream</t>
  </si>
  <si>
    <t>Activity Code</t>
  </si>
  <si>
    <t>Task ID</t>
  </si>
  <si>
    <t>AI Rating</t>
  </si>
  <si>
    <t>Task Name</t>
  </si>
  <si>
    <t>What AI Does</t>
  </si>
  <si>
    <t>Inputs Needed</t>
  </si>
  <si>
    <t>Value Proposition</t>
  </si>
  <si>
    <t>Primary Role Impact</t>
  </si>
  <si>
    <t>Activity Effort (days)</t>
  </si>
  <si>
    <t>Team Size</t>
  </si>
  <si>
    <t>Task Effort Share (days)</t>
  </si>
  <si>
    <t>Direct AI Reduction %</t>
  </si>
  <si>
    <t>Compound Acceleration %</t>
  </si>
  <si>
    <t>Effective Reduction %</t>
  </si>
  <si>
    <t>AI Days Saved</t>
  </si>
  <si>
    <t>Decision Velocity Impact</t>
  </si>
  <si>
    <t>Quality Uplift</t>
  </si>
  <si>
    <t>Cost Reduction</t>
  </si>
  <si>
    <t>Key Blocker</t>
  </si>
  <si>
    <t>External Data Required</t>
  </si>
  <si>
    <t>Implementation Phase</t>
  </si>
  <si>
    <t>User Notes / Challenge</t>
  </si>
  <si>
    <t>SAL</t>
  </si>
  <si>
    <t>SAL-01</t>
  </si>
  <si>
    <t>SAL-01.1.1</t>
  </si>
  <si>
    <t>High</t>
  </si>
  <si>
    <t>Gather and review procurement documentation — ITT notice, prior information notices, market engagement outputs</t>
  </si>
  <si>
    <t>Scrape Contracts Finder/FTS, extract key data from OJEU notices, compile procurement context automatically</t>
  </si>
  <si>
    <t>Contracts Finder API, FTS data, OJEU notice</t>
  </si>
  <si>
    <t>Decision velocity: Capture Lead has procurement context in hours not days</t>
  </si>
  <si>
    <t>Capture Lead</t>
  </si>
  <si>
    <t>Moderate</t>
  </si>
  <si>
    <t>Yes</t>
  </si>
  <si>
    <t>Structured data must be available</t>
  </si>
  <si>
    <t>Contracts Finder / FTS API</t>
  </si>
  <si>
    <t>Phase 3</t>
  </si>
  <si>
    <t>SAL-01.1.2</t>
  </si>
  <si>
    <t>Review client strategic plans, spending reviews, policy drivers, and published priorities</t>
  </si>
  <si>
    <t>Analyse published strategies, spending reviews, annual reports. Extract priorities, budget pressures, policy drivers</t>
  </si>
  <si>
    <t>Client published documents (PDFs, web pages)</t>
  </si>
  <si>
    <t>Quality uplift: AI reads more documents more thoroughly than a human under time pressure</t>
  </si>
  <si>
    <t>Client Published Documents</t>
  </si>
  <si>
    <t>SAL-01.1.3</t>
  </si>
  <si>
    <t>Compile market and sector intelligence relevant to this requirement</t>
  </si>
  <si>
    <t>Scan trade press, analyst reports, sector publications. Synthesise relevant trends</t>
  </si>
  <si>
    <t>Web search, trade press archives, sector reports</t>
  </si>
  <si>
    <t>Time reduction: Hours of manual research compressed to minutes</t>
  </si>
  <si>
    <t>Market Intelligence Sources</t>
  </si>
  <si>
    <t>SAL-01.1.4</t>
  </si>
  <si>
    <t>Map client's existing strategic suppliers, partners, and past procurement activity at a strategic level</t>
  </si>
  <si>
    <t>Analyse Contracts Finder award history, cross-reference with Companies House, identify supplier relationships</t>
  </si>
  <si>
    <t>Contracts Finder API, Companies House API</t>
  </si>
  <si>
    <t>Decision velocity: Supplier landscape available immediately, not after days of manual research</t>
  </si>
  <si>
    <t>SAL-01.2.1</t>
  </si>
  <si>
    <t>Medium</t>
  </si>
  <si>
    <t>Identify client's strategic priorities, pain points, and hot-button issues from available intelligence</t>
  </si>
  <si>
    <t>AI drafts buyer values from document analysis. Human validates against relationship intelligence</t>
  </si>
  <si>
    <t>SAL-01.1 outputs + CRM data</t>
  </si>
  <si>
    <t>Quality uplift: AI surfaces values human might miss from document volume</t>
  </si>
  <si>
    <t>Domain judgement required for validation</t>
  </si>
  <si>
    <t>SAL-01.2.2</t>
  </si>
  <si>
    <t>Analyse the current problem or opportunity the client is trying to solve — what is driving this procurement?</t>
  </si>
  <si>
    <t>AI synthesises the "why" from strategic context. Human validates interpretation</t>
  </si>
  <si>
    <t>SAL-01.1 + SAL-01.2.1 outputs</t>
  </si>
  <si>
    <t>Decision velocity: Problem statement drafted faster, refined by human</t>
  </si>
  <si>
    <t>Low</t>
  </si>
  <si>
    <t>None</t>
  </si>
  <si>
    <t>SAL-01.2.3</t>
  </si>
  <si>
    <t>Synthesise customer intelligence briefing — the consolidated output consumed by downstream activities</t>
  </si>
  <si>
    <t>AI consolidates all upstream outputs into structured briefing. Human reviews and adds relationship intelligence</t>
  </si>
  <si>
    <t>All SAL-01 outputs</t>
  </si>
  <si>
    <t>Time reduction: Consolidation automated, human focuses on insight</t>
  </si>
  <si>
    <t>SAL-02</t>
  </si>
  <si>
    <t>SAL-02.1.1</t>
  </si>
  <si>
    <t>Review incumbent service delivery against contractual SLAs and performance framework — met, exceeded, or fallen short</t>
  </si>
  <si>
    <t>Analyse published performance data, FOI responses, audit reports. Extract KPI performance</t>
  </si>
  <si>
    <t>Published performance reports, FOI data</t>
  </si>
  <si>
    <t>Quality uplift: Systematic analysis across all available data, not selective reading</t>
  </si>
  <si>
    <t>SAL-02.1.2</t>
  </si>
  <si>
    <t>Assess incumbent behaviour, culture, and partnership quality — does the client like working with them?</t>
  </si>
  <si>
    <t>Analyse public sentiment (press, Glassdoor, client publications). Human adds relationship intelligence</t>
  </si>
  <si>
    <t>Public domain sources + CRM</t>
  </si>
  <si>
    <t>Blocker: Real sentiment comes from relationships, not documents</t>
  </si>
  <si>
    <t>Real sentiment comes from relationships, not documents</t>
  </si>
  <si>
    <t>SAL-02.1.3</t>
  </si>
  <si>
    <t>Assess incumbent innovation, continuous improvement, and value-add beyond the contract</t>
  </si>
  <si>
    <t>Scan for published innovation evidence — awards, case studies, press releases, patent filings</t>
  </si>
  <si>
    <t>Public domain sources</t>
  </si>
  <si>
    <t>Time reduction: Comprehensive scan vs selective manual search</t>
  </si>
  <si>
    <t>SAL-02.2.1</t>
  </si>
  <si>
    <t>Assess incumbent price competitiveness — is the current price point one we can compete against, or must we differentiate elsewhere?</t>
  </si>
  <si>
    <t>Analyse contract values from Contracts Finder, model price trajectory, benchmark against market</t>
  </si>
  <si>
    <t>Contracts Finder data, benchmarks</t>
  </si>
  <si>
    <t>Decision velocity: Price position analysis available faster</t>
  </si>
  <si>
    <t>Commercial Lead</t>
  </si>
  <si>
    <t>Corporate Cost Data</t>
  </si>
  <si>
    <t>SAL-02.2.2</t>
  </si>
  <si>
    <t>Assess transition stickiness — TUPE complexity, asset transfer, knowledge transfer burden, client switching cost</t>
  </si>
  <si>
    <t>Analyse published TUPE/workforce data, contract complexity indicators</t>
  </si>
  <si>
    <t>Public data, ITT documentation</t>
  </si>
  <si>
    <t>Blocker: Much stickiness data is not publicly available</t>
  </si>
  <si>
    <t>Much stickiness data is not publicly available</t>
  </si>
  <si>
    <t>SAL-02.3.1</t>
  </si>
  <si>
    <t>Identify transformational opportunities — where can emerging technology, new delivery models, or fundamentally different approaches disrupt the incumbent's current operating model?</t>
  </si>
  <si>
    <t>Scan technology landscape, map AI/automation capabilities to incumbent operating model gaps</t>
  </si>
  <si>
    <t>Technology landscape data, SAL-02.1 outputs</t>
  </si>
  <si>
    <t>Quality uplift: AI identifies more technology opportunities than manual brainstorming</t>
  </si>
  <si>
    <t>Solution Architect</t>
  </si>
  <si>
    <t>SAL-02.3.2</t>
  </si>
  <si>
    <t>Assess alignment to evaluation framework and client appetite — will the procurement reward transformational approaches or penalise non-compliance with a prescriptive specification?</t>
  </si>
  <si>
    <t>Cross-reference transformation opportunities against ITT evaluation criteria</t>
  </si>
  <si>
    <t>SAL-02.3.1 + SAL-05 outputs</t>
  </si>
  <si>
    <t>Decision velocity: Alignment assessment automated</t>
  </si>
  <si>
    <t>SAL-02.3.3</t>
  </si>
  <si>
    <t>Assess our organisational capability to deliver the disruption — do we have the technology, skills, partners, and track record to credibly propose this?</t>
  </si>
  <si>
    <t>AI can check credentials library. But capability assessment requires organisational self-knowledge</t>
  </si>
  <si>
    <t>Internal capability data</t>
  </si>
  <si>
    <t>Blocker: Honest self-assessment is human judgement</t>
  </si>
  <si>
    <t>Honest self-assessment is human judgement</t>
  </si>
  <si>
    <t>SAL-02.3.4</t>
  </si>
  <si>
    <t>Model the commercial impact — does the transformational approach drive a fundamentally different cost base and price point?</t>
  </si>
  <si>
    <t>AI can run financial models on cost base changes</t>
  </si>
  <si>
    <t>Financial model, SAL-02.3.1 outputs</t>
  </si>
  <si>
    <t>Time reduction: Modelling automated, assumptions human</t>
  </si>
  <si>
    <t>SAL-02.3.5</t>
  </si>
  <si>
    <t>Synthesise incumbent performance assessment — consolidated view across all three dimensions informing competitive strategy, win approach, and go/no-go</t>
  </si>
  <si>
    <t>AI consolidates all 9 upstream outputs. Human validates</t>
  </si>
  <si>
    <t>All SAL-02 outputs</t>
  </si>
  <si>
    <t>Time reduction: Consolidation automated</t>
  </si>
  <si>
    <t>SAL-03</t>
  </si>
  <si>
    <t>SAL-03.1.1</t>
  </si>
  <si>
    <t>Identify credible competitors from procurement history and market intelligence</t>
  </si>
  <si>
    <t>Analyse Contracts Finder history, framework incumbents, market intelligence to build competitor long-list</t>
  </si>
  <si>
    <t>Contracts Finder API, framework data</t>
  </si>
  <si>
    <t>Time reduction: Competitor identification automated</t>
  </si>
  <si>
    <t>SAL-03.1.2</t>
  </si>
  <si>
    <t>Categorise competitors: Incumbent / Contender / Dark Horse / Opportunist</t>
  </si>
  <si>
    <t>AI proposes categorisation based on data. Human validates with market knowledge</t>
  </si>
  <si>
    <t>SAL-03.1.1 + market intelligence</t>
  </si>
  <si>
    <t>Decision velocity: Draft categorisation available immediately</t>
  </si>
  <si>
    <t>Companies House API</t>
  </si>
  <si>
    <t>SAL-03.1.3</t>
  </si>
  <si>
    <t>Profile each credible competitor — likely strategy, strengths, weaknesses, price position</t>
  </si>
  <si>
    <t>Build competitor profiles from public data — annual reports, award history, press, LinkedIn, financial filings</t>
  </si>
  <si>
    <t>Public domain + Companies House</t>
  </si>
  <si>
    <t>Quality uplift: More comprehensive profiles than manual research typically produces</t>
  </si>
  <si>
    <t>SAL-03.2.1</t>
  </si>
  <si>
    <t>Develop counter-strategies and ghost themes for top 2-3 competitors</t>
  </si>
  <si>
    <t>AI proposes counter-strategies based on profiles. Human applies competitive judgement</t>
  </si>
  <si>
    <t>SAL-03.1 outputs</t>
  </si>
  <si>
    <t>Blocker: Counter-strategy requires human competitive instinct</t>
  </si>
  <si>
    <t>Counter-strategy requires human competitive instinct</t>
  </si>
  <si>
    <t>SAL-03.2.2</t>
  </si>
  <si>
    <t>Validate competitive positioning with bid team and adjust</t>
  </si>
  <si>
    <t>AI prepares the briefing pack. Human team debates and validates</t>
  </si>
  <si>
    <t>All SAL-03 outputs</t>
  </si>
  <si>
    <t>Blocker: Team validation is a human workshop</t>
  </si>
  <si>
    <t>Bid Team</t>
  </si>
  <si>
    <t>Team validation is a human workshop</t>
  </si>
  <si>
    <t>SAL-04</t>
  </si>
  <si>
    <t>SAL-04.1.1</t>
  </si>
  <si>
    <t>Import or develop initial win themes — from Win Strategy product (capture-informed) or from scratch using buyer values, competitive positioning, and disruption opportunities (cold-start)</t>
  </si>
  <si>
    <t>AI proposes themes from buyer values + competitive positioning. Human refines</t>
  </si>
  <si>
    <t>SAL-01, SAL-02, SAL-03 outputs</t>
  </si>
  <si>
    <t>Decision velocity: Draft themes available instantly for human refinement</t>
  </si>
  <si>
    <t>N/A</t>
  </si>
  <si>
    <t>SAL-04.1.2</t>
  </si>
  <si>
    <t>Test each theme against buyer values — does this resonate with what the client actually cares about?</t>
  </si>
  <si>
    <t>AI maps themes to buyer values systematically — coverage matrix</t>
  </si>
  <si>
    <t>SAL-04.1.1 + SAL-01.2.1</t>
  </si>
  <si>
    <t>Quality uplift: Systematic mapping catches gaps human might miss</t>
  </si>
  <si>
    <t>SAL-04.1.3</t>
  </si>
  <si>
    <t>Test each theme against competitive positioning — does this differentiate us from the incumbent and key competitors?</t>
  </si>
  <si>
    <t>AI assesses whether competitors can claim the same thing. Human applies judgement</t>
  </si>
  <si>
    <t>SAL-04.1.1 + SAL-03 outputs</t>
  </si>
  <si>
    <t>Decision velocity: Competitive differentiation assessment automated</t>
  </si>
  <si>
    <t>SAL-04.1.4</t>
  </si>
  <si>
    <t>Ensure each theme is evidence-backed — do we have credentials, case studies, or demonstrable capability to substantiate this claim?</t>
  </si>
  <si>
    <t>AI searches evidence library for substantiation per theme</t>
  </si>
  <si>
    <t>Evidence library, credentials database</t>
  </si>
  <si>
    <t>Time reduction: Library search automated</t>
  </si>
  <si>
    <t>Bid Manager</t>
  </si>
  <si>
    <t>Evidence Library</t>
  </si>
  <si>
    <t>SAL-04.2.1</t>
  </si>
  <si>
    <t>Refine themes against ITT documentation — align language, scope, and emphasis to the actual requirement and specification</t>
  </si>
  <si>
    <t>AI aligns language to ITT terminology. Human validates nuance</t>
  </si>
  <si>
    <t>SAL-04.1 outputs + ITT docs</t>
  </si>
  <si>
    <t>Quality uplift: AI ensures consistent ITT language alignment</t>
  </si>
  <si>
    <t>ITT Document Pack</t>
  </si>
  <si>
    <t>SAL-04.2.2</t>
  </si>
  <si>
    <t>Develop clear messaging per theme — concise statements that inform solution design, commercial proposition, and storyboard structure</t>
  </si>
  <si>
    <t>AI drafts messaging. Human refines for strategic impact</t>
  </si>
  <si>
    <t>SAL-04.2.1 outputs</t>
  </si>
  <si>
    <t>Time reduction: First draft automated</t>
  </si>
  <si>
    <t>Phase 2</t>
  </si>
  <si>
    <t>SAL-04.2.3</t>
  </si>
  <si>
    <t>Validate win themes and messaging with bid team — confirm for capture plan lock</t>
  </si>
  <si>
    <t>AI prepares validation pack. Human team debates</t>
  </si>
  <si>
    <t>All SAL-04 outputs</t>
  </si>
  <si>
    <t>Blocker: Team validation is human</t>
  </si>
  <si>
    <t>Team validation is human</t>
  </si>
  <si>
    <t>SAL-05</t>
  </si>
  <si>
    <t>SAL-05.1.1</t>
  </si>
  <si>
    <t>Deconstruct the ITT evaluation methodology — criteria, weightings, scoring model, pass/fail thresholds, hurdle marks, moderation process</t>
  </si>
  <si>
    <t>AI extracts criteria, weightings, thresholds from ITT documentation</t>
  </si>
  <si>
    <t>ITT evaluation documents</t>
  </si>
  <si>
    <t>Time reduction: Extraction that takes hours done in minutes</t>
  </si>
  <si>
    <t>Phase 1</t>
  </si>
  <si>
    <t>SAL-05.1.2</t>
  </si>
  <si>
    <t>Map evaluation criteria to response sections — which question is worth how many marks, and what proportion of the total?</t>
  </si>
  <si>
    <t>AI maps criteria to sections, calculates marks-per-page ratio</t>
  </si>
  <si>
    <t>SAL-05.1.1 + ITT response structure</t>
  </si>
  <si>
    <t>Quality uplift: Systematic mapping, no sections missed</t>
  </si>
  <si>
    <t>SAL-05.1.3</t>
  </si>
  <si>
    <t>Where client marking scheme exists, analyse granular scoring guidance — what does a top-scoring response look like per criterion?</t>
  </si>
  <si>
    <t>AI extracts grade descriptors, identifies differentiating phrases per band</t>
  </si>
  <si>
    <t>Client marking scheme</t>
  </si>
  <si>
    <t>Decision velocity: Scoring guidance analysis instant if document available</t>
  </si>
  <si>
    <t>SAL-05.2.1</t>
  </si>
  <si>
    <t>Analyse marks concentration — identify the high-value sections that disproportionately drive the outcome</t>
  </si>
  <si>
    <t>AI ranks sections by marks value, categorises strategic importance</t>
  </si>
  <si>
    <t>SAL-05.1.2 output</t>
  </si>
  <si>
    <t>Decision velocity: Effort prioritisation available immediately</t>
  </si>
  <si>
    <t>SAL-05.2.2</t>
  </si>
  <si>
    <t>Conduct score gap analysis — can we realistically score 100% in each section, and if not, why not, and what is the mitigation?</t>
  </si>
  <si>
    <t>AI identifies gaps by cross-referencing scoring requirements with capability/evidence data. Human validates</t>
  </si>
  <si>
    <t>SAL-05.1.3 + evidence library + capability data</t>
  </si>
  <si>
    <t>Quality uplift: Systematic gap identification across all sections</t>
  </si>
  <si>
    <t>SAL-05.2.3</t>
  </si>
  <si>
    <t>Develop scoring strategy per section — what must each response demonstrate to achieve maximum marks, incorporating gap mitigations</t>
  </si>
  <si>
    <t>AI drafts strategy per section based on scoring guidance. Human refines</t>
  </si>
  <si>
    <t>SAL-05.2.1 + SAL-05.2.2</t>
  </si>
  <si>
    <t>Time reduction: Draft strategies automated</t>
  </si>
  <si>
    <t>SAL-05.2.4</t>
  </si>
  <si>
    <t>Align win themes to evaluation sections — ensure our differentiators land where the marks are</t>
  </si>
  <si>
    <t>AI maps themes to sections — produces integration matrix</t>
  </si>
  <si>
    <t>SAL-04 + SAL-05.2.3</t>
  </si>
  <si>
    <t>Quality uplift: Ensures no theme orphaned from high-value sections</t>
  </si>
  <si>
    <t>SAL-05.2.5</t>
  </si>
  <si>
    <t>Confirm scoring strategy with bid team for capture plan lock</t>
  </si>
  <si>
    <t>AI prepares briefing pack. Human team confirms</t>
  </si>
  <si>
    <t>All SAL-05 outputs</t>
  </si>
  <si>
    <t>Blocker: Team confirmation is human</t>
  </si>
  <si>
    <t>Team confirmation is human</t>
  </si>
  <si>
    <t>SAL-06</t>
  </si>
  <si>
    <t>SAL-06.1.1</t>
  </si>
  <si>
    <t>Assess capture effectiveness — how well does the ITT align to what our capture activity was trying to influence? Evaluation criteria, solution scope, commercial terms, transition approach</t>
  </si>
  <si>
    <t>AI compares capture plan assumptions against ITT documentation</t>
  </si>
  <si>
    <t>SAL-06 inputs + ITT docs</t>
  </si>
  <si>
    <t>Decision velocity: Alignment gaps identified automatically</t>
  </si>
  <si>
    <t>SAL-06.1.2</t>
  </si>
  <si>
    <t>Conduct rapid ITT documentation analysis — requirements breakdown, contract red lines, payment mechanism, SLA framework, transition provisions</t>
  </si>
  <si>
    <t>AI analyses requirements, contract, payment mechanism, SLAs in the ITT pack</t>
  </si>
  <si>
    <t>Full ITT documentation pack</t>
  </si>
  <si>
    <t>Time reduction: Days of manual ITT analysis compressed to hours. This is a killer AI use case.</t>
  </si>
  <si>
    <t>SAL-06.2.1</t>
  </si>
  <si>
    <t>Complete Deal Qualification Checklist (DQC) — attractiveness, deliverability, risk, win likelihood, informed by ITT documentation analysis</t>
  </si>
  <si>
    <t>AI pre-populates DQC from upstream outputs. Human validates and scores</t>
  </si>
  <si>
    <t>All SAL outputs</t>
  </si>
  <si>
    <t>Decision velocity: DQC largely pre-filled, human focuses on judgement calls</t>
  </si>
  <si>
    <t>Bid Director</t>
  </si>
  <si>
    <t>SAL-06.2.2</t>
  </si>
  <si>
    <t>Assess strategic fit against sector portfolio and growth plan — is this the right opportunity for us right now?</t>
  </si>
  <si>
    <t>Requires organisational strategic knowledge</t>
  </si>
  <si>
    <t>Strategic plan, pipeline data</t>
  </si>
  <si>
    <t>Blocker: Internal strategic judgement</t>
  </si>
  <si>
    <t>Internal strategic judgement</t>
  </si>
  <si>
    <t>SAL-06.2.3</t>
  </si>
  <si>
    <t>Score PWIN against all dimensions — competitive position, stakeholder relationships, solution readiness, scoring landscape, transition risk, transformational opportunity</t>
  </si>
  <si>
    <t>AI calculates PWIN from structured inputs across all dimensions</t>
  </si>
  <si>
    <t>All dimension inputs</t>
  </si>
  <si>
    <t>Decision velocity: Quantified PWIN with evidence basis, not gut feel</t>
  </si>
  <si>
    <t>SAL-06.2.4</t>
  </si>
  <si>
    <t>Synthesise win strategy — the integrated narrative tying win themes, scoring strategy, competitive positioning, stakeholder engagement, and transformational approach into a coherent plan</t>
  </si>
  <si>
    <t>AI drafts the narrative from upstream outputs. Human refines</t>
  </si>
  <si>
    <t>SAL-06.3.1</t>
  </si>
  <si>
    <t>Define the consortium strategy — prime/sub, JV, SPV, or sole bidder — with rationale tied to win strategy and competitive positioning</t>
  </si>
  <si>
    <t>Strategic partnership decisions require human judgement</t>
  </si>
  <si>
    <t>Market knowledge, relationships</t>
  </si>
  <si>
    <t>Blocker: Consortium design is a strategic human decision</t>
  </si>
  <si>
    <t>Consortium design is a strategic human decision</t>
  </si>
  <si>
    <t>SAL-06.3.2</t>
  </si>
  <si>
    <t>Identify required partner capabilities — mapped to score gaps, capability gaps, and solution components that we cannot deliver alone</t>
  </si>
  <si>
    <t>AI maps gaps to potential partner types from market data</t>
  </si>
  <si>
    <t>SAL-05.2.2 + SAL-02.3.3 + market data</t>
  </si>
  <si>
    <t>Time reduction: Gap-to-partner mapping automated</t>
  </si>
  <si>
    <t>SAL-06.3.3</t>
  </si>
  <si>
    <t>Define the target delivery model across the consortium — who owns what scope, high-level work breakdown, accountability structure</t>
  </si>
  <si>
    <t>Requires strategic design judgement</t>
  </si>
  <si>
    <t>Consortium strategy</t>
  </si>
  <si>
    <t>Blocker: Work breakdown is a design decision</t>
  </si>
  <si>
    <t>Work breakdown is a design decision</t>
  </si>
  <si>
    <t>SAL-06.4.1</t>
  </si>
  <si>
    <t>Assemble capture plan — the locked strategic baseline document covering all dimensions including consortium strategy</t>
  </si>
  <si>
    <t>AI consolidates all upstream outputs into structured document</t>
  </si>
  <si>
    <t>All SAL-06 upstream outputs</t>
  </si>
  <si>
    <t>Time reduction: Document assembly automated</t>
  </si>
  <si>
    <t>SAL-06.4.2</t>
  </si>
  <si>
    <t>Prepare formal Bid Mandate for Bid Board approval — budget, resource, win strategy, consortium, risk, PWIN, go/no-go recommendation</t>
  </si>
  <si>
    <t>AI drafts mandate from capture plan. Human positions for governance</t>
  </si>
  <si>
    <t>SAL-06.4.1 output</t>
  </si>
  <si>
    <t>Time reduction: Draft automated</t>
  </si>
  <si>
    <t>SAL-06.4.3</t>
  </si>
  <si>
    <t>Confirm lock — capture plan baselined, win strategy locked, consortium strategy locked, methodology gate passed. Feeds GOV-01 (Pursuit Approval)</t>
  </si>
  <si>
    <t>Formal sign-off is a human governance act</t>
  </si>
  <si>
    <t>SAL-06.4.1 + SAL-06.4.2</t>
  </si>
  <si>
    <t>Blocker: Governance is human</t>
  </si>
  <si>
    <t>Governance is human</t>
  </si>
  <si>
    <t>SAL-07</t>
  </si>
  <si>
    <t>SAL-07.1.1</t>
  </si>
  <si>
    <t>Harvest clarification needs from ITT documentation analysis — ambiguities, contradictions, gaps, and red lines flagged during SAL-06</t>
  </si>
  <si>
    <t>AI identifies ambiguities, contradictions, and gaps in ITT documentation automatically</t>
  </si>
  <si>
    <t>ITT documentation, SAL-06.1.2</t>
  </si>
  <si>
    <t>Quality uplift: AI catches ambiguities human might miss across large document sets</t>
  </si>
  <si>
    <t>SAL-07.1.2</t>
  </si>
  <si>
    <t>Harvest clarification needs from solution and commercial workstreams — technical ambiguity, contractual risk, pricing assumptions that block progress</t>
  </si>
  <si>
    <t>AI consolidates clarification needs raised by each workstream. Human prioritises</t>
  </si>
  <si>
    <t>SOL-01, SAL-05.2.2 outputs</t>
  </si>
  <si>
    <t>SAL-07.1.3</t>
  </si>
  <si>
    <t>Develop competitive clarification strategy — how to exploit the clarification process as a strategic weapon based on our position (incumbent vs challenger)</t>
  </si>
  <si>
    <t>Competitive gaming requires human strategic thinking</t>
  </si>
  <si>
    <t>Win strategy, competitive intelligence</t>
  </si>
  <si>
    <t>Blocker: Gaming strategy is fundamentally human — incumbent vs challenger playbooks</t>
  </si>
  <si>
    <t>Gaming strategy is fundamentally human — incumbent vs challenger playbooks</t>
  </si>
  <si>
    <t>SAL-07.2.1</t>
  </si>
  <si>
    <t>Categorise and prioritise questions by strategic impact — which questions materially affect win probability or solution approach?</t>
  </si>
  <si>
    <t>AI categorises by type and proposes priority ranking based on scoring impact</t>
  </si>
  <si>
    <t>SAL-07.1 outputs</t>
  </si>
  <si>
    <t>Decision velocity: Priority ranking available immediately</t>
  </si>
  <si>
    <t>SAL-07.2.2</t>
  </si>
  <si>
    <t>Draft questions with strategic intent — framing that extracts maximum value, exploits competitive position, and controls information disclosure</t>
  </si>
  <si>
    <t>AI drafts neutral question language. Human adds strategic framing</t>
  </si>
  <si>
    <t>SAL-07.2.1 + competitive strategy</t>
  </si>
  <si>
    <t>Blocker: Strategic framing requires human judgement on what to reveal</t>
  </si>
  <si>
    <t>Strategic framing requires human judgement on what to reveal</t>
  </si>
  <si>
    <t>SAL-07.2.3</t>
  </si>
  <si>
    <t>Vet and approve clarification register — Bid Director sign-off before submission to BM-14 for submission management</t>
  </si>
  <si>
    <t>Approval is a human governance act</t>
  </si>
  <si>
    <t>Drafted questions</t>
  </si>
  <si>
    <t>Blocker: Approval is human</t>
  </si>
  <si>
    <t>Approval is human</t>
  </si>
  <si>
    <t>SAL-10</t>
  </si>
  <si>
    <t>SAL-10.1.1</t>
  </si>
  <si>
    <t>Identify decision-making unit (DMU) — all stakeholders involved in evaluation, approval, and award</t>
  </si>
  <si>
    <t>AI scrapes org charts, LinkedIn, published structures to build initial DMU map</t>
  </si>
  <si>
    <t>Client org data, LinkedIn, published structures</t>
  </si>
  <si>
    <t>Time reduction: Initial map built automatically, human validates and adds intel</t>
  </si>
  <si>
    <t>SAL-10.1.2</t>
  </si>
  <si>
    <t>Assess each stakeholder — influence level, disposition toward us, known priorities and concerns</t>
  </si>
  <si>
    <t>Requires relationship intelligence that isn't in documents</t>
  </si>
  <si>
    <t>CRM, human knowledge</t>
  </si>
  <si>
    <t>Blocker: Disposition assessment is relationship-based human judgement</t>
  </si>
  <si>
    <t>Disposition assessment is relationship-based human judgement</t>
  </si>
  <si>
    <t>SAL-10.1.3</t>
  </si>
  <si>
    <t>Map existing relationship strength — who knows whom, quality of access, last meaningful contact</t>
  </si>
  <si>
    <t>Requires internal relationship knowledge</t>
  </si>
  <si>
    <t>Blocker: "Who knows whom" is human knowledge</t>
  </si>
  <si>
    <t>Account Manager</t>
  </si>
  <si>
    <t>"Who knows whom" is human knowledge</t>
  </si>
  <si>
    <t>SAL-10.2.1</t>
  </si>
  <si>
    <t>Develop targeted engagement plan — objectives, approach, and messaging per stakeholder</t>
  </si>
  <si>
    <t>AI proposes engagement approach per stakeholder type. Human refines</t>
  </si>
  <si>
    <t>SAL-10.1 outputs</t>
  </si>
  <si>
    <t>Decision velocity: Draft plan available immediately</t>
  </si>
  <si>
    <t>SAL-10.2.2</t>
  </si>
  <si>
    <t>Execute engagement activities and log outcomes — intelligence gained, sentiment shifts, commitments</t>
  </si>
  <si>
    <t>AI can't attend meetings. Can structure the log template</t>
  </si>
  <si>
    <t>Blocker: Engagement is fundamentally face-to-face human activity</t>
  </si>
  <si>
    <t>Engagement is fundamentally face-to-face human activity</t>
  </si>
  <si>
    <t>SAL-10.2.3</t>
  </si>
  <si>
    <t>Update stakeholder map and confirm readiness for capture plan lock</t>
  </si>
  <si>
    <t>AI updates the map from logged engagement data. Human validates shifts</t>
  </si>
  <si>
    <t>Engagement log data</t>
  </si>
  <si>
    <t>Time reduction: Map update automated from structured log entries</t>
  </si>
  <si>
    <t>SOL</t>
  </si>
  <si>
    <t>SOL-01</t>
  </si>
  <si>
    <t>SOL-01.1.1</t>
  </si>
  <si>
    <t>Decompose ITT documentation into structured requirements — extract every requirement from specification, schedules, annexes, and contract</t>
  </si>
  <si>
    <t>AI extracts every requirement from spec, schedules, annexes, contract — structured and cross-referenced</t>
  </si>
  <si>
    <t>Full ITT document pack</t>
  </si>
  <si>
    <t>This is a top-5 AI use case. Days of manual extraction done in hours. Cross-referencing across documents catches hidden requirements.</t>
  </si>
  <si>
    <t>SOL-01.1.2</t>
  </si>
  <si>
    <t>Categorise requirements by type and priority — mandatory vs desirable, scored vs pass/fail, explicit vs implied</t>
  </si>
  <si>
    <t>AI categorises each requirement by type, priority, scoring linkage</t>
  </si>
  <si>
    <t>SOL-01.1.1 output + SAL-05</t>
  </si>
  <si>
    <t>Quality uplift: Systematic categorisation, no requirements missed</t>
  </si>
  <si>
    <t>SOL-01.1.3</t>
  </si>
  <si>
    <t>Identify ambiguities, contradictions, gaps, and unstated requirements — what is missing, unclear, or inconsistent in the documentation?</t>
  </si>
  <si>
    <t>AI identifies contradictions between documents, missing requirements, unstated assumptions</t>
  </si>
  <si>
    <t>SOL-01.1.2 + industry standards</t>
  </si>
  <si>
    <t>Quality uplift: AI cross-references at scale — catches contradictions humans miss</t>
  </si>
  <si>
    <t>SOL-01.2.1</t>
  </si>
  <si>
    <t>Interpret requirements against buyer values and client strategic context — what does the client really mean, and what is driving each requirement?</t>
  </si>
  <si>
    <t>AI maps requirements to buyer values, proposes interpretation. Human validates</t>
  </si>
  <si>
    <t>SOL-01.1.2 + SAL-01.2.1</t>
  </si>
  <si>
    <t>Blocker: Interpretation requires domain judgement</t>
  </si>
  <si>
    <t>Interpretation requires domain judgement</t>
  </si>
  <si>
    <t>SOL-01.2.2</t>
  </si>
  <si>
    <t>Assess our solution alignment per requirement area — where are we strong, where do we need to develop, where do we have gaps?</t>
  </si>
  <si>
    <t>AI assesses alignment if capability data is structured. Human validates gaps</t>
  </si>
  <si>
    <t>SOL-01.2.1 + capability data</t>
  </si>
  <si>
    <t>Blocker: Requires structured internal capability data</t>
  </si>
  <si>
    <t>Requires structured internal capability data</t>
  </si>
  <si>
    <t>SOL-01.2.3</t>
  </si>
  <si>
    <t>Synthesise requirements interpretation document — the consolidated output consumed by solution design and clarification strategy</t>
  </si>
  <si>
    <t>All SOL-01 outputs</t>
  </si>
  <si>
    <t>Time reduction: Assembly automated</t>
  </si>
  <si>
    <t>SOL-02</t>
  </si>
  <si>
    <t>SOL-02.1.1</t>
  </si>
  <si>
    <t>Map current organisational structure — departments, sub-departments, reporting lines, governance framework, interfaces with client organisation</t>
  </si>
  <si>
    <t>AI extracts structure from published documents. Human fills gaps</t>
  </si>
  <si>
    <t>Published data, ITT docs</t>
  </si>
  <si>
    <t>Blocker: Often limited published data about current operating model</t>
  </si>
  <si>
    <t>Often limited published data about current operating model</t>
  </si>
  <si>
    <t>SOL-02.1.2</t>
  </si>
  <si>
    <t>Assess current workforce — headcount, roles, grades, management structure, TUPE-relevant employment terms and conditions</t>
  </si>
  <si>
    <t>AI analyses disclosed TUPE data. Human interprets gaps</t>
  </si>
  <si>
    <t>TUPE data (if disclosed)</t>
  </si>
  <si>
    <t>Blocker: TUPE data often incomplete or not yet disclosed</t>
  </si>
  <si>
    <t>HR Lead</t>
  </si>
  <si>
    <t>TUPE data often incomplete or not yet disclosed</t>
  </si>
  <si>
    <t>SOL-02.1.3</t>
  </si>
  <si>
    <t>Review current systems, tools, and data landscape — technology stack, legacy systems, data flows, integration points, licensing</t>
  </si>
  <si>
    <t>AI analyses published technology references in ITT/contract docs</t>
  </si>
  <si>
    <t>ITT documentation</t>
  </si>
  <si>
    <t>Blocker: Current technology landscape rarely documented in detail</t>
  </si>
  <si>
    <t>Technical Lead</t>
  </si>
  <si>
    <t>Current technology landscape rarely documented in detail</t>
  </si>
  <si>
    <t>SOL-02.2.1</t>
  </si>
  <si>
    <t>Assess current service performance against existing KPIs and SLA framework — what is the performance baseline we are inheriting or competing against?</t>
  </si>
  <si>
    <t>AI analyses published KPI/performance data, audit reports, FOI responses</t>
  </si>
  <si>
    <t>Published performance data</t>
  </si>
  <si>
    <t>Quality uplift: Comprehensive data analysis across all available sources</t>
  </si>
  <si>
    <t>SOL-02.2.2</t>
  </si>
  <si>
    <t>Document the current operating model — how organisation, people, systems, and processes combine to deliver the service today</t>
  </si>
  <si>
    <t>AI synthesises the integrated operating model from upstream outputs</t>
  </si>
  <si>
    <t>SOL-02.1 outputs</t>
  </si>
  <si>
    <t>Time reduction: Synthesis automated</t>
  </si>
  <si>
    <t>SOL-02.2.3</t>
  </si>
  <si>
    <t>Identify what we are inheriting on day one and key transition implications — the handover baseline that feeds transition planning</t>
  </si>
  <si>
    <t>AI identifies transfer implications from document analysis. Human validates</t>
  </si>
  <si>
    <t>SOL-02.2.2 output</t>
  </si>
  <si>
    <t>Decision velocity: Transition implications surfaced faster</t>
  </si>
  <si>
    <t>SOL-03</t>
  </si>
  <si>
    <t>SOL-03.1.1</t>
  </si>
  <si>
    <t>Determine solution positioning — where on the spectrum between low-capex/compliant and high-capex/transformational does this solution land, and why?</t>
  </si>
  <si>
    <t>AI accelerates with draft/analysis. Human applies domain judgement.</t>
  </si>
  <si>
    <t>Upstream SOL-03 outputs</t>
  </si>
  <si>
    <t>Decision velocity: AI draft available immediately for human refinement</t>
  </si>
  <si>
    <t>SOL-03.1.2</t>
  </si>
  <si>
    <t>Establish solution design principles — the rules that guide all downstream design decisions, flowing from the positioning choice</t>
  </si>
  <si>
    <t>AI proposes options based on requirements. Human makes design decisions.</t>
  </si>
  <si>
    <t>SOL-03.1.3</t>
  </si>
  <si>
    <t>Define solution scope and boundary — what is in, what is out, where our service interfaces with the client and third parties</t>
  </si>
  <si>
    <t>SOL-03.2.1</t>
  </si>
  <si>
    <t>Design the high-level operating model framework — service lines, how they relate, how they map to requirements and deliver against the specification</t>
  </si>
  <si>
    <t>SOL-03.2.2</t>
  </si>
  <si>
    <t>Design the governance and management model — how the service will be managed, client interface, decision-making, escalation, performance reporting</t>
  </si>
  <si>
    <t>SOL-03.2.3</t>
  </si>
  <si>
    <t>Design the organisational concept — future structure, key roles, capability requirements at a strategic level (detail in SOL-06)</t>
  </si>
  <si>
    <t>AI provides minimal preparation support. Task is fundamentally human.</t>
  </si>
  <si>
    <t>Minimal: Preparation support only</t>
  </si>
  <si>
    <t>Human relationship/judgement required</t>
  </si>
  <si>
    <t>SOL-03.3.1</t>
  </si>
  <si>
    <t>Map solution to requirements — demonstrate how the TOM addresses every key requirement area from SOL-01</t>
  </si>
  <si>
    <t>SOL-03.3.2</t>
  </si>
  <si>
    <t>Map solution to win themes — demonstrate how the TOM delivers our differentiators and competitive messaging</t>
  </si>
  <si>
    <t>AI prepares materials. Delivery is human.</t>
  </si>
  <si>
    <t>Client-facing interaction is human</t>
  </si>
  <si>
    <t>SOL-03.3.3</t>
  </si>
  <si>
    <t>Validate TOM with bid team — confirm as the baseline for detailed design activities (SOL-04 onwards) and identify risks and dependencies</t>
  </si>
  <si>
    <t>AI prepares pack/summary. Decision is human governance.</t>
  </si>
  <si>
    <t>Governance decision is human</t>
  </si>
  <si>
    <t>SOL-04</t>
  </si>
  <si>
    <t>SOL-04.1.1</t>
  </si>
  <si>
    <t>Design service delivery processes per service line — workflows, activities, handoffs, triggers, volumes, and operating procedures</t>
  </si>
  <si>
    <t>Upstream SOL-04 outputs</t>
  </si>
  <si>
    <t>SOL-04.1.2</t>
  </si>
  <si>
    <t>Design resource and capacity model per service line — what resources deliver this service, at what capacity, with what scalability?</t>
  </si>
  <si>
    <t>SOL-04.1.3</t>
  </si>
  <si>
    <t>Design interfaces and dependencies between service lines — how work flows across boundaries, shared services, escalation paths</t>
  </si>
  <si>
    <t>SOL-04.2.1</t>
  </si>
  <si>
    <t>Map SLA/KPI commitments to delivery components — which parts of the delivery model are responsible for which performance outcomes?</t>
  </si>
  <si>
    <t>AI runs models from structured inputs. Human validates assumptions.</t>
  </si>
  <si>
    <t>SOL-04.2.2</t>
  </si>
  <si>
    <t>Design quality assurance and continuous improvement mechanisms — how we monitor, measure, and improve service delivery over the contract term</t>
  </si>
  <si>
    <t>SOL-04.2.3</t>
  </si>
  <si>
    <t>Validate service delivery model — confirm it delivers against requirements, is costable for COM-01, and is deliverable within the organisational concept</t>
  </si>
  <si>
    <t>SOL-05</t>
  </si>
  <si>
    <t>SOL-05.1.1</t>
  </si>
  <si>
    <t>Design target technology architecture — platforms, infrastructure, applications, and how they support the service delivery model</t>
  </si>
  <si>
    <t>AI executes task autonomously from structured inputs. Human reviews.</t>
  </si>
  <si>
    <t>Upstream SOL-05 outputs</t>
  </si>
  <si>
    <t>Time reduction: Task largely automated from structured data</t>
  </si>
  <si>
    <t>SOL-05.1.2</t>
  </si>
  <si>
    <t>Assess build vs buy vs reuse decisions — what do we develop bespoke, what COTS/partner platforms do we adopt, what existing systems do we retain and enhance?</t>
  </si>
  <si>
    <t>AI produces first draft. Human refines with domain judgement.</t>
  </si>
  <si>
    <t>SOL-05.1.3</t>
  </si>
  <si>
    <t>Design cyber security and information assurance approach — security architecture, data classification, accreditation requirements</t>
  </si>
  <si>
    <t>SOL-05.2.1</t>
  </si>
  <si>
    <t>Design data architecture and migration approach — data model, data flows, migration from legacy systems, data quality strategy</t>
  </si>
  <si>
    <t>SOL-05.2.2</t>
  </si>
  <si>
    <t>Design integration architecture — how systems connect, APIs, interfaces with client systems and third-party platforms</t>
  </si>
  <si>
    <t>SOL-05.2.3</t>
  </si>
  <si>
    <t>Validate technology solution — confirm it enables the delivery model, is costable, is deliverable, and meets security requirements</t>
  </si>
  <si>
    <t>SOL-06</t>
  </si>
  <si>
    <t>SOL-06.1.1</t>
  </si>
  <si>
    <t>Design target workforce structure — roles, grades, FTEs, reporting lines, mapped to service lines and organisational concept</t>
  </si>
  <si>
    <t>AI maps and cross-references data systematically</t>
  </si>
  <si>
    <t>Upstream SOL-06 outputs</t>
  </si>
  <si>
    <t>SOL-06.1.2</t>
  </si>
  <si>
    <t>Define skills and capability requirements per role — what competencies, qualifications, clearances, and experience does the future workforce need?</t>
  </si>
  <si>
    <t>SOL-06.2.1</t>
  </si>
  <si>
    <t>Analyse TUPE-transferring workforce — headcount, terms and conditions, pensions, collective agreements, protected rights, and legal obligations</t>
  </si>
  <si>
    <t>AI provides analysis and assessment. Human validates with judgement.</t>
  </si>
  <si>
    <t>SOL-06.2.2</t>
  </si>
  <si>
    <t>Conduct workforce gap analysis — delta between transferring workforce and target staffing model: recruit, redeploy, upskill, or restructure</t>
  </si>
  <si>
    <t>SOL-06.2.3</t>
  </si>
  <si>
    <t>Validate staffing model — confirm it delivers the service, is TUPE-compliant, and is costable for COM-01</t>
  </si>
  <si>
    <t>SOL-07</t>
  </si>
  <si>
    <t>SOL-07.1.1</t>
  </si>
  <si>
    <t>Design the transition approach and phasing — pre-contract, day one, transition period, steady state — with service continuity as the overriding constraint</t>
  </si>
  <si>
    <t>Upstream SOL-07 outputs</t>
  </si>
  <si>
    <t>Delivery Director</t>
  </si>
  <si>
    <t>SOL-07.1.2</t>
  </si>
  <si>
    <t>Plan people transition — TUPE transfer process, day-one workforce readiness, induction, gap recruitment timeline, training programme</t>
  </si>
  <si>
    <t>AI drafts plan from upstream outputs. Human validates and refines.</t>
  </si>
  <si>
    <t>SOL-07.1.3</t>
  </si>
  <si>
    <t>Plan technology and data transition — system migration, data migration, new platform deployment, parallel running, legacy decommission</t>
  </si>
  <si>
    <t>SOL-07.2.1</t>
  </si>
  <si>
    <t>Design the mobilisation programme — governance, milestones, dependencies, resource plan, client and outgoing-supplier interface</t>
  </si>
  <si>
    <t>SOL-07.2.2</t>
  </si>
  <si>
    <t>Identify transition risks and develop mitigation strategies — what could go wrong during transition and how we prevent or manage it</t>
  </si>
  <si>
    <t>SOL-07.2.3</t>
  </si>
  <si>
    <t>Validate transition plan — confirm it delivers service continuity, is achievable within timeline, and is costable</t>
  </si>
  <si>
    <t>SOL-08</t>
  </si>
  <si>
    <t>SOL-08.1.1</t>
  </si>
  <si>
    <t>Define innovation strategy — vision, principles, and how innovation aligns to buyer values, win themes, and the evaluation framework</t>
  </si>
  <si>
    <t>Upstream SOL-08 outputs</t>
  </si>
  <si>
    <t>SOL-08.1.2</t>
  </si>
  <si>
    <t>Design innovation roadmap across the contract term — what innovations, when, what investment required, what outcomes delivered</t>
  </si>
  <si>
    <t>SOL-08.1.3</t>
  </si>
  <si>
    <t>Identify day-one innovations — what we bring from the start that the incumbent does not have and that immediately improves the service</t>
  </si>
  <si>
    <t>SOL-08.2.1</t>
  </si>
  <si>
    <t>Design continuous improvement governance — how improvements are identified, assessed, approved, funded, and measured over the contract term</t>
  </si>
  <si>
    <t>SOL-08.3.1</t>
  </si>
  <si>
    <t>Model the innovation productivity curve — how AI, automation, and process improvement progressively reduce cost base over the contract term</t>
  </si>
  <si>
    <t>SOL-08.3.2</t>
  </si>
  <si>
    <t>Design value sharing and investment framework — who benefits from productivity gains, how innovation investment is funded, and how this is contractually governed</t>
  </si>
  <si>
    <t>SOL-08.3.3</t>
  </si>
  <si>
    <t>Plan workforce transformation alongside innovation — how roles evolve, redeploy, or reduce as AI and automation are introduced, within TUPE and employment law constraints</t>
  </si>
  <si>
    <t>SOL-08.3.4</t>
  </si>
  <si>
    <t>Validate innovation roadmap — credible investment case, measurable outcomes, commercially viable, workforce impact managed, aligned to evaluation criteria</t>
  </si>
  <si>
    <t>Team validation requires human judgement</t>
  </si>
  <si>
    <t>SOL-09</t>
  </si>
  <si>
    <t>SOL-09.1.1</t>
  </si>
  <si>
    <t>Analyse social value requirements and evaluation criteria — what the ITT requires, what themes are weighted, what the client's local priorities are</t>
  </si>
  <si>
    <t>Upstream SOL-09 outputs</t>
  </si>
  <si>
    <t>SOL-09.1.2</t>
  </si>
  <si>
    <t>Design social value commitments — specific, measurable, embedded in delivery model and supply chain, aligned to Social Value Model themes and local priorities</t>
  </si>
  <si>
    <t>SOL-09.1.3</t>
  </si>
  <si>
    <t>Define monitoring and reporting framework — how social value commitments will be tracked, measured, and reported over the contract term</t>
  </si>
  <si>
    <t>SOL-09.2.1</t>
  </si>
  <si>
    <t>Embed social value commitments in the operating model — link each commitment to specific service delivery, staffing, or supply chain components</t>
  </si>
  <si>
    <t>SOL-09.2.2</t>
  </si>
  <si>
    <t>Validate social value plan — commitments are deliverable, measurable, proportionate, and will score against evaluation criteria</t>
  </si>
  <si>
    <t>SOL-10</t>
  </si>
  <si>
    <t>SOL-10.1.1</t>
  </si>
  <si>
    <t>Map evidence requirements to evaluation sections — what type of evidence does each scored section need to achieve maximum marks?</t>
  </si>
  <si>
    <t>Upstream SOL-10 outputs</t>
  </si>
  <si>
    <t>SOL-10.1.2</t>
  </si>
  <si>
    <t>Assess current evidence availability — search existing library, identify what is reusable, what is outdated, and where the gaps are</t>
  </si>
  <si>
    <t>SOL-10.1.3</t>
  </si>
  <si>
    <t>Cross-reference evidence gaps with score gap analysis — where evidence gaps create scoring risk, prioritise accordingly</t>
  </si>
  <si>
    <t>SOL-10.2.1</t>
  </si>
  <si>
    <t>Retrieve and adapt existing evidence from content library — case studies, CVs, credentials, certifications, reference letters</t>
  </si>
  <si>
    <t>SOL-10.2.2</t>
  </si>
  <si>
    <t>Commission new evidence where gaps identified — new case studies, reference letters, updated CVs, partner credentials, performance data</t>
  </si>
  <si>
    <t>SOL-10.2.3</t>
  </si>
  <si>
    <t>Validate evidence requirements matrix — all high-priority evidence either sourced or commissioned, feeds PRD-03 for assembly</t>
  </si>
  <si>
    <t>SOL-11</t>
  </si>
  <si>
    <t>SOL-11.1.1</t>
  </si>
  <si>
    <t>Consolidate all solution workstream outputs into a single design pack — TOM, service delivery, technology, staffing, transition, innovation, social value, evidence, risk</t>
  </si>
  <si>
    <t>AI consolidates upstream outputs into structured document automatically</t>
  </si>
  <si>
    <t>Upstream SOL-11 outputs</t>
  </si>
  <si>
    <t>SOL-11.1.2</t>
  </si>
  <si>
    <t>Conduct completeness and coherence check — are all components present, consistent with each other, and aligned to the win strategy?</t>
  </si>
  <si>
    <t>SOL-11.2.1</t>
  </si>
  <si>
    <t>Conduct internal solution assurance review — is the solution deliverable, costable, compliant, and competitive?</t>
  </si>
  <si>
    <t>SOL-11.2.2</t>
  </si>
  <si>
    <t>Baseline and lock solution design pack — formal sign-off, "Solution Design Complete" milestone fires, feeds GOV-02</t>
  </si>
  <si>
    <t>SOL-12</t>
  </si>
  <si>
    <t>SOL-12.1.1</t>
  </si>
  <si>
    <t>Harvest solution risks from all upstream SOL activities — consolidate technology, staffing, transition, innovation, and social value risks into a single register</t>
  </si>
  <si>
    <t>Upstream SOL-12 outputs</t>
  </si>
  <si>
    <t>Phase 5</t>
  </si>
  <si>
    <t>SOL-12.1.2</t>
  </si>
  <si>
    <t>Identify additional delivery and compliance risks not captured upstream — gaps, dependencies, assumptions that could fail, integration risks across solution components</t>
  </si>
  <si>
    <t>SOL-12.2.1</t>
  </si>
  <si>
    <t>Assess and prioritise consolidated risks — likelihood, impact, proximity, and assign risk owner for each</t>
  </si>
  <si>
    <t>SOL-12.2.2</t>
  </si>
  <si>
    <t>Develop mitigation strategies for high-priority risks and confirm residual risk position</t>
  </si>
  <si>
    <t>SOL-12.2.3</t>
  </si>
  <si>
    <t>Validate solution risk register — confirm it is complete, mitigations are credible, and the register is ready for governance gates and BM-13</t>
  </si>
  <si>
    <t>COM</t>
  </si>
  <si>
    <t>COM-01</t>
  </si>
  <si>
    <t>COM-01.1.1</t>
  </si>
  <si>
    <t>Build workforce cost model — people costs from SOL-06 staffing model: salaries, pensions, employer NI, benefits, training, recruitment costs per role per year</t>
  </si>
  <si>
    <t>Upstream COM-01 outputs</t>
  </si>
  <si>
    <t>Phase 4</t>
  </si>
  <si>
    <t>COM-01.1.2</t>
  </si>
  <si>
    <t>Build non-workforce cost model — technology, facilities, consumables, travel, insurance, management overhead, third-party services</t>
  </si>
  <si>
    <t>COM-01.1.3</t>
  </si>
  <si>
    <t>Build transition and mobilisation cost model — one-off costs from SOL-07: dual running, recruitment, technology migration, training, mobilisation team</t>
  </si>
  <si>
    <t>COM-01.1.4</t>
  </si>
  <si>
    <t>Incorporate partner and supply chain cost placeholder — to be updated when COM-03 confirms partner pricing</t>
  </si>
  <si>
    <t>COM-01.2.1</t>
  </si>
  <si>
    <t>Model cost trajectory across the contract term — year-on-year cost profile incorporating innovation productivity curve and planned changes</t>
  </si>
  <si>
    <t>COM-01.2.2</t>
  </si>
  <si>
    <t>Document all cost assumptions — inflation, attrition, utilisation, volume, demand variability, rate card basis, contingency approach</t>
  </si>
  <si>
    <t>COM-01.2.3</t>
  </si>
  <si>
    <t>Validate should-cost model — confirm it reflects the locked solution, is internally consistent, and provides a credible basis for pricing</t>
  </si>
  <si>
    <t>COM-02</t>
  </si>
  <si>
    <t>COM-02.1.1</t>
  </si>
  <si>
    <t>Establish the current cost baseline — existing contract value, historical award data, and industry benchmarking for comparable services or commodities</t>
  </si>
  <si>
    <t>Upstream COM-02 outputs</t>
  </si>
  <si>
    <t>COM-02.1.2</t>
  </si>
  <si>
    <t>Assess competitor price positioning — what are credible competitors likely to bid based on their cost base, strategy, and market behaviour?</t>
  </si>
  <si>
    <t>COM-02.1.3</t>
  </si>
  <si>
    <t>Assess client budget and affordability — what can the client afford, what signals have they given, and how does the Procurement Act MAT framework affect price evaluation?</t>
  </si>
  <si>
    <t>COM-02.2.1</t>
  </si>
  <si>
    <t>Model the price envelope — floor, competitive midpoint, and ceiling — incorporating quality/price interaction and Procurement Act MAT assessment framework</t>
  </si>
  <si>
    <t>COM-02.2.2</t>
  </si>
  <si>
    <t>Compare bottom-up cost against top-down price envelope — is the gap bridgeable? What are the options if it is not?</t>
  </si>
  <si>
    <t>COM-02.2.3</t>
  </si>
  <si>
    <t>Validate price-to-win assessment — confirm the recommended price position and escalate if bottom-up exceeds top-down</t>
  </si>
  <si>
    <t>COM-03</t>
  </si>
  <si>
    <t>COM-03.1.1</t>
  </si>
  <si>
    <t>Detail the inter-party commercial framework — margin stack, risk sharing principles, payment flow, indexation basis, volume commitments between consortium members</t>
  </si>
  <si>
    <t>Upstream COM-03 outputs</t>
  </si>
  <si>
    <t>COM-03.1.2</t>
  </si>
  <si>
    <t>Prepare structured pricing requests for each partner — scope, volumes, assumptions, timeline, format aligned to work breakdown and our commercial model</t>
  </si>
  <si>
    <t>COM-03.2.1</t>
  </si>
  <si>
    <t>Review and validate partner pricing submissions — completeness, assumption alignment, competitiveness, and fit within our commercial model</t>
  </si>
  <si>
    <t>COM-03.2.2</t>
  </si>
  <si>
    <t>Negotiate partner pricing and terms — resolve gaps, align assumptions, agree final pricing and risk allocation per partner</t>
  </si>
  <si>
    <t>COM-03.3.1</t>
  </si>
  <si>
    <t>Integrate confirmed partner pricing into the should-cost model — replace placeholders, reconcile assumptions, update year-on-year cost trajectory</t>
  </si>
  <si>
    <t>COM-03.3.2</t>
  </si>
  <si>
    <t>Validate partner pricing schedule — all partners priced, assumptions aligned, commercially viable, feeds COM-05 and COM-06</t>
  </si>
  <si>
    <t>COM-04</t>
  </si>
  <si>
    <t>COM-04.1.1</t>
  </si>
  <si>
    <t>Design the payment mechanism — how we get paid: fixed price, cost-plus, unitary charge, milestone payments, outcome-based, payment by results, or hybrid</t>
  </si>
  <si>
    <t>Upstream COM-04 outputs</t>
  </si>
  <si>
    <t>COM-04.1.2</t>
  </si>
  <si>
    <t>Design the pricing structure — how the price is presented: annual charge, rate card, unit pricing, blended rates, or combination aligned to ITT pricing schedules</t>
  </si>
  <si>
    <t>COM-04.1.3</t>
  </si>
  <si>
    <t>Design indexation and benchmarking provisions — how prices change over the contract term, and how the client verifies value for money</t>
  </si>
  <si>
    <t>COM-04.2.1</t>
  </si>
  <si>
    <t>Design service credit and deduction regime — how underperformance is penalised financially, our exposure, and earn-back mechanisms</t>
  </si>
  <si>
    <t>COM-04.2.2</t>
  </si>
  <si>
    <t>Incorporate innovation value sharing mechanism — gain share, reinvestment commitments, annual price reduction trajectory aligned to SOL-08 framework</t>
  </si>
  <si>
    <t>COM-04.2.3</t>
  </si>
  <si>
    <t>Validate commercial model — coherent with cost model, legally viable, aligned to ITT requirements, commercially sustainable</t>
  </si>
  <si>
    <t>COM-05</t>
  </si>
  <si>
    <t>COM-05.1.1</t>
  </si>
  <si>
    <t>Conduct sensitivity analysis on key cost assumptions — test each variable for upside (better than assumed) and downside (worse than assumed) impact on margin</t>
  </si>
  <si>
    <t>Upstream COM-05 outputs</t>
  </si>
  <si>
    <t>COM-05.1.2</t>
  </si>
  <si>
    <t>Stress-test commercial model scenarios — maximum service credit exposure, gain share under/overperformance, volume variance, indexation deviation</t>
  </si>
  <si>
    <t>COM-05.2.1</t>
  </si>
  <si>
    <t>Model margin structure at multiple price points across the price-to-win envelope — informed by sensitivity and stress test results</t>
  </si>
  <si>
    <t>COM-05.2.2</t>
  </si>
  <si>
    <t>Model the P&amp;L profile across the contract term — margin trajectory year by year as innovation reduces costs, indexation adjusts prices, and volumes evolve</t>
  </si>
  <si>
    <t>COM-05.2.3</t>
  </si>
  <si>
    <t>Produce risk-adjusted margin view and validate — the executive decision paper presenting base case, upside, downside, and recommendation</t>
  </si>
  <si>
    <t>COM-06</t>
  </si>
  <si>
    <t>COM-06.1.1</t>
  </si>
  <si>
    <t>Set the final price position — land within the validated envelope based on margin analysis, sensitivity results, and executive guidance</t>
  </si>
  <si>
    <t>Upstream COM-06 outputs</t>
  </si>
  <si>
    <t>COM-06.1.2</t>
  </si>
  <si>
    <t>Populate pricing schedules in the ITT-required format — translate the commercial model into the client's pricing tables, rate cards, and financial submissions</t>
  </si>
  <si>
    <t>COM-06.2.1</t>
  </si>
  <si>
    <t>Conduct final pricing reconciliation — confirm cost model, commercial model, partner pricing, risk contingency, and submitted price all reconcile</t>
  </si>
  <si>
    <t>COM-06.2.2</t>
  </si>
  <si>
    <t>Lock pricing model — formal sign-off, baseline for GOV-03 (Pricing &amp; Risk Review) and PRD-04 (pricing response documents)</t>
  </si>
  <si>
    <t>COM-07</t>
  </si>
  <si>
    <t>COM-07.1.1</t>
  </si>
  <si>
    <t>Harvest commercial risks from all COM activities — cost assumptions, pricing position, partner terms, payment mechanism, service credits, innovation commercial model</t>
  </si>
  <si>
    <t>AI harvests and consolidates data from upstream outputs</t>
  </si>
  <si>
    <t>Upstream COM-07 outputs</t>
  </si>
  <si>
    <t>COM-07.1.2</t>
  </si>
  <si>
    <t>Identify additional commercial risks not captured upstream — contract terms, foreign exchange, regulatory change, client budget, market shift, competitor pricing behaviour</t>
  </si>
  <si>
    <t>COM-07.2.1</t>
  </si>
  <si>
    <t>Assess and prioritise commercial risks — likelihood, impact, financial exposure, and assign risk owner</t>
  </si>
  <si>
    <t>COM-07.2.2</t>
  </si>
  <si>
    <t>Develop mitigation strategies and quantify contingency requirements — what risk premium or contingency should be priced into the bid?</t>
  </si>
  <si>
    <t>COM-07.2.3</t>
  </si>
  <si>
    <t>Validate commercial risk register — complete, contingency quantified, ready for COM-06 pricing and governance gates</t>
  </si>
  <si>
    <t>LEG</t>
  </si>
  <si>
    <t>LEG-01</t>
  </si>
  <si>
    <t>LEG-01.1.1</t>
  </si>
  <si>
    <t>Review all contract documents — T&amp;Cs, schedules, annexes — identify obligations, liabilities, and non-standard provisions</t>
  </si>
  <si>
    <t>Upstream LEG-01 outputs</t>
  </si>
  <si>
    <t>Legal Lead</t>
  </si>
  <si>
    <t>LEG-01.1.2</t>
  </si>
  <si>
    <t>Identify red lines and risk areas — terms we cannot accept, terms that need amendment, terms that create unacceptable exposure</t>
  </si>
  <si>
    <t>LEG-01.2.1</t>
  </si>
  <si>
    <t>Prepare contract markup and redline — proposed amendments with rationale for each change</t>
  </si>
  <si>
    <t>LEG-01.2.2</t>
  </si>
  <si>
    <t>Develop negotiation strategy and positions log — fallback positions, must-haves vs nice-to-haves, feeds competitive dialogue (BM-09)</t>
  </si>
  <si>
    <t>LEG-02</t>
  </si>
  <si>
    <t>LEG-02.1.1</t>
  </si>
  <si>
    <t>Map risk allocation across the contract — who bears what risk (client, supplier, shared) for each category: delivery, financial, transition, TUPE, technology, force majeure</t>
  </si>
  <si>
    <t>Upstream LEG-02 outputs</t>
  </si>
  <si>
    <t>LEG-02.1.2</t>
  </si>
  <si>
    <t>Assess acceptability of risk allocation against corporate risk appetite — where are we taking too much risk?</t>
  </si>
  <si>
    <t>LEG-02.1.3</t>
  </si>
  <si>
    <t>Develop risk mitigation positions and recommend contract amendments — feeds LEG-01 markup and COM-04 commercial model</t>
  </si>
  <si>
    <t>LEG-03</t>
  </si>
  <si>
    <t>LEG-03.1.1</t>
  </si>
  <si>
    <t>Identify insurance requirements from the contract — PI, PL, EL, cyber, product liability minimum levels and specific provisions</t>
  </si>
  <si>
    <t>Upstream LEG-03 outputs</t>
  </si>
  <si>
    <t>LEG-03.1.2</t>
  </si>
  <si>
    <t>Assess current insurance coverage against requirements — gaps, additional premiums, exclusions that need addressing</t>
  </si>
  <si>
    <t>LEG-03.1.3</t>
  </si>
  <si>
    <t>Quantify insurance cost and confirm compliance — additional premium cost feeds COM-01, compliance position confirmed</t>
  </si>
  <si>
    <t>LEG-04</t>
  </si>
  <si>
    <t>LEG-04.1.1</t>
  </si>
  <si>
    <t>Assess TUPE obligations from a legal perspective — regulations, case law, pension obligations (Fair Deal / New Fair Deal), consultation requirements, information rights</t>
  </si>
  <si>
    <t>Upstream LEG-04 outputs</t>
  </si>
  <si>
    <t>LEG-04.1.2</t>
  </si>
  <si>
    <t>Review SOL-06 staffing plans for legal compliance — are the restructuring, redeployment, and gap resolution plans legally sound under TUPE?</t>
  </si>
  <si>
    <t>LEG-04.1.3</t>
  </si>
  <si>
    <t>Identify TUPE legal risks and develop mitigation advice — feeds SOL-12 and COM-07</t>
  </si>
  <si>
    <t>LEG-05</t>
  </si>
  <si>
    <t>LEG-05.1.1</t>
  </si>
  <si>
    <t>Conduct Data Protection Impact Assessment (DPIA) — personal data handling, lawful basis, data processor/controller roles, data subject rights, international transfers</t>
  </si>
  <si>
    <t>Upstream LEG-05 outputs</t>
  </si>
  <si>
    <t>LEG-05.1.2</t>
  </si>
  <si>
    <t>Assess information security requirements — security classification, accreditation pathway, vetting levels, Cyber Essentials/ISO 27001 compliance</t>
  </si>
  <si>
    <t>LEG-05.1.3</t>
  </si>
  <si>
    <t>Identify data protection and security risks — feeds SOL-12 solution risk register</t>
  </si>
  <si>
    <t>LEG-06</t>
  </si>
  <si>
    <t>LEG-06.1.1</t>
  </si>
  <si>
    <t>Review partner/subcontractor teaming agreements and terms — legal structure, liability, IP, confidentiality, termination, dispute resolution</t>
  </si>
  <si>
    <t>Upstream LEG-06 outputs</t>
  </si>
  <si>
    <t>LEG-06.1.2</t>
  </si>
  <si>
    <t>Ensure back-to-back alignment — subcontractor terms flow down from prime contract appropriately, no gaps in risk coverage</t>
  </si>
  <si>
    <t>LEG-06.1.3</t>
  </si>
  <si>
    <t>Validate subcontractor terms — legally sound, commercially aligned, feeds SUP-06 for formalisation</t>
  </si>
  <si>
    <t>DEL</t>
  </si>
  <si>
    <t>DEL-01</t>
  </si>
  <si>
    <t>DEL-01.1.1</t>
  </si>
  <si>
    <t>Identify delivery-specific risks not covered in SOL-12 — bid-to-delivery handover, client readiness, operational ramp-up, supply chain delivery, service continuity during transition</t>
  </si>
  <si>
    <t>Upstream DEL-01 outputs</t>
  </si>
  <si>
    <t>DEL-01.1.2</t>
  </si>
  <si>
    <t>Document key delivery assumptions — assumptions about client behaviour, volumes, timelines, third-party dependencies, resource availability that underpin the delivery plan</t>
  </si>
  <si>
    <t>DEL-01.2.1</t>
  </si>
  <si>
    <t>Maintain and update through the bid lifecycle — refresh as solution, commercial, and legal activities surface new risks and validate assumptions</t>
  </si>
  <si>
    <t>DEL-01.2.2</t>
  </si>
  <si>
    <t>Prepare risk and assumption position for governance gates — summarise for GOV-02 and GOV-03 entry criteria</t>
  </si>
  <si>
    <t>DEL-02</t>
  </si>
  <si>
    <t>DEL-02.1.1</t>
  </si>
  <si>
    <t>Develop the detailed mobilisation programme — Gantt, dependencies, resource loading, milestones, acceptance criteria — operationalising SOL-07 transition plan</t>
  </si>
  <si>
    <t>Upstream DEL-02 outputs</t>
  </si>
  <si>
    <t>DEL-02.1.2</t>
  </si>
  <si>
    <t>Design mobilisation governance and reporting — how the mobilisation programme will be managed, tracked, and reported to the client</t>
  </si>
  <si>
    <t>DEL-02.2.1</t>
  </si>
  <si>
    <t>Assess mobilisation readiness and pre-contract preparation — what can be started before contract signature to accelerate mobilisation</t>
  </si>
  <si>
    <t>DEL-02.2.2</t>
  </si>
  <si>
    <t>Validate mobilisation plan — achievable, resourced, feeds the proposal response</t>
  </si>
  <si>
    <t>DEL-03</t>
  </si>
  <si>
    <t>DEL-03.1.1</t>
  </si>
  <si>
    <t>Design the KPI/SLA operational framework — how each commitment will be measured, monitored, managed, and improved in live service</t>
  </si>
  <si>
    <t>Upstream DEL-03 outputs</t>
  </si>
  <si>
    <t>DEL-03.1.2</t>
  </si>
  <si>
    <t>Design the performance reporting model — dashboards, reports, client governance forums, escalation triggers</t>
  </si>
  <si>
    <t>DEL-03.1.3</t>
  </si>
  <si>
    <t>Assess our ability to meet the performance framework — confidence assessment per KPI/SLA, identifies risks for DEL-01</t>
  </si>
  <si>
    <t>DEL-04</t>
  </si>
  <si>
    <t>DEL-04.1.1</t>
  </si>
  <si>
    <t>Develop the delivery resource plan — operational workforce plan building on SOL-06, including mobilisation resourcing, bid-to-delivery handover, and steady-state workforce management</t>
  </si>
  <si>
    <t>Upstream DEL-04 outputs</t>
  </si>
  <si>
    <t>DEL-04.1.2</t>
  </si>
  <si>
    <t>Plan resource mobilisation and onboarding — recruitment timeline, clearance processing, training, onboarding programme</t>
  </si>
  <si>
    <t>DEL-04.1.3</t>
  </si>
  <si>
    <t>Validate resource plan — achievable, costable, risks identified, Delivery Director accepts accountability</t>
  </si>
  <si>
    <t>DEL-05</t>
  </si>
  <si>
    <t>DEL-05.1.1</t>
  </si>
  <si>
    <t>Design business continuity and disaster recovery approach — how the service continues during major disruption, site loss, technology failure, or pandemic</t>
  </si>
  <si>
    <t>Upstream DEL-05 outputs</t>
  </si>
  <si>
    <t>DEL-05.2.1</t>
  </si>
  <si>
    <t>Design exit and handback plan — reverse TUPE, data return, knowledge transfer, asset handback, service continuity during exit period</t>
  </si>
  <si>
    <t>DEL-06</t>
  </si>
  <si>
    <t>DEL-06.1.1</t>
  </si>
  <si>
    <t>Consolidate all risk registers from delivery perspective — solution, commercial, delivery, legal — into one assured view</t>
  </si>
  <si>
    <t>Upstream DEL-06 outputs</t>
  </si>
  <si>
    <t>DEL-06.1.2</t>
  </si>
  <si>
    <t>Confirm mitigation status and residual risk position — all mitigations assigned and in progress, residual risk accepted by Delivery Director</t>
  </si>
  <si>
    <t>DEL-06.1.3</t>
  </si>
  <si>
    <t>Prepare risk position for final governance — the authoritative delivery risk view for GOV-03 (Pricing &amp; Risk Review)</t>
  </si>
  <si>
    <t>SUP</t>
  </si>
  <si>
    <t>SUP-01</t>
  </si>
  <si>
    <t>SUP-01.1.1</t>
  </si>
  <si>
    <t>Source candidate partners against SAL-06 capability requirements — develop a long-list of firms that match each partner requirement</t>
  </si>
  <si>
    <t>Upstream SUP-01 outputs</t>
  </si>
  <si>
    <t>Supply Chain Lead</t>
  </si>
  <si>
    <t>SUP-01.1.2</t>
  </si>
  <si>
    <t>Conduct due diligence on shortlisted partners — capability, capacity, security clearance, financial standing, cultural fit, conflict of interest</t>
  </si>
  <si>
    <t>SUP-01.1.3</t>
  </si>
  <si>
    <t>Select and confirm partner shortlist — recommended partners per capability requirement with rationale</t>
  </si>
  <si>
    <t>SUP-02</t>
  </si>
  <si>
    <t>SUP-02.1.1</t>
  </si>
  <si>
    <t>Brief partners on solution scope and design contribution requirements — what we need from them, in what format, by when</t>
  </si>
  <si>
    <t>Upstream SUP-02 outputs</t>
  </si>
  <si>
    <t>SUP-02.1.2</t>
  </si>
  <si>
    <t>Collect and review partner solution inputs — approach, capability statements, technical contributions, key personnel CVs</t>
  </si>
  <si>
    <t>SUP-02.1.3</t>
  </si>
  <si>
    <t>Integrate partner inputs into the solution design — confirm alignment with overall TOM and service delivery model</t>
  </si>
  <si>
    <t>SUP-03</t>
  </si>
  <si>
    <t>SUP-03.1.1</t>
  </si>
  <si>
    <t>Issue NDAs and initiate teaming discussions — establish confidentiality and exclusivity framework with each partner</t>
  </si>
  <si>
    <t>Upstream SUP-03 outputs</t>
  </si>
  <si>
    <t>SUP-03.1.2</t>
  </si>
  <si>
    <t>Negotiate and execute teaming agreements — scope, obligations, exclusivity, IP, confidentiality, termination, dispute resolution</t>
  </si>
  <si>
    <t>Cannot be AI'd. Negotiation is fundamentally human.</t>
  </si>
  <si>
    <t>Negotiation is fundamentally human</t>
  </si>
  <si>
    <t>SUP-03.1.3</t>
  </si>
  <si>
    <t>Confirm teaming status for all partners — signed, in progress, or at risk — feeds LEG-06 for legal review</t>
  </si>
  <si>
    <t>SUP-04</t>
  </si>
  <si>
    <t>SUP-04.1.1</t>
  </si>
  <si>
    <t>Manage partner pricing submission process — ensure partners respond to COM-03 pricing requests on time and in the required format</t>
  </si>
  <si>
    <t>Upstream SUP-04 outputs</t>
  </si>
  <si>
    <t>SUP-04.1.2</t>
  </si>
  <si>
    <t>Facilitate pricing clarification and iteration — resolve gaps, align assumptions between partners and our commercial model</t>
  </si>
  <si>
    <t>SUP-05</t>
  </si>
  <si>
    <t>SUP-05.1.1</t>
  </si>
  <si>
    <t>Issue evidence requirements to partners — case studies, CVs, credentials, certifications required per SOL-10 evidence matrix</t>
  </si>
  <si>
    <t>Upstream SUP-05 outputs</t>
  </si>
  <si>
    <t>SUP-05.1.2</t>
  </si>
  <si>
    <t>Collect, review, and adapt partner evidence — quality, relevance, format aligned to ITT requirements</t>
  </si>
  <si>
    <t>SUP-06</t>
  </si>
  <si>
    <t>SUP-06.1.1</t>
  </si>
  <si>
    <t>Develop back-to-back subcontract terms flowing down from prime contract — using LEG-06 review and COM-03 commercial framework</t>
  </si>
  <si>
    <t>Upstream SUP-06 outputs</t>
  </si>
  <si>
    <t>SUP-06.1.2</t>
  </si>
  <si>
    <t>Negotiate and agree back-to-back terms with each partner</t>
  </si>
  <si>
    <t>SUP-06.1.3</t>
  </si>
  <si>
    <t>Confirm all partner commercial terms are agreed — feeds GOV-03 (pricing governance)</t>
  </si>
  <si>
    <t>BM</t>
  </si>
  <si>
    <t>BM-01</t>
  </si>
  <si>
    <t>BM-01.1.1</t>
  </si>
  <si>
    <t>Confirm bid team structure, assign roles and RACI across all workstreams, brief the locked win strategy</t>
  </si>
  <si>
    <t>Upstream BM-01 outputs</t>
  </si>
  <si>
    <t>BM-01.1.2</t>
  </si>
  <si>
    <t>Agree master bid programme with milestones, review points, governance gates, and submission deadline — backward-planned from submission</t>
  </si>
  <si>
    <t>BM-02</t>
  </si>
  <si>
    <t>BM-02.1.1</t>
  </si>
  <si>
    <t>Produce bid management plan covering scope, governance, quality approach, risk management, communications, review schedule, and submission plan</t>
  </si>
  <si>
    <t>Upstream BM-02 outputs</t>
  </si>
  <si>
    <t>BM-03</t>
  </si>
  <si>
    <t>BM-03.1.1</t>
  </si>
  <si>
    <t>Establish document repository, folder structure, naming conventions, version control, access permissions, and collaboration platform</t>
  </si>
  <si>
    <t>Upstream BM-03 outputs</t>
  </si>
  <si>
    <t>BM-04</t>
  </si>
  <si>
    <t>BM-04.1.1</t>
  </si>
  <si>
    <t>Confirm and mobilise full bid team — internal, partner, and contingency resources</t>
  </si>
  <si>
    <t>Upstream BM-04 outputs</t>
  </si>
  <si>
    <t>BM-04.1.2</t>
  </si>
  <si>
    <t>Track resource availability, manage security clearance applications, handle resource changes throughout the bid</t>
  </si>
  <si>
    <t>BM-05</t>
  </si>
  <si>
    <t>BM-05.1.1</t>
  </si>
  <si>
    <t>Track bid investment against budget — actual vs forecast, by workstream, with variance reporting</t>
  </si>
  <si>
    <t>AI automates tracking from structured data sources</t>
  </si>
  <si>
    <t>Upstream BM-05 outputs</t>
  </si>
  <si>
    <t>BM-06</t>
  </si>
  <si>
    <t>BM-06.1.1</t>
  </si>
  <si>
    <t>Conduct weekly standups with workstream leads — progress, blockers, actions, RAG status per activity</t>
  </si>
  <si>
    <t>Upstream BM-06 outputs</t>
  </si>
  <si>
    <t>BM-06.1.2</t>
  </si>
  <si>
    <t>Produce weekly progress reports and milestone achievement tracking — programme status against baseline</t>
  </si>
  <si>
    <t>BM-07</t>
  </si>
  <si>
    <t>BM-07.1.1</t>
  </si>
  <si>
    <t>Develop quality plan — page budgets per section based on marks concentration, writing standards, review criteria, compliance checklist</t>
  </si>
  <si>
    <t>Upstream BM-07 outputs</t>
  </si>
  <si>
    <t>BM-07.1.2</t>
  </si>
  <si>
    <t>Design review cycle schedule — pink, red, gold review timing, reviewer allocation, feedback turnaround expectations</t>
  </si>
  <si>
    <t>BM-08</t>
  </si>
  <si>
    <t>BM-08.1.1</t>
  </si>
  <si>
    <t>Establish bid-phase communications plan — internal reporting, stakeholder updates, decision log, escalation procedures</t>
  </si>
  <si>
    <t>Upstream BM-08 outputs</t>
  </si>
  <si>
    <t>BM-09</t>
  </si>
  <si>
    <t>BM-09.1.1</t>
  </si>
  <si>
    <t>Prepare dialogue packs per round — presentation materials, discussion topics, questions, negotiation positions, team briefing</t>
  </si>
  <si>
    <t>Upstream BM-09 outputs</t>
  </si>
  <si>
    <t>BM-09.1.2</t>
  </si>
  <si>
    <t>Record dialogue outcomes, track iterations, and update solution/commercial per round</t>
  </si>
  <si>
    <t>BM-10</t>
  </si>
  <si>
    <t>BM-10.1.1</t>
  </si>
  <si>
    <t>Develop storyboard per response section — section structure, key messages, win theme integration, evidence placement, page allocation, writer assignment</t>
  </si>
  <si>
    <t>Upstream BM-10 outputs</t>
  </si>
  <si>
    <t>BM-10.1.2</t>
  </si>
  <si>
    <t>Brief each writer using storyboard — confirm scope, win themes, scoring target, page budget, evidence requirements, and deadline</t>
  </si>
  <si>
    <t>BM-10.2.1</t>
  </si>
  <si>
    <t>Review and approve storyboard — Bid Director sign-off, methodology gate passed, drafting can begin</t>
  </si>
  <si>
    <t>BM-11</t>
  </si>
  <si>
    <t>BM-11.1.1</t>
  </si>
  <si>
    <t>Conduct internal hot debrief within 48 hours of submission — what went well, what didn't, immediate process lessons, team feedback</t>
  </si>
  <si>
    <t>Upstream BM-11 outputs</t>
  </si>
  <si>
    <t>BM-12</t>
  </si>
  <si>
    <t>BM-12.1.1</t>
  </si>
  <si>
    <t>Request and attend formal client debrief — capture scoring, evaluator feedback, and improvement areas</t>
  </si>
  <si>
    <t>Upstream BM-12 outputs</t>
  </si>
  <si>
    <t>BM-12.1.2</t>
  </si>
  <si>
    <t>Conduct internal lessons learned review with full bid team — process, strategy, solution, commercial, and team performance</t>
  </si>
  <si>
    <t>BM-12.1.3</t>
  </si>
  <si>
    <t>Update content library with new case studies, evidence, and reusable content from this bid</t>
  </si>
  <si>
    <t>BM-13</t>
  </si>
  <si>
    <t>BM-13.1.1</t>
  </si>
  <si>
    <t>Consolidate all workstream risk registers into the single bid risk register — solution, commercial, delivery, legal, plus bid process risks</t>
  </si>
  <si>
    <t>Upstream BM-13 outputs</t>
  </si>
  <si>
    <t>BM-13.1.2</t>
  </si>
  <si>
    <t>Maintain and prepare for governance — living document, updated at key milestones, governance-ready summary</t>
  </si>
  <si>
    <t>BM-14</t>
  </si>
  <si>
    <t>BM-14.1.1</t>
  </si>
  <si>
    <t>Submit clarification questions per SAL-07 strategy and timing plan — manage portal submissions, track deadlines</t>
  </si>
  <si>
    <t>Upstream BM-14 outputs</t>
  </si>
  <si>
    <t>BM-14.1.2</t>
  </si>
  <si>
    <t>Track and distribute clarification responses — log all responses, distribute to relevant workstreams, flag responses that change assumptions</t>
  </si>
  <si>
    <t>BM-15</t>
  </si>
  <si>
    <t>BM-15.1.1</t>
  </si>
  <si>
    <t>Triage flagged clarification responses — assess impact on solution, commercial, delivery, legal, and compliance workstreams</t>
  </si>
  <si>
    <t>Upstream BM-15 outputs</t>
  </si>
  <si>
    <t>BM-15.1.2</t>
  </si>
  <si>
    <t>Drive workstream updates — ensure affected solution, commercial, or legal positions are updated and track resolution</t>
  </si>
  <si>
    <t>BM-16</t>
  </si>
  <si>
    <t>BM-16.1.1</t>
  </si>
  <si>
    <t>Refresh win strategy assessment — has anything changed since SAL-06 that affects our competitive position, win themes, or approach?</t>
  </si>
  <si>
    <t>Upstream BM-16 outputs</t>
  </si>
  <si>
    <t>BM-16.1.2</t>
  </si>
  <si>
    <t>Refresh PWIN score and confirm continue/stop decision — formal re-qualification checkpoint</t>
  </si>
  <si>
    <t>PRD</t>
  </si>
  <si>
    <t>PRD-01</t>
  </si>
  <si>
    <t>PRD-01.1.1</t>
  </si>
  <si>
    <t>Map every ITT mandatory and scored requirement to the response section that addresses it — identify compliance position per requirement</t>
  </si>
  <si>
    <t>Upstream PRD-01 outputs</t>
  </si>
  <si>
    <t>PRD-01.1.2</t>
  </si>
  <si>
    <t>Maintain compliance matrix as a living document throughout the bid — update as solution, commercial, and clarification responses evolve</t>
  </si>
  <si>
    <t>PRD-02</t>
  </si>
  <si>
    <t>PRD-02.1.1</t>
  </si>
  <si>
    <t>Produce quality/technical response section drafts — each writer follows their storyboard brief, integrates win themes, cites evidence, stays within page budget</t>
  </si>
  <si>
    <t>Upstream PRD-02 outputs</t>
  </si>
  <si>
    <t>Writers</t>
  </si>
  <si>
    <t>PRD-02.1.2</t>
  </si>
  <si>
    <t>Produce executive summary and overarching narrative — ties the response together, leads with win strategy</t>
  </si>
  <si>
    <t>PRD-02.1.3</t>
  </si>
  <si>
    <t>Bid Manager tracks drafting progress, manages writer issues, ensures programme adherence</t>
  </si>
  <si>
    <t>PRD-03</t>
  </si>
  <si>
    <t>PRD-03.1.1</t>
  </si>
  <si>
    <t>Compile all evidence items — case studies, CVs, credentials, certifications, reference letters — from SOL-10 sourcing and SUP-05 partner evidence</t>
  </si>
  <si>
    <t>Upstream PRD-03 outputs</t>
  </si>
  <si>
    <t>Bid Coordinator</t>
  </si>
  <si>
    <t>PRD-03.1.2</t>
  </si>
  <si>
    <t>Format evidence to ITT requirements and quality-assure — consistent style, correct templates, word limits, anonymisation where required</t>
  </si>
  <si>
    <t>PRD-04</t>
  </si>
  <si>
    <t>PRD-04.1.1</t>
  </si>
  <si>
    <t>Produce commercial response narrative — explain the pricing approach, payment mechanism, value proposition in the format the ITT requires</t>
  </si>
  <si>
    <t>AI automates formatting, checking, and quality assurance</t>
  </si>
  <si>
    <t>Upstream PRD-04 outputs</t>
  </si>
  <si>
    <t>PRD-04.1.2</t>
  </si>
  <si>
    <t>Assemble and format pricing response documents — schedules, narrative, supporting documents packaged for submission</t>
  </si>
  <si>
    <t>PRD-05</t>
  </si>
  <si>
    <t>PRD-05.1.1</t>
  </si>
  <si>
    <t>Conduct pink team review of storyboards — assess response structure, key messages, win theme integration, evidence placement, and scoring potential per section</t>
  </si>
  <si>
    <t>Upstream PRD-05 outputs</t>
  </si>
  <si>
    <t>Reviewers</t>
  </si>
  <si>
    <t>PRD-05.2.1</t>
  </si>
  <si>
    <t>Resolve pink review actions — update storyboards, adjust structure, reallocate evidence, brief writers on changes</t>
  </si>
  <si>
    <t>PRD-06</t>
  </si>
  <si>
    <t>PRD-06.1.1</t>
  </si>
  <si>
    <t>Conduct red team review — evaluator simulation scoring each section against evaluation criteria, assessing win theme penetration, evidence strength, and compliance</t>
  </si>
  <si>
    <t>Upstream PRD-06 outputs</t>
  </si>
  <si>
    <t>PRD-06.2.1</t>
  </si>
  <si>
    <t>Resolve red review actions — writers revise sections, bid manager tracks to closure, critical actions must be resolved before gold review</t>
  </si>
  <si>
    <t>PRD-07</t>
  </si>
  <si>
    <t>PRD-07.1.1</t>
  </si>
  <si>
    <t>Conduct gold team review — executive quality check: compliance, completeness, tone, win strategy coherence, and final sign-off to proceed to submission</t>
  </si>
  <si>
    <t>Upstream PRD-07 outputs</t>
  </si>
  <si>
    <t>PRD-08</t>
  </si>
  <si>
    <t>PRD-08.1.1</t>
  </si>
  <si>
    <t>Apply formatting, branding, and layout — corporate template, page limits, headers/footers, table of contents, cross-references, graphics</t>
  </si>
  <si>
    <t>Upstream PRD-08 outputs</t>
  </si>
  <si>
    <t>PRD-08.1.2</t>
  </si>
  <si>
    <t>Proof-read, spell-check, and cross-reference — final quality assurance pass before submission</t>
  </si>
  <si>
    <t>PRD-09</t>
  </si>
  <si>
    <t>PRD-09.1.1</t>
  </si>
  <si>
    <t>Conduct final compliance check — verify all mandatory requirements addressed, all documents present, all formats correct</t>
  </si>
  <si>
    <t>Upstream PRD-09 outputs</t>
  </si>
  <si>
    <t>PRD-09.1.2</t>
  </si>
  <si>
    <t>Package and upload submission — portal upload, confirmation receipt obtained, submission archived</t>
  </si>
  <si>
    <t>GOV</t>
  </si>
  <si>
    <t>GOV-01</t>
  </si>
  <si>
    <t>GOV-01.1.1</t>
  </si>
  <si>
    <t>Prepare pursuit approval review pack — capture plan summary, bid mandate, PWIN score, resource ask, key risks, go/no-go recommendation</t>
  </si>
  <si>
    <t>Upstream GOV-01 outputs</t>
  </si>
  <si>
    <t>GOV-01.1.2</t>
  </si>
  <si>
    <t>Conduct pursuit approval review — present to governance panel, debate, capture decision (approve / approve with conditions / reject)</t>
  </si>
  <si>
    <t>GOV-02</t>
  </si>
  <si>
    <t>GOV-02.1.1</t>
  </si>
  <si>
    <t>Prepare solution review pack — solution summary, risk position, win strategy alignment, partner strategy, delivery readiness</t>
  </si>
  <si>
    <t>Upstream GOV-02 outputs</t>
  </si>
  <si>
    <t>GOV-02.1.2</t>
  </si>
  <si>
    <t>Conduct solution &amp; strategy review — present, debate, capture decision</t>
  </si>
  <si>
    <t>GOV-03</t>
  </si>
  <si>
    <t>GOV-03.1.1</t>
  </si>
  <si>
    <t>Prepare pricing review pack — price position, margin, sensitivities, risk, partner terms, contract terms, recommendation</t>
  </si>
  <si>
    <t>Upstream GOV-03 outputs</t>
  </si>
  <si>
    <t>GOV-03.1.2</t>
  </si>
  <si>
    <t>Conduct pricing &amp; risk review — present to governance panel, debate pricing position, capture pricing approval</t>
  </si>
  <si>
    <t>GOV-04</t>
  </si>
  <si>
    <t>GOV-04.1.1</t>
  </si>
  <si>
    <t>Prepare executive approval pack — bid summary, price, margin, risk, quality assessment, recommendation to submit</t>
  </si>
  <si>
    <t>Upstream GOV-04 outputs</t>
  </si>
  <si>
    <t>GOV-04.1.2</t>
  </si>
  <si>
    <t>Obtain executive approval — present at each required tier (BU / ExCo / Board), capture approval to submit</t>
  </si>
  <si>
    <t>GOV-05</t>
  </si>
  <si>
    <t>GOV-05.1.1</t>
  </si>
  <si>
    <t>Confirm final submission authority — all approvals obtained, documents QA-complete, compliance confirmed, authority to submit granted</t>
  </si>
  <si>
    <t>Upstream GOV-05 outputs</t>
  </si>
  <si>
    <t>GOV-06</t>
  </si>
  <si>
    <t>GOV-06.1.1</t>
  </si>
  <si>
    <t>Prepare legal review pack — contract positions, risk allocation, TUPE, data protection, subcontractor terms summary</t>
  </si>
  <si>
    <t>Upstream GOV-06 outputs</t>
  </si>
  <si>
    <t>GOV-06.1.2</t>
  </si>
  <si>
    <t>Conduct legal &amp; contractual review — present to governance panel, capture decision on contract positions and risk acceptance</t>
  </si>
  <si>
    <t>POST</t>
  </si>
  <si>
    <t>POST-01</t>
  </si>
  <si>
    <t>POST-01.1.1</t>
  </si>
  <si>
    <t>Design presentation narrative and structure — aligned to win themes, tailored to evaluation panel, consistent with submitted proposal</t>
  </si>
  <si>
    <t>Upstream POST-01 outputs</t>
  </si>
  <si>
    <t>POST-01.1.2</t>
  </si>
  <si>
    <t>Develop presentation materials — slides, speaker notes, Q&amp;A preparation, supporting visuals and demos</t>
  </si>
  <si>
    <t>POST-02</t>
  </si>
  <si>
    <t>POST-02.1.1</t>
  </si>
  <si>
    <t>Conduct structured presentation rehearsals — simulate the evaluation panel, provide feedback, iterate the presentation and Q&amp;A responses</t>
  </si>
  <si>
    <t>Upstream POST-02 outputs</t>
  </si>
  <si>
    <t>POST-03</t>
  </si>
  <si>
    <t>POST-03.1.1</t>
  </si>
  <si>
    <t>Deliver bid presentation to evaluation panel — present, manage Q&amp;A, capture panel reactions and follow-up questions</t>
  </si>
  <si>
    <t>Upstream POST-03 outputs</t>
  </si>
  <si>
    <t>POST-04</t>
  </si>
  <si>
    <t>POST-04.1.1</t>
  </si>
  <si>
    <t>Receive, log, and triage post-submission clarification requests from client — assess impact and assign to workstream leads</t>
  </si>
  <si>
    <t>Upstream POST-04 outputs</t>
  </si>
  <si>
    <t>POST-04.1.2</t>
  </si>
  <si>
    <t>Draft, review, and submit clarification responses within client deadlines — ensuring consistency with submitted proposal</t>
  </si>
  <si>
    <t>POST-05</t>
  </si>
  <si>
    <t>POST-05.1.1</t>
  </si>
  <si>
    <t>Develop BAFO strategy — what to change, what to hold, how far to move on price, any solution adjustments</t>
  </si>
  <si>
    <t>Upstream POST-05 outputs</t>
  </si>
  <si>
    <t>POST-05.1.2</t>
  </si>
  <si>
    <t>Prepare revised pricing and any updated solution elements — ready for BAFO governance approval</t>
  </si>
  <si>
    <t>POST-06</t>
  </si>
  <si>
    <t>POST-06.1.1</t>
  </si>
  <si>
    <t>Obtain governance approval for BAFO — any material change to price or commercial position requires fresh executive approval</t>
  </si>
  <si>
    <t>Upstream POST-06 outputs</t>
  </si>
  <si>
    <t>POST-07</t>
  </si>
  <si>
    <t>POST-07.1.1</t>
  </si>
  <si>
    <t>Lead commercial and contractual negotiations with client — using approved positions, manage trade-offs, escalate when authority limits reached</t>
  </si>
  <si>
    <t>Upstream POST-07 outputs</t>
  </si>
  <si>
    <t>POST-08</t>
  </si>
  <si>
    <t>POST-08.1.1</t>
  </si>
  <si>
    <t>Process contract award — receive confirmation, execute contract, establish commercial baseline</t>
  </si>
  <si>
    <t>Upstream POST-08 outputs</t>
  </si>
  <si>
    <t>POST-08.1.2</t>
  </si>
  <si>
    <t>Hand over from bid team to delivery team — solution, mobilisation plan, risk register, assumptions, key relationships, lessons learned</t>
  </si>
  <si>
    <t>Full Name</t>
  </si>
  <si>
    <t>Total Tasks</t>
  </si>
  <si>
    <t>Methodology Effort (days)</t>
  </si>
  <si>
    <t>Avg Effective Reduction %</t>
  </si>
  <si>
    <t>Effort Reduction %</t>
  </si>
  <si>
    <t>Sales &amp; Capture</t>
  </si>
  <si>
    <t>Solution Design</t>
  </si>
  <si>
    <t>Commercial &amp; Pricing</t>
  </si>
  <si>
    <t>Legal &amp; Contractual</t>
  </si>
  <si>
    <t>Programme &amp; Delivery</t>
  </si>
  <si>
    <t>Supply Chain &amp; Partners</t>
  </si>
  <si>
    <t>Bid Management</t>
  </si>
  <si>
    <t>Proposal Production</t>
  </si>
  <si>
    <t>Internal Governance</t>
  </si>
  <si>
    <t>Post-Submission</t>
  </si>
  <si>
    <t>TOTAL</t>
  </si>
  <si>
    <t>Activity Name</t>
  </si>
  <si>
    <t>Effort (person-days)</t>
  </si>
  <si>
    <t>L3 Tasks</t>
  </si>
  <si>
    <t>Remaining Effort (days)</t>
  </si>
  <si>
    <t>Methodology Note</t>
  </si>
  <si>
    <t>Customer engagement &amp; intelligence gathering</t>
  </si>
  <si>
    <t>Incumbent performance review</t>
  </si>
  <si>
    <t>Competitor analysis &amp; positioning</t>
  </si>
  <si>
    <t>Win theme development &amp; refinement</t>
  </si>
  <si>
    <t>Evaluation criteria mapping &amp; scoring strategy</t>
  </si>
  <si>
    <t>Capture plan finalisation &amp; win strategy lock</t>
  </si>
  <si>
    <t>Pre-submission clarification strategy &amp; drafting</t>
  </si>
  <si>
    <t>Stakeholder relationship mapping &amp; engagement</t>
  </si>
  <si>
    <t>SAL SUBTOTAL</t>
  </si>
  <si>
    <t>Requirements analysis &amp; interpretation</t>
  </si>
  <si>
    <t>Current operating model assessment</t>
  </si>
  <si>
    <t>Target operating model design</t>
  </si>
  <si>
    <t>Service delivery model design</t>
  </si>
  <si>
    <t>Technology &amp; digital approach</t>
  </si>
  <si>
    <t>Staffing model &amp; TUPE analysis</t>
  </si>
  <si>
    <t>Transition &amp; mobilisation approach</t>
  </si>
  <si>
    <t>Innovation &amp; continuous improvement</t>
  </si>
  <si>
    <t>Social value proposition</t>
  </si>
  <si>
    <t>Evidence strategy &amp; case study identification</t>
  </si>
  <si>
    <t>Solution design lock</t>
  </si>
  <si>
    <t>Solution risk identification &amp; analysis</t>
  </si>
  <si>
    <t>SOL SUBTOTAL</t>
  </si>
  <si>
    <t>Should-cost model development</t>
  </si>
  <si>
    <t>Price-to-win analysis</t>
  </si>
  <si>
    <t>Subcontractor &amp; supply chain pricing</t>
  </si>
  <si>
    <t>Commercial model &amp; payment mechanisms</t>
  </si>
  <si>
    <t>Margin structure &amp; sensitivity analysis</t>
  </si>
  <si>
    <t>Pricing model finalisation</t>
  </si>
  <si>
    <t>Commercial risk identification &amp; analysis</t>
  </si>
  <si>
    <t>COM SUBTOTAL</t>
  </si>
  <si>
    <t>Contract review &amp; markup</t>
  </si>
  <si>
    <t>Risk allocation analysis</t>
  </si>
  <si>
    <t>Insurance &amp; liability review</t>
  </si>
  <si>
    <t>TUPE obligations assessment</t>
  </si>
  <si>
    <t>Data protection &amp; security review</t>
  </si>
  <si>
    <t>Subcontractor terms review</t>
  </si>
  <si>
    <t>LEG SUBTOTAL</t>
  </si>
  <si>
    <t>Delivery risk &amp; assumptions register</t>
  </si>
  <si>
    <t>Mobilisation &amp; implementation planning</t>
  </si>
  <si>
    <t>Performance framework &amp; KPIs/SLAs</t>
  </si>
  <si>
    <t>Resource &amp; capacity plan</t>
  </si>
  <si>
    <t>Business continuity &amp; exit planning</t>
  </si>
  <si>
    <t>Risk mitigation &amp; residual acceptance</t>
  </si>
  <si>
    <t>DEL SUBTOTAL</t>
  </si>
  <si>
    <t>Partner identification &amp; selection</t>
  </si>
  <si>
    <t>Partner solution inputs &amp; design contribution</t>
  </si>
  <si>
    <t>Teaming agreement negotiation</t>
  </si>
  <si>
    <t>Partner pricing</t>
  </si>
  <si>
    <t>Partner credentials &amp; references</t>
  </si>
  <si>
    <t>Back-to-back commercial terms</t>
  </si>
  <si>
    <t>SUP SUBTOTAL</t>
  </si>
  <si>
    <t>Kickoff planning &amp; execution</t>
  </si>
  <si>
    <t>Bid management plan production</t>
  </si>
  <si>
    <t>Document management &amp; version control setup</t>
  </si>
  <si>
    <t>Resource management &amp; tracking</t>
  </si>
  <si>
    <t>Continuous/tracking — effort embedded in bid management overhead</t>
  </si>
  <si>
    <t>Bid cost management</t>
  </si>
  <si>
    <t>Progress reporting</t>
  </si>
  <si>
    <t>Quality management approach</t>
  </si>
  <si>
    <t>Stakeholder &amp; communications management</t>
  </si>
  <si>
    <t>Competitive dialogue management</t>
  </si>
  <si>
    <t>Storyboard development &amp; sign-off</t>
  </si>
  <si>
    <t>Hot debrief (post-submission)</t>
  </si>
  <si>
    <t>Lessons learned &amp; knowledge capture</t>
  </si>
  <si>
    <t>Bid risk &amp; assumptions register</t>
  </si>
  <si>
    <t>Clarification submission &amp; response management</t>
  </si>
  <si>
    <t>Clarification impact analysis &amp; workstream updates</t>
  </si>
  <si>
    <t>Win strategy refresh (post-ITT)</t>
  </si>
  <si>
    <t>BM SUBTOTAL</t>
  </si>
  <si>
    <t>Compliance matrix &amp; requirements mapping</t>
  </si>
  <si>
    <t>Section drafting &amp; content assembly</t>
  </si>
  <si>
    <t>Evidence, case studies &amp; CV assembly</t>
  </si>
  <si>
    <t>Pricing schedules &amp; commercial response</t>
  </si>
  <si>
    <t>Pink review (storyboard/outline)</t>
  </si>
  <si>
    <t>Red review (full draft)</t>
  </si>
  <si>
    <t>Gold review (final/executive)</t>
  </si>
  <si>
    <t>Final QA &amp; formatting</t>
  </si>
  <si>
    <t>Submission packaging &amp; upload</t>
  </si>
  <si>
    <t>PRD SUBTOTAL</t>
  </si>
  <si>
    <t>Pursuit approval</t>
  </si>
  <si>
    <t>Solution &amp; strategy review</t>
  </si>
  <si>
    <t>Pricing &amp; risk review</t>
  </si>
  <si>
    <t>Executive approval</t>
  </si>
  <si>
    <t>Final submission authority</t>
  </si>
  <si>
    <t>Legal &amp; contractual review</t>
  </si>
  <si>
    <t>GOV SUBTOTAL</t>
  </si>
  <si>
    <t>Presentation design &amp; development</t>
  </si>
  <si>
    <t>Presentation rehearsals &amp; coaching</t>
  </si>
  <si>
    <t>Presentation delivery</t>
  </si>
  <si>
    <t>Post-submission clarification management</t>
  </si>
  <si>
    <t>BAFO preparation &amp; revised pricing</t>
  </si>
  <si>
    <t>BAFO governance approval</t>
  </si>
  <si>
    <t>Contract negotiation support</t>
  </si>
  <si>
    <t>Award processing &amp; mobilisation handover</t>
  </si>
  <si>
    <t>POST SUBTOTAL</t>
  </si>
  <si>
    <t>All 84 Activities</t>
  </si>
  <si>
    <t>REAL-WORLD AI IMPACT — COMPLEX SERVICES BID</t>
  </si>
  <si>
    <t>Assumptions: (1) Five phases: Capture → Qualification → Proposal Development → Submission/Review → Contract Award/Handover. (2) Full team across all workstreams (12 roles). (3) Base cost only (excl. 1.4x company uplift). (4) 18-month pursuit timeline. (5) Resource plan days are authoritative (2,050 person-days). (6) AI reduction % from bottom-up assessment of 295 L3 methodology tasks.</t>
  </si>
  <si>
    <t>RESOURCE PROFILE — PER ROLE</t>
  </si>
  <si>
    <t>Role</t>
  </si>
  <si>
    <t>Base Day Rate</t>
  </si>
  <si>
    <t>Total Days</t>
  </si>
  <si>
    <t>Base Cost</t>
  </si>
  <si>
    <t>% of Total</t>
  </si>
  <si>
    <t>Primary Workstream(s)</t>
  </si>
  <si>
    <t>SRIE / Bid Sponsor</t>
  </si>
  <si>
    <t>GOV, SAL, BM</t>
  </si>
  <si>
    <t>Bid / Pursuit Lead</t>
  </si>
  <si>
    <t>SAL, BM</t>
  </si>
  <si>
    <t>BM, PRD, GOV, POST</t>
  </si>
  <si>
    <t>Technical / Solution Owner</t>
  </si>
  <si>
    <t>SOL, DEL</t>
  </si>
  <si>
    <t>Delivery / Transformation Dir</t>
  </si>
  <si>
    <t>DEL, SOL, POST</t>
  </si>
  <si>
    <t>COM, SOL, POST</t>
  </si>
  <si>
    <t>SOL, PRD</t>
  </si>
  <si>
    <t>SME</t>
  </si>
  <si>
    <t>SOL, PRD, SUP</t>
  </si>
  <si>
    <t>Bid Writer / Senior Bid Writer</t>
  </si>
  <si>
    <t>PRD, BM, SUP</t>
  </si>
  <si>
    <t>Legal</t>
  </si>
  <si>
    <t>LEG, COM, POST</t>
  </si>
  <si>
    <t>EFFORT BY PHASE</t>
  </si>
  <si>
    <t>Phase</t>
  </si>
  <si>
    <t>Months</t>
  </si>
  <si>
    <t>Days</t>
  </si>
  <si>
    <t>Capture</t>
  </si>
  <si>
    <t>Qualification</t>
  </si>
  <si>
    <t>Proposal Development</t>
  </si>
  <si>
    <t>Submission/Review</t>
  </si>
  <si>
    <t>Clarifications/Standstill</t>
  </si>
  <si>
    <t>Contract Finalisation</t>
  </si>
  <si>
    <t>Handover</t>
  </si>
  <si>
    <t>WORKSTREAM ANALYSIS — REAL-WORLD vs METHODOLOGY vs AI SAVING</t>
  </si>
  <si>
    <t>Real Days</t>
  </si>
  <si>
    <t>Real Cost</t>
  </si>
  <si>
    <t>Methodology Days</t>
  </si>
  <si>
    <t>Multiplier</t>
  </si>
  <si>
    <t>AI Reduction %</t>
  </si>
  <si>
    <t>Days Saved</t>
  </si>
  <si>
    <t>Cost Saved</t>
  </si>
  <si>
    <t>Remaining Days</t>
  </si>
  <si>
    <t>Remaining Cost</t>
  </si>
  <si>
    <t>FOUR VALUE LAYERS — HEADLINE NUMBERS (all formula-driven)</t>
  </si>
  <si>
    <t>LAYER</t>
  </si>
  <si>
    <t>Description</t>
  </si>
  <si>
    <t>Metric</t>
  </si>
  <si>
    <t>Base Value</t>
  </si>
  <si>
    <t>Loaded (1.4x)</t>
  </si>
  <si>
    <t>Annual (3 bids)</t>
  </si>
  <si>
    <t>Annual (5 bids)</t>
  </si>
  <si>
    <t>Basis</t>
  </si>
  <si>
    <t>Layer 1</t>
  </si>
  <si>
    <t>Task Efficiency</t>
  </si>
  <si>
    <t>AI person-days saved</t>
  </si>
  <si>
    <t>Formula: references workstream AI days saved total</t>
  </si>
  <si>
    <t xml:space="preserve">  Cost saving</t>
  </si>
  <si>
    <t>Base cost saved</t>
  </si>
  <si>
    <t>AI % applied to real-world cost per workstream</t>
  </si>
  <si>
    <t>Layer 2</t>
  </si>
  <si>
    <t>Timeline Compression</t>
  </si>
  <si>
    <t>Team released 25% earlier</t>
  </si>
  <si>
    <t>25% critical path compression on 18-month timeline</t>
  </si>
  <si>
    <t>Layer 3</t>
  </si>
  <si>
    <t>Team Fungibility</t>
  </si>
  <si>
    <t>A-team on every bid</t>
  </si>
  <si>
    <t>Same specialists cover 2-3 concurrent bids at A-team quality</t>
  </si>
  <si>
    <t>Layer 4</t>
  </si>
  <si>
    <t>Decision Velocity</t>
  </si>
  <si>
    <t>Early kill avoids</t>
  </si>
  <si>
    <t>89% of bid cost — only £181,025 spent before informed gate</t>
  </si>
  <si>
    <t>Rank</t>
  </si>
  <si>
    <t>Task(s)</t>
  </si>
  <si>
    <t>AI Application</t>
  </si>
  <si>
    <t>Value</t>
  </si>
  <si>
    <t>Time Saving</t>
  </si>
  <si>
    <t>Affected Role</t>
  </si>
  <si>
    <t>User Notes</t>
  </si>
  <si>
    <t>SOL-01.1.1, SOL-01.1.2, SOL-01.1.3</t>
  </si>
  <si>
    <t>ITT requirements extraction and analysis</t>
  </si>
  <si>
    <t>Transforms days of manual extraction into hours. Cross-references across documents at scale. Catches hidden requirements.</t>
  </si>
  <si>
    <t>60-70%</t>
  </si>
  <si>
    <t>AI-assisted response drafting</t>
  </si>
  <si>
    <t>AI generates first drafts from storyboard + solution design + win themes. Writers refine, not write from scratch.</t>
  </si>
  <si>
    <t>40-50%</t>
  </si>
  <si>
    <t>SAL-05.1.1, SAL-05.1.2, SAL-05.1.3</t>
  </si>
  <si>
    <t>Evaluation criteria extraction and scoring analysis</t>
  </si>
  <si>
    <t>Automatically extracts criteria, weightings, grade descriptors. Produces marks concentration analysis.</t>
  </si>
  <si>
    <t>60-80%</t>
  </si>
  <si>
    <t>Automated compliance mapping</t>
  </si>
  <si>
    <t>Maps every ITT requirement to response sections. Identifies compliance gaps systematically.</t>
  </si>
  <si>
    <t>Rapid ITT documentation analysis</t>
  </si>
  <si>
    <t>Analyses requirements, contract, payment mechanism, SLAs across the entire ITT pack for go/no-go.</t>
  </si>
  <si>
    <t>70%</t>
  </si>
  <si>
    <t>COM-05.2.1, COM-05.2.2</t>
  </si>
  <si>
    <t>Automated sensitivity and stress testing</t>
  </si>
  <si>
    <t>Runs all financial scenarios, tornado analysis, break-even modelling from structured cost data.</t>
  </si>
  <si>
    <t>70-80%</t>
  </si>
  <si>
    <t>Contract clause analysis</t>
  </si>
  <si>
    <t>AI analyses every clause, identifies non-standard terms, compares to corporate playbook, flags risk areas.</t>
  </si>
  <si>
    <t>50-60%</t>
  </si>
  <si>
    <t>SAL-01.1.1, SAL-01.1.2, SAL-01.1.3, SAL-01.1.4</t>
  </si>
  <si>
    <t>Customer and market intelligence gathering</t>
  </si>
  <si>
    <t>Automated Contracts Finder scraping, client strategy analysis, supplier landscape mapping.</t>
  </si>
  <si>
    <t>BM-13.1.1, SOL-12.1.1, COM-07.1.1</t>
  </si>
  <si>
    <t>Automated risk consolidation</t>
  </si>
  <si>
    <t>Consolidates all workstream risks, removes duplicates, identifies cross-cutting risks, flags gaps.</t>
  </si>
  <si>
    <t>SOL-10.1.1, SOL-10.1.2, SOL-10.1.3</t>
  </si>
  <si>
    <t>Evidence gap analysis and library search</t>
  </si>
  <si>
    <t>Maps evidence needs to sections, searches library, identifies gaps, prioritises by scoring impact.</t>
  </si>
  <si>
    <t>Skills to Build</t>
  </si>
  <si>
    <t>Tasks Enabled</t>
  </si>
  <si>
    <t>Business Impact</t>
  </si>
  <si>
    <t>Phase 1: Document Intelligence</t>
  </si>
  <si>
    <t>ITT extraction, requirements analysis, contract clause analysis, evaluation criteria extraction</t>
  </si>
  <si>
    <t>SOL-01, SAL-05, SAL-06.1.2, LEG-01, PRD-01, SAL-07.1.1, SAL-07.2.1</t>
  </si>
  <si>
    <t>Highest impact. Transforms the first 2 weeks of every bid. Enables faster go/no-go and more informed strategy.</t>
  </si>
  <si>
    <t>Phase 2: Content Generation</t>
  </si>
  <si>
    <t>Response drafting, storyboard generation, governance pack assembly, compliance mapping</t>
  </si>
  <si>
    <t>PRD-02, BM-10, GOV-01-06, PRD-01, BM-06, PRD-08, SAL-04.2.2, SAL-06.2.4, SAL-06.4.1</t>
  </si>
  <si>
    <t>Highest visibility. AI writes first drafts. Bid team sees immediate productivity gain.</t>
  </si>
  <si>
    <t>Phase 3: Intelligence &amp; Research</t>
  </si>
  <si>
    <t>Market scanning, competitor profiling, client intelligence, evidence library search</t>
  </si>
  <si>
    <t>SAL-01, SAL-02, SAL-03, SAL-10, SOL-02, SOL-10</t>
  </si>
  <si>
    <t>Strategic value. Better intelligence, faster capture planning.</t>
  </si>
  <si>
    <t>Phase 4: Financial Modelling</t>
  </si>
  <si>
    <t>Cost modelling, sensitivity analysis, price-to-win, margin modelling</t>
  </si>
  <si>
    <t>COM-01, COM-02, COM-05, SAL-02.2.1, SAL-02.3.4</t>
  </si>
  <si>
    <t>Commercial value. Automated financial modelling with scenario testing.</t>
  </si>
  <si>
    <t>Phase 5: Risk &amp; Consolidation</t>
  </si>
  <si>
    <t>Risk register consolidation, assumption tracking, clarification impact analysis</t>
  </si>
  <si>
    <t>BM-13, SOL-12, COM-07, DEL-06, BM-15</t>
  </si>
  <si>
    <t>Quality uplift. No risks fall through cracks.</t>
  </si>
  <si>
    <t>Data Source</t>
  </si>
  <si>
    <t>AI Applications Enabled</t>
  </si>
  <si>
    <t>Priority</t>
  </si>
  <si>
    <t>Availability</t>
  </si>
  <si>
    <t>SAL-01 (procurement intel), SAL-02 (incumbent pricing), SAL-03 (competitor identification), COM-02 (price benchmarks)</t>
  </si>
  <si>
    <t>Critical</t>
  </si>
  <si>
    <t>Public API, free access. FTS for EU/international procurements.</t>
  </si>
  <si>
    <t>SAL-03 (competitor profiling), SUP-01 (partner due diligence)</t>
  </si>
  <si>
    <t>Public API, free access.</t>
  </si>
  <si>
    <t>ITT Document Pack (uploaded)</t>
  </si>
  <si>
    <t>SOL-01 (requirements), SAL-05 (evaluation criteria), SAL-06 (ITT analysis), LEG-01 (contract review), PRD-01 (compliance)</t>
  </si>
  <si>
    <t>Client-provided at ITT receipt. Must be uploaded to PWIN.</t>
  </si>
  <si>
    <t>SAL-01 (strategic context), SAL-02 (performance data)</t>
  </si>
  <si>
    <t>Public domain. Requires web scraping or manual collection.</t>
  </si>
  <si>
    <t>Evidence Library (internal)</t>
  </si>
  <si>
    <t>SAL-04 (theme substantiation), SOL-10 (evidence strategy), PRD-03 (evidence assembly)</t>
  </si>
  <si>
    <t>Internal. Must be structured and accessible to AI.</t>
  </si>
  <si>
    <t>COM-01 (rate cards, overhead rates), COM-02 (benchmarks)</t>
  </si>
  <si>
    <t>Internal. Finance team provides rate cards and overhead model.</t>
  </si>
  <si>
    <t>Industry Benchmarks (Gartner, ISG)</t>
  </si>
  <si>
    <t>COM-02 (market rates), SAL-02 (performance benchmarks)</t>
  </si>
  <si>
    <t>Commercial subscription required. Analyst reports available.</t>
  </si>
  <si>
    <t>CRM / Relationship Data</t>
  </si>
  <si>
    <t>SAL-01 (client intel), SAL-10 (stakeholder mapping)</t>
  </si>
  <si>
    <t>Internal CRM system. Requires integration or export.</t>
  </si>
  <si>
    <t xml:space="preserve">This activity is basically saying there's 10 man-days of effort. What's involved here is that there is no necessity to be scraping or integrating into any government framework portal or anything here. Effectively, the client and the government will have released documentation, for example the full ITT proposal documentation. Basically, that's the bid manager having received an invite, going to a portal, downloading the whole documentation onto their own personal drive, uploading that to the bid folder on SharePoint, typically. From that point, then I'm expecting the documentation to be uploaded into the AI tool. The AI tool will trigger a series of activities via an AI agent, various skills plugins, to basically scrape the relevant information and data points from the documentation and then synthesise it and then pre-populate a performer that would have been specifically designed to capture the relevant information from the appropriate documentation. That documentation will include things like procurement tier table, requirements of compliance matrix, etc. etc. That documentation will be populated into, say, a Word document or PowerPoint document that will then be made available on the SharePoint site for the bid team members and other stakeholders for review and understanding. That's effectively the process, including notification of users that it's available.I do not expect, in terms of effort on the bid manager, that I can't imagine that being more than two to three hours of actual time. Of the 10 man-days of effort currently allocated to this specific activity, I would consider that to be in the 90%. </t>
  </si>
  <si>
    <t xml:space="preserve">This activity is effectively a market research activity, which, on a client basis, is to understand as much as you possibly can about the client organisation in terms of:
*   operating model
*   size
*   key policy documents
*   national audit reviews
and so on. This can be an intensive exercise for an individual if they're doing it, and this activity has been allocated 10 man-days of effort.  
How I see AI working here is that there will be a market researcher agent that will be given a defined set of prescriptive instructions via a skill to go and research the specific client. There will be a reference document (i.e., a performer for the synthesis of the data collected) to be populated, and that document then will be made available within the BID library documentation and can be shared with the bid team on, say, SharePoint.  
How I actually see Pwin working is that the agent and the skill will be scheduled on a monthly or quarterly basis to go out and build up-to-date information and data on the specific client information. This is actually a cost and an activity that would be routinely performed by BidEquity as opposed to being a specific activity performed by the actual project.You would typically anticipate or expect that the company bidding for the opportunity will have SMEs who are familiar with potentially this client and that specific sector, so they might bring some market intelligence of themselves. I would put this at about 80% AI compiled. </t>
  </si>
  <si>
    <t xml:space="preserve">In terms of scanning the market for relevant intelligence and context with respect to this client and a specific opportunity, again I expect that to be performed by the market researcher AI. For the information and detail to be synthesised and populated into a template or pro forma that would have been designed within the skill, and then that information and documentation will be made available within the bid library for the opportunity and also shared with the bid team within their SharePoint drive. Therefore, again I would position this at 80%. </t>
  </si>
  <si>
    <t xml:space="preserve">In terms of finding out the existing supply chain within a specific government client, again I would see that as part of the client profile that the market researcher will perform, extracting information from via the API, in terms of contract find and various other competing sources and intelligence. Again, I see there's been a completely AI-driven activity, managed by an agent directed by a skill, and that information data will be captured within a performer template that's already referenceable within the skill. That information will be then shared within the bid library and the client sharepoint drive. </t>
  </si>
  <si>
    <t xml:space="preserve">This information here would have already been extracted from the previous activities in terms of extracting from the procurement documentation and document and intelligence and research performed on the client environment. The kind of key drivers, hot buttons, policy drivers by this client again, I would see this as being an AI-driven activity. There will need to be some human-in-the-loop oversight and assurance on it, but this is effectively presenting a report constructed and delivered by the AI and captured within a template that's understood and digestible and can be shared within the bid library and other share points. </t>
  </si>
  <si>
    <t xml:space="preserve">This activity is again basically a market researcher role that is ingesting various documentation, such as the client profile documentation and the ITN documentation that would have been released, and synthesising the hot buttons, the key drivers, and the buyer values for the specific opportunity. This will be performed by an agent. There will be a descriptive skill to perform that activity. There will be a documentation template for the synthesised data to be captured in, and then that's made available to the bid library and SharePoint if needed. </t>
  </si>
  <si>
    <t xml:space="preserve">The completed synthesis of all the previous activities into the custom intelligent report is a single document that's synthesised and a document produced at the end of it by the AI within hours of the IT and documentation being released. </t>
  </si>
  <si>
    <t xml:space="preserve">You know, it's very typical for the client to incorporate within the data room previous years' service records in terms of performance and risks and so forth. This is about directing or uploading the information or data points that the client has provided into the commercial agent with the appropriate skill to ingest the relevant information and data points and then evaluate and provide an overall view of the service performance on the existing contract. It's also part of the Procurement Act 2023. When bids are coming up for re-compete, it is actually now a statutory requirement to release performance on the existing contract as available data. This is fundamentally a completely AI job to be performed and made available. </t>
  </si>
  <si>
    <t>I agree that AA can't be a massive contributor to this activity. It's basically:
- talking to past employees
- hiring people who worked on the assisting contract
- talking to the client
- getting informed but unofficial feedback</t>
  </si>
  <si>
    <t>The inputs for this intelligence will come from supporting documentation provided by the client and public records in terms of case-to-date referenceability, press releases, comparing and analysing the prior contract and the scope of that contract against the current set of requirements and drivers. This gives a pretty good contextual understanding. AI can certainly support in that as per all the other aspects. I think this would come under the client intelligence documentation or performance existing incumbent.</t>
  </si>
  <si>
    <t xml:space="preserve">It's not inconceivable, based on the contract award and understanding the existing operating volumetrics scope, to break down the key cost drivers for the existing service and do some analysis on contractual value, which will be provided by the client. Again, I would see this as a market research financial researcher with a script to basically identify the relevant documentation and build some form of business case and judgement on it. I see this as a heavily AI thing. There is clearly benchmarking for transactional-type products, so if you buy a computer or something, but it's probably not going to be relevant in the circumstances we're talking about here. </t>
  </si>
  <si>
    <t xml:space="preserve">The stickiness of an incumbent is a contextual judgement core with many layers. For example, what is the length of time that the client has been enabled to transition their service from supplier A to supplier B? Within that time frame, is it conceivable to effectively execute on that transition plan based on the complexity of the service that's currently in play? You can draw various other levers. For example, is the service that's been delivered something that is highly unique, and isn't, for example, transitioning from one customer course end to another, which is not specifically unique; it's a very well understood business model. If the service in this government is extremely unique and specialist, where the knowledge of how the service operates is inherent within the people who operate it, that's going to cause stickiness. If the service has been built upon information, data, and technology that's in legacy and can't easily be transitioned again, there's stickiness. The service is a strategic, high-profile service that you can't take any downtime on; that's just not an acceptable position. Defence, for example, causes stickiness.
It's a contextual discussion across various different levers and paradigms. Again, I see this: the information and data to derive on that is all going to be found within the documentation provided by the client. I think this is very much an AI risk-based model with various different parameters to investigate and come up with a recommendation, with some human-in-the-loop judgement. </t>
  </si>
  <si>
    <t xml:space="preserve">This activity is about understanding what transformation or interventions could one deploy to drive value. There isn't a magic wand here, but fundamentally this is working through what is the existing operating model and what's the service that overlays that. Breaking that down in terms of organisation, process, technology, data, and performance, and understanding any broader policy or implement implications that may impact the ability to transform (such as trade unions or something). Getting that whole picture and then taking a judgement that says, "The existing service isn't currently leveraging technology or AI. There are a lot of low-value, repetitive tasks being provided; it's run off legacy; it employs too many people, etc."
I think AI could do a lot of heavy lifting here and present a number of options with supporting evidence and data points to validate those, with then a human in the loop to test and challenge. </t>
  </si>
  <si>
    <t xml:space="preserve">This activity is a purely academic one, driven by the client's evaluation approach and the weighting on specific scores and the rules of engagement in terms of whether it is rewarding transformational outcomes. Again, that is something that AI can completely drive and give an opinion on. </t>
  </si>
  <si>
    <t xml:space="preserve">The activity here is basically extracting information and loading up an Excel spreadsheet with With cost drivers, which are typically capital, cost, people, and volumetrics, back to the whole load of assumptions, and then running some scenario analysis backed off by risks to create A tornado-type outcome analysis again. This is an AI-driven feature here where information and data are uploaded. An agent with skills then drives the investigation, builds spreadsheets, and consolidates that into a report for someone to pick up and just play with. It's fundamentally building something for a commercial finance person just to play with and then complete. </t>
  </si>
  <si>
    <t xml:space="preserve">This final report is again all of the above activities consolidated into a single report, driven by an agent with skills captured within a templated document ready for consumption. </t>
  </si>
  <si>
    <t xml:space="preserve">The effort assigned to this activity is probably overkill here. When you're dealing with large, complex deals, the competitive landscape is small. You're usually only really talking about a handful of primes. They're the ones that you compete with day in, day out. You probably would have attended some form of market warming exercise, so you kind of know who's turning up. This doesn't really need a great deal of intelligence and so forth.
The activity here is basically building up that competitive picture in terms of strengths, weaknesses, battle cards, etc. That's something that AI can drive and build, so you have the sales lead agent and skills for a human in the loop to oversee and dot the i's and cross the t's. </t>
  </si>
  <si>
    <t xml:space="preserve">During the capture phase, if there is a well-defined capture plan with specificity around how we're trying to influence the solution, the commercial model, the legal construct, how we get paid, etc., then the AI, as a compare and contrast, can do that analysis very, very quickly. Being independent would provide a much honest review of the outcome. </t>
  </si>
  <si>
    <t>The AI contribution here was originally 10%. Who bids and who subs, and what commercial vehicle an AI can contribute to that, and the decision criteria are:
1.  Typically, the prime is somebody who can afford the procurement process.
2.  Number two, has the strongest credentials, has the largest share of the work scope or the most strategically important work share which the client values.
Now you could easily have the AI create a kind of Rubik's cube and qualification process to provide guidance there, based on ingested information and data and all the other workings that happened beforehand in terms of the scope, the requirements, and everything.</t>
  </si>
  <si>
    <t xml:space="preserve">In order to decide and define the work breakdown structure within a consortium between the prime, the sub, and other subcontractors, to start with, it would be really helpful if an AI agent, with relevant skills, having ingested all the client's documentation, was able to build a visual representation of the future-to-be solution in terms of an operating model and the key services that the client is looking to be delivered and supported by. What are the performance criteria for each of those individual services?
Based on the individual organisations' current strengths, weaknesses, and capability, it is then able to go through that line by line and start to identify, within that work breakdown structure, who is accountable for what. There could be handoffs and trade-offs in terms of responsibility, so a supplier A takes a process up to a certain point and then the other supplier picks it up. Those kind of handoffs in the delivery of the service are also important to understand. I thought AI would have been really good at that. </t>
  </si>
  <si>
    <t xml:space="preserve">All organisations have a playbook, so within the solution frame there will be rules, such as:
- You can't go below a certain profit level.
- You can't do business in these countries.
- We won't take on certain indemnity limits, etc. So, as part of the onboarding process of new clients across legal, commercial, and solution, I think it's important to understand what those red lines are. You then train an agent and create a skill that effectively evaluates the client documentation and creates a RAG status in terms of what's expected, what isn't, and what the risks are. This is doing the heavy lifting here; that's how I see the AI doing. </t>
  </si>
  <si>
    <t xml:space="preserve">I mean, this is a challenge and push back here, because at this stage you would have come up with a competitive strategy that says this is how we believe we can win and these are the things that need to happen in order for us to win. We would have ingested the client documentation and would have a firm understanding of the requirements, the valuation approach, the commercial levers, the legal position, etc.
Based on that competitive understanding and all of the above, and understanding of who we are competing against, their strengths and weaknesses, I don't think it would be too untoward to have ADR, the AI, come up with certainly a draft strategy in terms of topics, areas to probe, timing, when to position, as certainly a first draft for human-in-the-loop individuals to then test, challenge, ask further questions, etc. </t>
  </si>
  <si>
    <t xml:space="preserve">AI provides what the art of the possible is and what the working back from submission, what all the governance gates and readiness will be like. They can build a framework for a bid manager, then test and finally confirm. </t>
  </si>
  <si>
    <t xml:space="preserve">This is fundamentally a capture of the meeting, the decisions, the actions that need to be followed up, and documentation of that. It's very much AI-oriented.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</si>
</sst>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0"/>
    <numFmt numFmtId="166" formatCode="\£#,##0"/>
    <numFmt numFmtId="167" formatCode="0.0&quot;x&quot;"/>
  </numFmts>
  <fonts count="12" x14ac:knownFonts="1">
    <font>
      <sz val="11"/>
      <color theme="1"/>
      <name val="Calibri"/>
      <family val="2"/>
      <scheme val="minor"/>
    </font>
    <font>
      <b/>
      <sz val="10"/>
      <color rgb="FFFFFFFF"/>
      <name val="Calibri"/>
    </font>
    <font>
      <sz val="9"/>
      <name val="Calibri"/>
    </font>
    <font>
      <b/>
      <sz val="9"/>
      <name val="Calibri"/>
    </font>
    <font>
      <b/>
      <sz val="9"/>
      <color rgb="FFC49438"/>
      <name val="Calibri"/>
    </font>
    <font>
      <b/>
      <sz val="10"/>
      <color rgb="FF1B2A4A"/>
      <name val="Calibri"/>
    </font>
    <font>
      <b/>
      <sz val="10"/>
      <color rgb="FFC49438"/>
      <name val="Calibri"/>
    </font>
    <font>
      <sz val="9"/>
      <color rgb="FF94A3B8"/>
      <name val="Calibri"/>
    </font>
    <font>
      <i/>
      <sz val="8"/>
      <color rgb="FF64748B"/>
      <name val="Calibri"/>
    </font>
    <font>
      <b/>
      <sz val="10"/>
      <color rgb="FFE8ECF1"/>
      <name val="Calibri"/>
    </font>
    <font>
      <sz val="9"/>
      <color rgb="FFE8ECF1"/>
      <name val="Calibri"/>
    </font>
    <font>
      <sz val="11"/>
      <color rgb="FF006100"/>
      <name val="Calibri"/>
      <family val="2"/>
      <scheme val="minor"/>
    </font>
  </fonts>
  <fills count="15">
    <fill>
      <patternFill patternType="none"/>
    </fill>
    <fill>
      <patternFill patternType="gray125"/>
    </fill>
    <fill>
      <patternFill patternType="solid">
        <fgColor rgb="FFFFF2CC"/>
        <bgColor rgb="FFFFF2CC"/>
      </patternFill>
    </fill>
    <fill>
      <patternFill patternType="solid">
        <fgColor rgb="FFE2EFDA"/>
        <bgColor rgb="FFE2EFDA"/>
      </patternFill>
    </fill>
    <fill>
      <patternFill patternType="solid">
        <fgColor rgb="FFDAEEF3"/>
        <bgColor rgb="FFDAEEF3"/>
      </patternFill>
    </fill>
    <fill>
      <patternFill patternType="solid">
        <fgColor rgb="FF1B2A4A"/>
        <bgColor rgb="FF1B2A4A"/>
      </patternFill>
    </fill>
    <fill>
      <patternFill patternType="solid">
        <fgColor rgb="FFC6EFCE"/>
        <bgColor rgb="FFC6EFCE"/>
      </patternFill>
    </fill>
    <fill>
      <patternFill patternType="solid">
        <fgColor rgb="FFFFEB9C"/>
        <bgColor rgb="FFFFEB9C"/>
      </patternFill>
    </fill>
    <fill>
      <patternFill patternType="solid">
        <fgColor rgb="FFFFC7CE"/>
        <bgColor rgb="FFFFC7CE"/>
      </patternFill>
    </fill>
    <fill>
      <patternFill patternType="solid">
        <fgColor rgb="FF253551"/>
        <bgColor rgb="FF253551"/>
      </patternFill>
    </fill>
    <fill>
      <patternFill patternType="solid">
        <fgColor rgb="FFC49438"/>
        <bgColor rgb="FFC49438"/>
      </patternFill>
    </fill>
    <fill>
      <patternFill patternType="solid">
        <fgColor rgb="FF0D2137"/>
        <bgColor rgb="FF0D2137"/>
      </patternFill>
    </fill>
    <fill>
      <patternFill patternType="solid">
        <fgColor rgb="FF0F1724"/>
        <bgColor rgb="FF0F1724"/>
      </patternFill>
    </fill>
    <fill>
      <patternFill patternType="solid">
        <fgColor rgb="FF162032"/>
        <bgColor rgb="FF162032"/>
      </patternFill>
    </fill>
    <fill>
      <patternFill patternType="solid">
        <fgColor rgb="FFC6EFCE"/>
      </patternFill>
    </fill>
  </fills>
  <borders count="3">
    <border>
      <left/>
      <right/>
      <top/>
      <bottom/>
      <diagonal/>
    </border>
    <border>
      <left style="thin">
        <color auto="1"/>
      </left>
      <right style="thin">
        <color auto="1"/>
      </right>
      <top style="thin">
        <color auto="1"/>
      </top>
      <bottom style="thin">
        <color auto="1"/>
      </bottom>
      <diagonal/>
    </border>
    <border>
      <left style="thin">
        <color rgb="FF253551"/>
      </left>
      <right style="thin">
        <color rgb="FF253551"/>
      </right>
      <top style="thin">
        <color rgb="FF253551"/>
      </top>
      <bottom style="thin">
        <color rgb="FF253551"/>
      </bottom>
      <diagonal/>
    </border>
  </borders>
  <cellStyleXfs count="2">
    <xf numFmtId="0" fontId="0" fillId="0" borderId="0"/>
    <xf numFmtId="0" fontId="11" fillId="14" borderId="0" applyNumberFormat="0" applyBorder="0" applyAlignment="0" applyProtection="0"/>
  </cellStyleXfs>
  <cellXfs count="53">
    <xf numFmtId="0" fontId="0" fillId="0" borderId="0" xfId="0"/>
    <xf numFmtId="0" fontId="1" fillId="5" borderId="1" xfId="0" applyFont="1" applyFill="1" applyBorder="1" applyAlignment="1">
      <alignment vertical="top" wrapText="1"/>
    </xf>
    <xf numFmtId="0" fontId="2" fillId="0" borderId="1" xfId="0" applyFont="1" applyBorder="1" applyAlignment="1">
      <alignment vertical="top" wrapText="1"/>
    </xf>
    <xf numFmtId="164" fontId="2" fillId="3" borderId="1" xfId="0" applyNumberFormat="1" applyFont="1" applyFill="1" applyBorder="1" applyAlignment="1">
      <alignment vertical="top" wrapText="1"/>
    </xf>
    <xf numFmtId="164" fontId="2" fillId="0" borderId="1" xfId="0" applyNumberFormat="1" applyFont="1" applyBorder="1" applyAlignment="1">
      <alignment vertical="top" wrapText="1"/>
    </xf>
    <xf numFmtId="165" fontId="2" fillId="3" borderId="1" xfId="0" applyNumberFormat="1" applyFont="1" applyFill="1" applyBorder="1" applyAlignment="1">
      <alignment vertical="top" wrapText="1"/>
    </xf>
    <xf numFmtId="0" fontId="3" fillId="0" borderId="1" xfId="0" applyFont="1" applyBorder="1" applyAlignment="1">
      <alignment vertical="top" wrapText="1"/>
    </xf>
    <xf numFmtId="164" fontId="3" fillId="0" borderId="1" xfId="0" applyNumberFormat="1" applyFont="1" applyBorder="1" applyAlignment="1">
      <alignment vertical="top" wrapText="1"/>
    </xf>
    <xf numFmtId="165" fontId="3" fillId="3" borderId="1" xfId="0" applyNumberFormat="1" applyFont="1" applyFill="1" applyBorder="1" applyAlignment="1">
      <alignment vertical="top" wrapText="1"/>
    </xf>
    <xf numFmtId="164" fontId="3" fillId="3" borderId="1" xfId="0" applyNumberFormat="1" applyFont="1" applyFill="1" applyBorder="1" applyAlignment="1">
      <alignment vertical="top" wrapText="1"/>
    </xf>
    <xf numFmtId="0" fontId="2" fillId="0" borderId="0" xfId="0" applyFont="1" applyAlignment="1">
      <alignment vertical="top" wrapText="1"/>
    </xf>
    <xf numFmtId="164" fontId="2" fillId="0" borderId="0" xfId="0" applyNumberFormat="1" applyFont="1" applyAlignment="1">
      <alignment vertical="top" wrapText="1"/>
    </xf>
    <xf numFmtId="165" fontId="2" fillId="3" borderId="0" xfId="0" applyNumberFormat="1" applyFont="1" applyFill="1" applyAlignment="1">
      <alignment vertical="top" wrapText="1"/>
    </xf>
    <xf numFmtId="164" fontId="2" fillId="3" borderId="0" xfId="0" applyNumberFormat="1" applyFont="1" applyFill="1" applyAlignment="1">
      <alignment vertical="top" wrapText="1"/>
    </xf>
    <xf numFmtId="0" fontId="4" fillId="9" borderId="1" xfId="0" applyFont="1" applyFill="1" applyBorder="1" applyAlignment="1">
      <alignment vertical="top" wrapText="1"/>
    </xf>
    <xf numFmtId="165" fontId="4" fillId="9" borderId="1" xfId="0" applyNumberFormat="1" applyFont="1" applyFill="1" applyBorder="1" applyAlignment="1">
      <alignment vertical="top" wrapText="1"/>
    </xf>
    <xf numFmtId="164" fontId="4" fillId="9" borderId="1" xfId="0" applyNumberFormat="1" applyFont="1" applyFill="1" applyBorder="1" applyAlignment="1">
      <alignment vertical="top" wrapText="1"/>
    </xf>
    <xf numFmtId="0" fontId="5" fillId="10" borderId="1" xfId="0" applyFont="1" applyFill="1" applyBorder="1"/>
    <xf numFmtId="165" fontId="5" fillId="10" borderId="1" xfId="0" applyNumberFormat="1" applyFont="1" applyFill="1" applyBorder="1"/>
    <xf numFmtId="164" fontId="5" fillId="10" borderId="1" xfId="0" applyNumberFormat="1" applyFont="1" applyFill="1" applyBorder="1"/>
    <xf numFmtId="0" fontId="6" fillId="11" borderId="2" xfId="0" applyFont="1" applyFill="1" applyBorder="1" applyAlignment="1">
      <alignment vertical="top" wrapText="1"/>
    </xf>
    <xf numFmtId="0" fontId="7" fillId="12" borderId="2" xfId="0" applyFont="1" applyFill="1" applyBorder="1" applyAlignment="1">
      <alignment vertical="top" wrapText="1"/>
    </xf>
    <xf numFmtId="166" fontId="10" fillId="12" borderId="2" xfId="0" applyNumberFormat="1" applyFont="1" applyFill="1" applyBorder="1" applyAlignment="1">
      <alignment vertical="top" wrapText="1"/>
    </xf>
    <xf numFmtId="165" fontId="10" fillId="12" borderId="2" xfId="0" applyNumberFormat="1" applyFont="1" applyFill="1" applyBorder="1" applyAlignment="1">
      <alignment vertical="top" wrapText="1"/>
    </xf>
    <xf numFmtId="164" fontId="10" fillId="12" borderId="2" xfId="0" applyNumberFormat="1" applyFont="1" applyFill="1" applyBorder="1" applyAlignment="1">
      <alignment vertical="top" wrapText="1"/>
    </xf>
    <xf numFmtId="0" fontId="6" fillId="12" borderId="2" xfId="0" applyFont="1" applyFill="1" applyBorder="1" applyAlignment="1">
      <alignment vertical="top" wrapText="1"/>
    </xf>
    <xf numFmtId="165" fontId="6" fillId="12" borderId="2" xfId="0" applyNumberFormat="1" applyFont="1" applyFill="1" applyBorder="1" applyAlignment="1">
      <alignment vertical="top" wrapText="1"/>
    </xf>
    <xf numFmtId="166" fontId="6" fillId="12" borderId="2" xfId="0" applyNumberFormat="1" applyFont="1" applyFill="1" applyBorder="1" applyAlignment="1">
      <alignment vertical="top" wrapText="1"/>
    </xf>
    <xf numFmtId="164" fontId="6" fillId="12" borderId="2" xfId="0" applyNumberFormat="1" applyFont="1" applyFill="1" applyBorder="1" applyAlignment="1">
      <alignment vertical="top" wrapText="1"/>
    </xf>
    <xf numFmtId="0" fontId="10" fillId="12" borderId="2" xfId="0" applyFont="1" applyFill="1" applyBorder="1" applyAlignment="1">
      <alignment vertical="top" wrapText="1"/>
    </xf>
    <xf numFmtId="167" fontId="10" fillId="12" borderId="2" xfId="0" applyNumberFormat="1" applyFont="1" applyFill="1" applyBorder="1" applyAlignment="1">
      <alignment vertical="top" wrapText="1"/>
    </xf>
    <xf numFmtId="1" fontId="6" fillId="12" borderId="2" xfId="0" applyNumberFormat="1" applyFont="1" applyFill="1" applyBorder="1" applyAlignment="1">
      <alignment vertical="top" wrapText="1"/>
    </xf>
    <xf numFmtId="167" fontId="6" fillId="12" borderId="2" xfId="0" applyNumberFormat="1" applyFont="1" applyFill="1" applyBorder="1" applyAlignment="1">
      <alignment vertical="top" wrapText="1"/>
    </xf>
    <xf numFmtId="0" fontId="4" fillId="12" borderId="2" xfId="0" applyFont="1" applyFill="1" applyBorder="1" applyAlignment="1">
      <alignment vertical="top" wrapText="1"/>
    </xf>
    <xf numFmtId="0" fontId="9" fillId="13" borderId="2" xfId="0" applyFont="1" applyFill="1" applyBorder="1" applyAlignment="1">
      <alignment vertical="top" wrapText="1"/>
    </xf>
    <xf numFmtId="0" fontId="7" fillId="13" borderId="2" xfId="0" applyFont="1" applyFill="1" applyBorder="1" applyAlignment="1">
      <alignment vertical="top" wrapText="1"/>
    </xf>
    <xf numFmtId="0" fontId="6" fillId="11" borderId="2" xfId="0" applyFont="1" applyFill="1" applyBorder="1" applyAlignment="1">
      <alignment vertical="top" wrapText="1"/>
    </xf>
    <xf numFmtId="0" fontId="7" fillId="11" borderId="2" xfId="0" applyFont="1" applyFill="1" applyBorder="1" applyAlignment="1">
      <alignment vertical="top" wrapText="1"/>
    </xf>
    <xf numFmtId="0" fontId="8" fillId="12" borderId="2" xfId="0" applyFont="1" applyFill="1" applyBorder="1" applyAlignment="1">
      <alignment vertical="top" wrapText="1"/>
    </xf>
    <xf numFmtId="0" fontId="7" fillId="12" borderId="2" xfId="0" applyFont="1" applyFill="1" applyBorder="1" applyAlignment="1">
      <alignment vertical="top" wrapText="1"/>
    </xf>
    <xf numFmtId="0" fontId="1" fillId="5" borderId="1" xfId="0" applyFont="1" applyFill="1" applyBorder="1" applyAlignment="1">
      <alignment horizontal="left" vertical="top" wrapText="1"/>
    </xf>
    <xf numFmtId="0" fontId="0" fillId="0" borderId="0" xfId="0" applyAlignment="1">
      <alignment horizontal="left" vertical="top"/>
    </xf>
    <xf numFmtId="0" fontId="2" fillId="0" borderId="1" xfId="0" applyFont="1" applyBorder="1" applyAlignment="1">
      <alignment horizontal="left" vertical="top" wrapText="1"/>
    </xf>
    <xf numFmtId="0" fontId="2" fillId="6" borderId="1" xfId="0" applyFont="1" applyFill="1" applyBorder="1" applyAlignment="1">
      <alignment horizontal="left" vertical="top" wrapText="1"/>
    </xf>
    <xf numFmtId="0" fontId="2" fillId="3" borderId="1" xfId="0" applyFont="1" applyFill="1" applyBorder="1" applyAlignment="1">
      <alignment horizontal="left" vertical="top" wrapText="1"/>
    </xf>
    <xf numFmtId="9" fontId="2" fillId="2" borderId="1" xfId="0" applyNumberFormat="1" applyFont="1" applyFill="1" applyBorder="1" applyAlignment="1">
      <alignment horizontal="left" vertical="top" wrapText="1"/>
    </xf>
    <xf numFmtId="164" fontId="2" fillId="3" borderId="1" xfId="0" applyNumberFormat="1" applyFont="1" applyFill="1" applyBorder="1" applyAlignment="1">
      <alignment horizontal="left" vertical="top" wrapText="1"/>
    </xf>
    <xf numFmtId="2" fontId="2" fillId="3" borderId="1" xfId="0" applyNumberFormat="1" applyFont="1" applyFill="1" applyBorder="1" applyAlignment="1">
      <alignment horizontal="left" vertical="top" wrapText="1"/>
    </xf>
    <xf numFmtId="0" fontId="2" fillId="7" borderId="1" xfId="0" applyFont="1" applyFill="1" applyBorder="1" applyAlignment="1">
      <alignment horizontal="left" vertical="top" wrapText="1"/>
    </xf>
    <xf numFmtId="0" fontId="2" fillId="8" borderId="1" xfId="0" applyFont="1" applyFill="1" applyBorder="1" applyAlignment="1">
      <alignment horizontal="left" vertical="top" wrapText="1"/>
    </xf>
    <xf numFmtId="9" fontId="2" fillId="4" borderId="1" xfId="0" applyNumberFormat="1" applyFont="1" applyFill="1" applyBorder="1" applyAlignment="1">
      <alignment horizontal="left" vertical="top" wrapText="1"/>
    </xf>
    <xf numFmtId="0" fontId="0" fillId="0" borderId="0" xfId="0" applyAlignment="1">
      <alignment horizontal="left" vertical="top" wrapText="1"/>
    </xf>
    <xf numFmtId="0" fontId="11" fillId="14" borderId="1" xfId="1" applyBorder="1" applyAlignment="1">
      <alignment horizontal="left" vertical="top" wrapText="1"/>
    </xf>
  </cellXfs>
  <cellStyles count="2">
    <cellStyle name="Good" xfId="1" builtinId="26"/>
    <cellStyle name="Normal" xfId="0" builtinId="0"/>
  </cellStyles>
  <dxfs count="3">
    <dxf>
      <font>
        <color rgb="FFFFFFFF"/>
      </font>
      <fill>
        <patternFill patternType="solid">
          <fgColor indexed="64"/>
          <bgColor rgb="FFFF0000"/>
        </patternFill>
      </fill>
    </dxf>
    <dxf>
      <font>
        <color rgb="FFFFFFFF"/>
      </font>
      <fill>
        <patternFill patternType="solid">
          <fgColor indexed="64"/>
          <bgColor rgb="FFFFC000"/>
        </patternFill>
      </fill>
    </dxf>
    <dxf>
      <font>
        <color rgb="FFFFFFFF"/>
      </font>
      <fill>
        <patternFill patternType="solid">
          <fgColor indexed="64"/>
          <bgColor rgb="FF00B05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77CB4F-7D1C-46E8-A666-63B4FF8FCCAB}">
  <we:reference id="29673e3c-d826-4f00-92ee-162334a52b1a" version="1.0.0.8" store="EXCatalog" storeType="EXCatalog"/>
  <we:alternateReferences>
    <we:reference id="WA200009404" version="1.0.0.8"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297"/>
  <sheetViews>
    <sheetView topLeftCell="C1" workbookViewId="0">
      <pane ySplit="1" topLeftCell="A284" activePane="bottomLeft" state="frozen"/>
      <selection activeCell="C1" sqref="C1"/>
      <selection pane="bottomLeft" activeCell="E300" sqref="E300"/>
    </sheetView>
  </sheetViews>
  <sheetFormatPr defaultRowHeight="15" x14ac:dyDescent="0.25"/>
  <cols>
    <col min="1" max="2" width="10" style="41" hidden="1" customWidth="1"/>
    <col min="3" max="3" width="14" style="41" customWidth="1"/>
    <col min="4" max="4" width="10" style="41" customWidth="1"/>
    <col min="5" max="5" width="50" style="41" customWidth="1"/>
    <col min="6" max="6" width="45" style="41" customWidth="1"/>
    <col min="7" max="7" width="30" style="41" customWidth="1"/>
    <col min="8" max="8" width="40" style="41" customWidth="1"/>
    <col min="9" max="9" width="16" style="41" hidden="1" customWidth="1"/>
    <col min="10" max="10" width="12" style="41" customWidth="1"/>
    <col min="11" max="11" width="10" style="41" customWidth="1"/>
    <col min="12" max="12" width="14" style="41" customWidth="1"/>
    <col min="13" max="13" width="12" style="41" customWidth="1"/>
    <col min="14" max="15" width="14" style="41" customWidth="1"/>
    <col min="16" max="16" width="12" style="41" customWidth="1"/>
    <col min="17" max="17" width="16" style="41" customWidth="1"/>
    <col min="18" max="19" width="12" style="41" customWidth="1"/>
    <col min="20" max="20" width="30" style="41" customWidth="1"/>
    <col min="21" max="21" width="22" style="41" customWidth="1"/>
    <col min="22" max="22" width="14" style="41" customWidth="1"/>
    <col min="23" max="23" width="77" style="51" customWidth="1"/>
    <col min="24" max="16384" width="9.140625" style="41"/>
  </cols>
  <sheetData>
    <row r="1" spans="1:23" ht="25.5" x14ac:dyDescent="0.25">
      <c r="A1" s="40" t="s">
        <v>0</v>
      </c>
      <c r="B1" s="40" t="s">
        <v>1</v>
      </c>
      <c r="C1" s="40" t="s">
        <v>2</v>
      </c>
      <c r="D1" s="40" t="s">
        <v>3</v>
      </c>
      <c r="E1" s="40" t="s">
        <v>4</v>
      </c>
      <c r="F1" s="40" t="s">
        <v>5</v>
      </c>
      <c r="G1" s="40" t="s">
        <v>6</v>
      </c>
      <c r="H1" s="40" t="s">
        <v>7</v>
      </c>
      <c r="I1" s="40" t="s">
        <v>8</v>
      </c>
      <c r="J1" s="40" t="s">
        <v>9</v>
      </c>
      <c r="K1" s="40" t="s">
        <v>10</v>
      </c>
      <c r="L1" s="40" t="s">
        <v>11</v>
      </c>
      <c r="M1" s="40" t="s">
        <v>12</v>
      </c>
      <c r="N1" s="40" t="s">
        <v>13</v>
      </c>
      <c r="O1" s="40" t="s">
        <v>14</v>
      </c>
      <c r="P1" s="40" t="s">
        <v>15</v>
      </c>
      <c r="Q1" s="40" t="s">
        <v>16</v>
      </c>
      <c r="R1" s="40" t="s">
        <v>17</v>
      </c>
      <c r="S1" s="40" t="s">
        <v>18</v>
      </c>
      <c r="T1" s="40" t="s">
        <v>19</v>
      </c>
      <c r="U1" s="40" t="s">
        <v>20</v>
      </c>
      <c r="V1" s="40" t="s">
        <v>21</v>
      </c>
      <c r="W1" s="40" t="s">
        <v>22</v>
      </c>
    </row>
    <row r="2" spans="1:23" ht="216" x14ac:dyDescent="0.25">
      <c r="A2" s="42" t="s">
        <v>23</v>
      </c>
      <c r="B2" s="42" t="s">
        <v>24</v>
      </c>
      <c r="C2" s="42" t="s">
        <v>25</v>
      </c>
      <c r="D2" s="43" t="s">
        <v>26</v>
      </c>
      <c r="E2" s="42" t="s">
        <v>27</v>
      </c>
      <c r="F2" s="42" t="s">
        <v>28</v>
      </c>
      <c r="G2" s="42" t="s">
        <v>29</v>
      </c>
      <c r="H2" s="42" t="s">
        <v>30</v>
      </c>
      <c r="I2" s="42" t="s">
        <v>31</v>
      </c>
      <c r="J2" s="42">
        <v>10</v>
      </c>
      <c r="K2" s="42">
        <v>1</v>
      </c>
      <c r="L2" s="44">
        <f t="shared" ref="L2:L65" si="0">J2/COUNTIF($B:$B,B2)</f>
        <v>1.4285714285714286</v>
      </c>
      <c r="M2" s="45">
        <v>0.9</v>
      </c>
      <c r="N2" s="45">
        <v>0</v>
      </c>
      <c r="O2" s="46">
        <f t="shared" ref="O2:O65" si="1">1-(1-M2)*(1-N2)</f>
        <v>0.9</v>
      </c>
      <c r="P2" s="47">
        <f t="shared" ref="P2:P65" si="2">L2*O2</f>
        <v>1.2857142857142858</v>
      </c>
      <c r="Q2" s="42" t="s">
        <v>26</v>
      </c>
      <c r="R2" s="42" t="s">
        <v>32</v>
      </c>
      <c r="S2" s="42" t="s">
        <v>33</v>
      </c>
      <c r="T2" s="42" t="s">
        <v>34</v>
      </c>
      <c r="U2" s="42" t="s">
        <v>35</v>
      </c>
      <c r="V2" s="42" t="s">
        <v>36</v>
      </c>
      <c r="W2" s="42" t="s">
        <v>1357</v>
      </c>
    </row>
    <row r="3" spans="1:23" ht="288" x14ac:dyDescent="0.25">
      <c r="A3" s="42" t="s">
        <v>23</v>
      </c>
      <c r="B3" s="42" t="s">
        <v>24</v>
      </c>
      <c r="C3" s="42" t="s">
        <v>37</v>
      </c>
      <c r="D3" s="43" t="s">
        <v>26</v>
      </c>
      <c r="E3" s="42" t="s">
        <v>38</v>
      </c>
      <c r="F3" s="42" t="s">
        <v>39</v>
      </c>
      <c r="G3" s="42" t="s">
        <v>40</v>
      </c>
      <c r="H3" s="42" t="s">
        <v>41</v>
      </c>
      <c r="I3" s="42" t="s">
        <v>31</v>
      </c>
      <c r="J3" s="42">
        <v>10</v>
      </c>
      <c r="K3" s="42">
        <v>1</v>
      </c>
      <c r="L3" s="44">
        <f t="shared" si="0"/>
        <v>1.4285714285714286</v>
      </c>
      <c r="M3" s="45">
        <v>0.8</v>
      </c>
      <c r="N3" s="45">
        <v>0</v>
      </c>
      <c r="O3" s="46">
        <f t="shared" si="1"/>
        <v>0.8</v>
      </c>
      <c r="P3" s="47">
        <f t="shared" si="2"/>
        <v>1.142857142857143</v>
      </c>
      <c r="Q3" s="42" t="s">
        <v>26</v>
      </c>
      <c r="R3" s="42" t="s">
        <v>33</v>
      </c>
      <c r="S3" s="42" t="s">
        <v>33</v>
      </c>
      <c r="T3" s="42" t="s">
        <v>34</v>
      </c>
      <c r="U3" s="42" t="s">
        <v>42</v>
      </c>
      <c r="V3" s="42" t="s">
        <v>36</v>
      </c>
      <c r="W3" s="42" t="s">
        <v>1358</v>
      </c>
    </row>
    <row r="4" spans="1:23" ht="72" x14ac:dyDescent="0.25">
      <c r="A4" s="42" t="s">
        <v>23</v>
      </c>
      <c r="B4" s="42" t="s">
        <v>24</v>
      </c>
      <c r="C4" s="42" t="s">
        <v>43</v>
      </c>
      <c r="D4" s="43" t="s">
        <v>26</v>
      </c>
      <c r="E4" s="42" t="s">
        <v>44</v>
      </c>
      <c r="F4" s="42" t="s">
        <v>45</v>
      </c>
      <c r="G4" s="42" t="s">
        <v>46</v>
      </c>
      <c r="H4" s="42" t="s">
        <v>47</v>
      </c>
      <c r="I4" s="42" t="s">
        <v>31</v>
      </c>
      <c r="J4" s="42">
        <v>10</v>
      </c>
      <c r="K4" s="42">
        <v>1</v>
      </c>
      <c r="L4" s="44">
        <f t="shared" si="0"/>
        <v>1.4285714285714286</v>
      </c>
      <c r="M4" s="45">
        <v>0.8</v>
      </c>
      <c r="N4" s="45">
        <v>0</v>
      </c>
      <c r="O4" s="46">
        <f t="shared" si="1"/>
        <v>0.8</v>
      </c>
      <c r="P4" s="47">
        <f t="shared" si="2"/>
        <v>1.142857142857143</v>
      </c>
      <c r="Q4" s="42" t="s">
        <v>26</v>
      </c>
      <c r="R4" s="42" t="s">
        <v>32</v>
      </c>
      <c r="S4" s="42" t="s">
        <v>33</v>
      </c>
      <c r="T4" s="42" t="s">
        <v>34</v>
      </c>
      <c r="U4" s="42" t="s">
        <v>48</v>
      </c>
      <c r="V4" s="42" t="s">
        <v>36</v>
      </c>
      <c r="W4" s="42" t="s">
        <v>1359</v>
      </c>
    </row>
    <row r="5" spans="1:23" ht="84" x14ac:dyDescent="0.25">
      <c r="A5" s="42" t="s">
        <v>23</v>
      </c>
      <c r="B5" s="42" t="s">
        <v>24</v>
      </c>
      <c r="C5" s="42" t="s">
        <v>49</v>
      </c>
      <c r="D5" s="43" t="s">
        <v>26</v>
      </c>
      <c r="E5" s="42" t="s">
        <v>50</v>
      </c>
      <c r="F5" s="42" t="s">
        <v>51</v>
      </c>
      <c r="G5" s="42" t="s">
        <v>52</v>
      </c>
      <c r="H5" s="42" t="s">
        <v>53</v>
      </c>
      <c r="I5" s="42" t="s">
        <v>31</v>
      </c>
      <c r="J5" s="42">
        <v>10</v>
      </c>
      <c r="K5" s="42">
        <v>1</v>
      </c>
      <c r="L5" s="44">
        <f t="shared" si="0"/>
        <v>1.4285714285714286</v>
      </c>
      <c r="M5" s="45">
        <v>0.7</v>
      </c>
      <c r="N5" s="45">
        <v>0</v>
      </c>
      <c r="O5" s="46">
        <f t="shared" si="1"/>
        <v>0.7</v>
      </c>
      <c r="P5" s="47">
        <f t="shared" si="2"/>
        <v>1</v>
      </c>
      <c r="Q5" s="42" t="s">
        <v>26</v>
      </c>
      <c r="R5" s="42" t="s">
        <v>32</v>
      </c>
      <c r="S5" s="42" t="s">
        <v>33</v>
      </c>
      <c r="T5" s="42" t="s">
        <v>34</v>
      </c>
      <c r="U5" s="42" t="s">
        <v>42</v>
      </c>
      <c r="V5" s="42" t="s">
        <v>36</v>
      </c>
      <c r="W5" s="42" t="s">
        <v>1360</v>
      </c>
    </row>
    <row r="6" spans="1:23" ht="84" x14ac:dyDescent="0.25">
      <c r="A6" s="42" t="s">
        <v>23</v>
      </c>
      <c r="B6" s="42" t="s">
        <v>24</v>
      </c>
      <c r="C6" s="42" t="s">
        <v>54</v>
      </c>
      <c r="D6" s="52" t="s">
        <v>26</v>
      </c>
      <c r="E6" s="42" t="s">
        <v>56</v>
      </c>
      <c r="F6" s="42" t="s">
        <v>57</v>
      </c>
      <c r="G6" s="42" t="s">
        <v>58</v>
      </c>
      <c r="H6" s="42" t="s">
        <v>59</v>
      </c>
      <c r="I6" s="42" t="s">
        <v>31</v>
      </c>
      <c r="J6" s="42">
        <v>10</v>
      </c>
      <c r="K6" s="42">
        <v>1</v>
      </c>
      <c r="L6" s="44">
        <f t="shared" si="0"/>
        <v>1.4285714285714286</v>
      </c>
      <c r="M6" s="45">
        <v>0.7</v>
      </c>
      <c r="N6" s="45">
        <v>0</v>
      </c>
      <c r="O6" s="46">
        <f t="shared" si="1"/>
        <v>0.7</v>
      </c>
      <c r="P6" s="47">
        <f t="shared" si="2"/>
        <v>1</v>
      </c>
      <c r="Q6" s="42" t="s">
        <v>26</v>
      </c>
      <c r="R6" s="42" t="s">
        <v>33</v>
      </c>
      <c r="S6" s="42" t="s">
        <v>32</v>
      </c>
      <c r="T6" s="42" t="s">
        <v>60</v>
      </c>
      <c r="U6" s="42" t="s">
        <v>42</v>
      </c>
      <c r="V6" s="42" t="s">
        <v>36</v>
      </c>
      <c r="W6" s="42" t="s">
        <v>1361</v>
      </c>
    </row>
    <row r="7" spans="1:23" ht="84" x14ac:dyDescent="0.25">
      <c r="A7" s="42" t="s">
        <v>23</v>
      </c>
      <c r="B7" s="42" t="s">
        <v>24</v>
      </c>
      <c r="C7" s="42" t="s">
        <v>61</v>
      </c>
      <c r="D7" s="48" t="s">
        <v>26</v>
      </c>
      <c r="E7" s="42" t="s">
        <v>62</v>
      </c>
      <c r="F7" s="42" t="s">
        <v>63</v>
      </c>
      <c r="G7" s="42" t="s">
        <v>64</v>
      </c>
      <c r="H7" s="42" t="s">
        <v>65</v>
      </c>
      <c r="I7" s="42" t="s">
        <v>31</v>
      </c>
      <c r="J7" s="42">
        <v>10</v>
      </c>
      <c r="K7" s="42">
        <v>1</v>
      </c>
      <c r="L7" s="44">
        <f t="shared" si="0"/>
        <v>1.4285714285714286</v>
      </c>
      <c r="M7" s="45">
        <v>0.7</v>
      </c>
      <c r="N7" s="45">
        <v>0</v>
      </c>
      <c r="O7" s="46">
        <f t="shared" si="1"/>
        <v>0.7</v>
      </c>
      <c r="P7" s="47">
        <f t="shared" si="2"/>
        <v>1</v>
      </c>
      <c r="Q7" s="42" t="s">
        <v>26</v>
      </c>
      <c r="R7" s="42" t="s">
        <v>66</v>
      </c>
      <c r="S7" s="42" t="s">
        <v>32</v>
      </c>
      <c r="T7" s="42" t="s">
        <v>60</v>
      </c>
      <c r="U7" s="42" t="s">
        <v>67</v>
      </c>
      <c r="V7" s="42" t="s">
        <v>36</v>
      </c>
      <c r="W7" s="42" t="s">
        <v>1362</v>
      </c>
    </row>
    <row r="8" spans="1:23" ht="36" x14ac:dyDescent="0.25">
      <c r="A8" s="42" t="s">
        <v>23</v>
      </c>
      <c r="B8" s="42" t="s">
        <v>24</v>
      </c>
      <c r="C8" s="42" t="s">
        <v>68</v>
      </c>
      <c r="D8" s="48" t="s">
        <v>26</v>
      </c>
      <c r="E8" s="42" t="s">
        <v>69</v>
      </c>
      <c r="F8" s="42" t="s">
        <v>70</v>
      </c>
      <c r="G8" s="42" t="s">
        <v>71</v>
      </c>
      <c r="H8" s="42" t="s">
        <v>72</v>
      </c>
      <c r="I8" s="42" t="s">
        <v>31</v>
      </c>
      <c r="J8" s="42">
        <v>10</v>
      </c>
      <c r="K8" s="42">
        <v>1</v>
      </c>
      <c r="L8" s="44">
        <f t="shared" si="0"/>
        <v>1.4285714285714286</v>
      </c>
      <c r="M8" s="45">
        <v>0.8</v>
      </c>
      <c r="N8" s="45">
        <v>0.8</v>
      </c>
      <c r="O8" s="46">
        <f t="shared" si="1"/>
        <v>0.96</v>
      </c>
      <c r="P8" s="47">
        <f t="shared" si="2"/>
        <v>1.3714285714285714</v>
      </c>
      <c r="Q8" s="42" t="s">
        <v>55</v>
      </c>
      <c r="R8" s="42" t="s">
        <v>66</v>
      </c>
      <c r="S8" s="42" t="s">
        <v>32</v>
      </c>
      <c r="T8" s="42" t="s">
        <v>60</v>
      </c>
      <c r="U8" s="42" t="s">
        <v>67</v>
      </c>
      <c r="V8" s="42" t="s">
        <v>36</v>
      </c>
      <c r="W8" s="42" t="s">
        <v>1363</v>
      </c>
    </row>
    <row r="9" spans="1:23" ht="96" x14ac:dyDescent="0.25">
      <c r="A9" s="42" t="s">
        <v>23</v>
      </c>
      <c r="B9" s="42" t="s">
        <v>73</v>
      </c>
      <c r="C9" s="42" t="s">
        <v>74</v>
      </c>
      <c r="D9" s="43" t="s">
        <v>26</v>
      </c>
      <c r="E9" s="42" t="s">
        <v>75</v>
      </c>
      <c r="F9" s="42" t="s">
        <v>76</v>
      </c>
      <c r="G9" s="42" t="s">
        <v>77</v>
      </c>
      <c r="H9" s="42" t="s">
        <v>78</v>
      </c>
      <c r="I9" s="42" t="s">
        <v>31</v>
      </c>
      <c r="J9" s="42">
        <v>5</v>
      </c>
      <c r="K9" s="42">
        <v>1</v>
      </c>
      <c r="L9" s="44">
        <f t="shared" si="0"/>
        <v>0.5</v>
      </c>
      <c r="M9" s="45">
        <v>0.8</v>
      </c>
      <c r="N9" s="45">
        <v>0.1</v>
      </c>
      <c r="O9" s="46">
        <f t="shared" si="1"/>
        <v>0.82000000000000006</v>
      </c>
      <c r="P9" s="47">
        <f t="shared" si="2"/>
        <v>0.41000000000000003</v>
      </c>
      <c r="Q9" s="42" t="s">
        <v>26</v>
      </c>
      <c r="R9" s="42" t="s">
        <v>33</v>
      </c>
      <c r="S9" s="42" t="s">
        <v>33</v>
      </c>
      <c r="T9" s="42" t="s">
        <v>34</v>
      </c>
      <c r="U9" s="42" t="s">
        <v>67</v>
      </c>
      <c r="V9" s="42" t="s">
        <v>36</v>
      </c>
      <c r="W9" s="42" t="s">
        <v>1364</v>
      </c>
    </row>
    <row r="10" spans="1:23" ht="60" x14ac:dyDescent="0.25">
      <c r="A10" s="42" t="s">
        <v>23</v>
      </c>
      <c r="B10" s="42" t="s">
        <v>73</v>
      </c>
      <c r="C10" s="42" t="s">
        <v>79</v>
      </c>
      <c r="D10" s="48" t="s">
        <v>55</v>
      </c>
      <c r="E10" s="42" t="s">
        <v>80</v>
      </c>
      <c r="F10" s="42" t="s">
        <v>81</v>
      </c>
      <c r="G10" s="42" t="s">
        <v>82</v>
      </c>
      <c r="H10" s="42" t="s">
        <v>83</v>
      </c>
      <c r="I10" s="42" t="s">
        <v>31</v>
      </c>
      <c r="J10" s="42">
        <v>5</v>
      </c>
      <c r="K10" s="42">
        <v>1</v>
      </c>
      <c r="L10" s="44">
        <f t="shared" si="0"/>
        <v>0.5</v>
      </c>
      <c r="M10" s="45">
        <v>0.3</v>
      </c>
      <c r="N10" s="45">
        <v>0.1</v>
      </c>
      <c r="O10" s="46">
        <f t="shared" si="1"/>
        <v>0.37</v>
      </c>
      <c r="P10" s="47">
        <f t="shared" si="2"/>
        <v>0.185</v>
      </c>
      <c r="Q10" s="42" t="s">
        <v>55</v>
      </c>
      <c r="R10" s="42" t="s">
        <v>66</v>
      </c>
      <c r="S10" s="42" t="s">
        <v>32</v>
      </c>
      <c r="T10" s="42" t="s">
        <v>84</v>
      </c>
      <c r="U10" s="42" t="s">
        <v>67</v>
      </c>
      <c r="V10" s="42" t="s">
        <v>36</v>
      </c>
      <c r="W10" s="42" t="s">
        <v>1365</v>
      </c>
    </row>
    <row r="11" spans="1:23" ht="72" x14ac:dyDescent="0.25">
      <c r="A11" s="42" t="s">
        <v>23</v>
      </c>
      <c r="B11" s="42" t="s">
        <v>73</v>
      </c>
      <c r="C11" s="42" t="s">
        <v>85</v>
      </c>
      <c r="D11" s="43" t="s">
        <v>26</v>
      </c>
      <c r="E11" s="42" t="s">
        <v>86</v>
      </c>
      <c r="F11" s="42" t="s">
        <v>87</v>
      </c>
      <c r="G11" s="42" t="s">
        <v>88</v>
      </c>
      <c r="H11" s="42" t="s">
        <v>89</v>
      </c>
      <c r="I11" s="42" t="s">
        <v>31</v>
      </c>
      <c r="J11" s="42">
        <v>5</v>
      </c>
      <c r="K11" s="42">
        <v>1</v>
      </c>
      <c r="L11" s="44">
        <f t="shared" si="0"/>
        <v>0.5</v>
      </c>
      <c r="M11" s="45">
        <v>0.6</v>
      </c>
      <c r="N11" s="45">
        <v>0.1</v>
      </c>
      <c r="O11" s="46">
        <f t="shared" si="1"/>
        <v>0.6399999999999999</v>
      </c>
      <c r="P11" s="47">
        <f t="shared" si="2"/>
        <v>0.31999999999999995</v>
      </c>
      <c r="Q11" s="42" t="s">
        <v>26</v>
      </c>
      <c r="R11" s="42" t="s">
        <v>32</v>
      </c>
      <c r="S11" s="42" t="s">
        <v>33</v>
      </c>
      <c r="T11" s="42" t="s">
        <v>34</v>
      </c>
      <c r="U11" s="42" t="s">
        <v>67</v>
      </c>
      <c r="V11" s="42" t="s">
        <v>36</v>
      </c>
      <c r="W11" s="42" t="s">
        <v>1366</v>
      </c>
    </row>
    <row r="12" spans="1:23" ht="96" x14ac:dyDescent="0.25">
      <c r="A12" s="42" t="s">
        <v>23</v>
      </c>
      <c r="B12" s="42" t="s">
        <v>73</v>
      </c>
      <c r="C12" s="42" t="s">
        <v>90</v>
      </c>
      <c r="D12" s="48" t="s">
        <v>55</v>
      </c>
      <c r="E12" s="42" t="s">
        <v>91</v>
      </c>
      <c r="F12" s="42" t="s">
        <v>92</v>
      </c>
      <c r="G12" s="42" t="s">
        <v>93</v>
      </c>
      <c r="H12" s="42" t="s">
        <v>94</v>
      </c>
      <c r="I12" s="42" t="s">
        <v>95</v>
      </c>
      <c r="J12" s="42">
        <v>5</v>
      </c>
      <c r="K12" s="42">
        <v>1</v>
      </c>
      <c r="L12" s="44">
        <f t="shared" si="0"/>
        <v>0.5</v>
      </c>
      <c r="M12" s="45">
        <v>0.5</v>
      </c>
      <c r="N12" s="45">
        <v>0.1</v>
      </c>
      <c r="O12" s="46">
        <f t="shared" si="1"/>
        <v>0.55000000000000004</v>
      </c>
      <c r="P12" s="47">
        <f t="shared" si="2"/>
        <v>0.27500000000000002</v>
      </c>
      <c r="Q12" s="42" t="s">
        <v>26</v>
      </c>
      <c r="R12" s="42" t="s">
        <v>66</v>
      </c>
      <c r="S12" s="42" t="s">
        <v>32</v>
      </c>
      <c r="T12" s="42" t="s">
        <v>60</v>
      </c>
      <c r="U12" s="42" t="s">
        <v>96</v>
      </c>
      <c r="V12" s="42" t="s">
        <v>36</v>
      </c>
      <c r="W12" s="42" t="s">
        <v>1367</v>
      </c>
    </row>
    <row r="13" spans="1:23" ht="228" x14ac:dyDescent="0.25">
      <c r="A13" s="42" t="s">
        <v>23</v>
      </c>
      <c r="B13" s="42" t="s">
        <v>73</v>
      </c>
      <c r="C13" s="42" t="s">
        <v>97</v>
      </c>
      <c r="D13" s="48" t="s">
        <v>26</v>
      </c>
      <c r="E13" s="42" t="s">
        <v>98</v>
      </c>
      <c r="F13" s="42" t="s">
        <v>99</v>
      </c>
      <c r="G13" s="42" t="s">
        <v>100</v>
      </c>
      <c r="H13" s="42" t="s">
        <v>101</v>
      </c>
      <c r="I13" s="42" t="s">
        <v>31</v>
      </c>
      <c r="J13" s="42">
        <v>5</v>
      </c>
      <c r="K13" s="42">
        <v>1</v>
      </c>
      <c r="L13" s="44">
        <f t="shared" si="0"/>
        <v>0.5</v>
      </c>
      <c r="M13" s="45">
        <v>0.7</v>
      </c>
      <c r="N13" s="45">
        <v>0.1</v>
      </c>
      <c r="O13" s="46">
        <f t="shared" si="1"/>
        <v>0.73</v>
      </c>
      <c r="P13" s="47">
        <f t="shared" si="2"/>
        <v>0.36499999999999999</v>
      </c>
      <c r="Q13" s="42" t="s">
        <v>55</v>
      </c>
      <c r="R13" s="42" t="s">
        <v>66</v>
      </c>
      <c r="S13" s="42" t="s">
        <v>32</v>
      </c>
      <c r="T13" s="42" t="s">
        <v>102</v>
      </c>
      <c r="U13" s="42" t="s">
        <v>67</v>
      </c>
      <c r="V13" s="42" t="s">
        <v>36</v>
      </c>
      <c r="W13" s="42" t="s">
        <v>1368</v>
      </c>
    </row>
    <row r="14" spans="1:23" ht="144" x14ac:dyDescent="0.25">
      <c r="A14" s="42" t="s">
        <v>23</v>
      </c>
      <c r="B14" s="42" t="s">
        <v>73</v>
      </c>
      <c r="C14" s="42" t="s">
        <v>103</v>
      </c>
      <c r="D14" s="48" t="s">
        <v>26</v>
      </c>
      <c r="E14" s="42" t="s">
        <v>104</v>
      </c>
      <c r="F14" s="42" t="s">
        <v>105</v>
      </c>
      <c r="G14" s="42" t="s">
        <v>106</v>
      </c>
      <c r="H14" s="42" t="s">
        <v>107</v>
      </c>
      <c r="I14" s="42" t="s">
        <v>108</v>
      </c>
      <c r="J14" s="42">
        <v>5</v>
      </c>
      <c r="K14" s="42">
        <v>1</v>
      </c>
      <c r="L14" s="44">
        <f t="shared" si="0"/>
        <v>0.5</v>
      </c>
      <c r="M14" s="45">
        <v>0.6</v>
      </c>
      <c r="N14" s="45">
        <v>0.1</v>
      </c>
      <c r="O14" s="46">
        <f t="shared" si="1"/>
        <v>0.6399999999999999</v>
      </c>
      <c r="P14" s="47">
        <f t="shared" si="2"/>
        <v>0.31999999999999995</v>
      </c>
      <c r="Q14" s="42" t="s">
        <v>55</v>
      </c>
      <c r="R14" s="42" t="s">
        <v>33</v>
      </c>
      <c r="S14" s="42" t="s">
        <v>32</v>
      </c>
      <c r="T14" s="42" t="s">
        <v>60</v>
      </c>
      <c r="U14" s="42" t="s">
        <v>67</v>
      </c>
      <c r="V14" s="42" t="s">
        <v>36</v>
      </c>
      <c r="W14" s="42" t="s">
        <v>1369</v>
      </c>
    </row>
    <row r="15" spans="1:23" ht="48" x14ac:dyDescent="0.25">
      <c r="A15" s="42" t="s">
        <v>23</v>
      </c>
      <c r="B15" s="42" t="s">
        <v>73</v>
      </c>
      <c r="C15" s="42" t="s">
        <v>109</v>
      </c>
      <c r="D15" s="48" t="s">
        <v>26</v>
      </c>
      <c r="E15" s="42" t="s">
        <v>110</v>
      </c>
      <c r="F15" s="42" t="s">
        <v>111</v>
      </c>
      <c r="G15" s="42" t="s">
        <v>112</v>
      </c>
      <c r="H15" s="42" t="s">
        <v>113</v>
      </c>
      <c r="I15" s="42" t="s">
        <v>31</v>
      </c>
      <c r="J15" s="42">
        <v>5</v>
      </c>
      <c r="K15" s="42">
        <v>1</v>
      </c>
      <c r="L15" s="44">
        <f t="shared" si="0"/>
        <v>0.5</v>
      </c>
      <c r="M15" s="45">
        <v>0.7</v>
      </c>
      <c r="N15" s="45">
        <v>0.1</v>
      </c>
      <c r="O15" s="46">
        <f t="shared" si="1"/>
        <v>0.73</v>
      </c>
      <c r="P15" s="47">
        <f t="shared" si="2"/>
        <v>0.36499999999999999</v>
      </c>
      <c r="Q15" s="42" t="s">
        <v>26</v>
      </c>
      <c r="R15" s="42" t="s">
        <v>66</v>
      </c>
      <c r="S15" s="42" t="s">
        <v>32</v>
      </c>
      <c r="T15" s="42" t="s">
        <v>60</v>
      </c>
      <c r="U15" s="42" t="s">
        <v>67</v>
      </c>
      <c r="V15" s="42" t="s">
        <v>36</v>
      </c>
      <c r="W15" s="42" t="s">
        <v>1370</v>
      </c>
    </row>
    <row r="16" spans="1:23" ht="36" x14ac:dyDescent="0.25">
      <c r="A16" s="42" t="s">
        <v>23</v>
      </c>
      <c r="B16" s="42" t="s">
        <v>73</v>
      </c>
      <c r="C16" s="42" t="s">
        <v>114</v>
      </c>
      <c r="D16" s="49" t="s">
        <v>66</v>
      </c>
      <c r="E16" s="42" t="s">
        <v>115</v>
      </c>
      <c r="F16" s="42" t="s">
        <v>116</v>
      </c>
      <c r="G16" s="42" t="s">
        <v>117</v>
      </c>
      <c r="H16" s="42" t="s">
        <v>118</v>
      </c>
      <c r="I16" s="42" t="s">
        <v>31</v>
      </c>
      <c r="J16" s="42">
        <v>5</v>
      </c>
      <c r="K16" s="42">
        <v>1</v>
      </c>
      <c r="L16" s="44">
        <f t="shared" si="0"/>
        <v>0.5</v>
      </c>
      <c r="M16" s="45">
        <v>0.2</v>
      </c>
      <c r="N16" s="45">
        <v>0.1</v>
      </c>
      <c r="O16" s="46">
        <f t="shared" si="1"/>
        <v>0.27999999999999992</v>
      </c>
      <c r="P16" s="47">
        <f t="shared" si="2"/>
        <v>0.13999999999999996</v>
      </c>
      <c r="Q16" s="42" t="s">
        <v>66</v>
      </c>
      <c r="R16" s="42" t="s">
        <v>66</v>
      </c>
      <c r="S16" s="42" t="s">
        <v>66</v>
      </c>
      <c r="T16" s="42" t="s">
        <v>119</v>
      </c>
      <c r="U16" s="42" t="s">
        <v>67</v>
      </c>
      <c r="V16" s="42" t="s">
        <v>36</v>
      </c>
      <c r="W16" s="42"/>
    </row>
    <row r="17" spans="1:23" ht="96" x14ac:dyDescent="0.25">
      <c r="A17" s="42" t="s">
        <v>23</v>
      </c>
      <c r="B17" s="42" t="s">
        <v>73</v>
      </c>
      <c r="C17" s="42" t="s">
        <v>120</v>
      </c>
      <c r="D17" s="48" t="s">
        <v>26</v>
      </c>
      <c r="E17" s="42" t="s">
        <v>121</v>
      </c>
      <c r="F17" s="42" t="s">
        <v>122</v>
      </c>
      <c r="G17" s="42" t="s">
        <v>123</v>
      </c>
      <c r="H17" s="42" t="s">
        <v>124</v>
      </c>
      <c r="I17" s="42" t="s">
        <v>95</v>
      </c>
      <c r="J17" s="42">
        <v>5</v>
      </c>
      <c r="K17" s="42">
        <v>1</v>
      </c>
      <c r="L17" s="44">
        <f t="shared" si="0"/>
        <v>0.5</v>
      </c>
      <c r="M17" s="45">
        <v>0.6</v>
      </c>
      <c r="N17" s="45">
        <v>0.1</v>
      </c>
      <c r="O17" s="46">
        <f t="shared" si="1"/>
        <v>0.6399999999999999</v>
      </c>
      <c r="P17" s="47">
        <f t="shared" si="2"/>
        <v>0.31999999999999995</v>
      </c>
      <c r="Q17" s="42" t="s">
        <v>55</v>
      </c>
      <c r="R17" s="42" t="s">
        <v>66</v>
      </c>
      <c r="S17" s="42" t="s">
        <v>32</v>
      </c>
      <c r="T17" s="42" t="s">
        <v>60</v>
      </c>
      <c r="U17" s="42" t="s">
        <v>96</v>
      </c>
      <c r="V17" s="42" t="s">
        <v>36</v>
      </c>
      <c r="W17" s="42" t="s">
        <v>1371</v>
      </c>
    </row>
    <row r="18" spans="1:23" ht="36" x14ac:dyDescent="0.25">
      <c r="A18" s="42" t="s">
        <v>23</v>
      </c>
      <c r="B18" s="42" t="s">
        <v>73</v>
      </c>
      <c r="C18" s="42" t="s">
        <v>125</v>
      </c>
      <c r="D18" s="48" t="s">
        <v>26</v>
      </c>
      <c r="E18" s="42" t="s">
        <v>126</v>
      </c>
      <c r="F18" s="42" t="s">
        <v>127</v>
      </c>
      <c r="G18" s="42" t="s">
        <v>128</v>
      </c>
      <c r="H18" s="42" t="s">
        <v>129</v>
      </c>
      <c r="I18" s="42" t="s">
        <v>31</v>
      </c>
      <c r="J18" s="42">
        <v>5</v>
      </c>
      <c r="K18" s="42">
        <v>1</v>
      </c>
      <c r="L18" s="44">
        <f t="shared" si="0"/>
        <v>0.5</v>
      </c>
      <c r="M18" s="45">
        <v>0.8</v>
      </c>
      <c r="N18" s="45">
        <v>0.1</v>
      </c>
      <c r="O18" s="46">
        <f t="shared" si="1"/>
        <v>0.82000000000000006</v>
      </c>
      <c r="P18" s="47">
        <f t="shared" si="2"/>
        <v>0.41000000000000003</v>
      </c>
      <c r="Q18" s="42" t="s">
        <v>55</v>
      </c>
      <c r="R18" s="42" t="s">
        <v>66</v>
      </c>
      <c r="S18" s="42" t="s">
        <v>32</v>
      </c>
      <c r="T18" s="42" t="s">
        <v>60</v>
      </c>
      <c r="U18" s="42" t="s">
        <v>67</v>
      </c>
      <c r="V18" s="42" t="s">
        <v>36</v>
      </c>
      <c r="W18" s="42" t="s">
        <v>1372</v>
      </c>
    </row>
    <row r="19" spans="1:23" ht="36" x14ac:dyDescent="0.25">
      <c r="A19" s="42" t="s">
        <v>23</v>
      </c>
      <c r="B19" s="42" t="s">
        <v>130</v>
      </c>
      <c r="C19" s="42" t="s">
        <v>131</v>
      </c>
      <c r="D19" s="43" t="s">
        <v>26</v>
      </c>
      <c r="E19" s="42" t="s">
        <v>132</v>
      </c>
      <c r="F19" s="42" t="s">
        <v>133</v>
      </c>
      <c r="G19" s="42" t="s">
        <v>134</v>
      </c>
      <c r="H19" s="42" t="s">
        <v>135</v>
      </c>
      <c r="I19" s="42" t="s">
        <v>31</v>
      </c>
      <c r="J19" s="42">
        <v>5</v>
      </c>
      <c r="K19" s="42">
        <v>1</v>
      </c>
      <c r="L19" s="44">
        <f t="shared" si="0"/>
        <v>1</v>
      </c>
      <c r="M19" s="45">
        <v>0.7</v>
      </c>
      <c r="N19" s="45">
        <v>0.1</v>
      </c>
      <c r="O19" s="46">
        <f t="shared" si="1"/>
        <v>0.73</v>
      </c>
      <c r="P19" s="47">
        <f t="shared" si="2"/>
        <v>0.73</v>
      </c>
      <c r="Q19" s="42" t="s">
        <v>26</v>
      </c>
      <c r="R19" s="42" t="s">
        <v>32</v>
      </c>
      <c r="S19" s="42" t="s">
        <v>33</v>
      </c>
      <c r="T19" s="42" t="s">
        <v>34</v>
      </c>
      <c r="U19" s="42" t="s">
        <v>48</v>
      </c>
      <c r="V19" s="42" t="s">
        <v>36</v>
      </c>
      <c r="W19" s="42"/>
    </row>
    <row r="20" spans="1:23" ht="120" x14ac:dyDescent="0.25">
      <c r="A20" s="42" t="s">
        <v>23</v>
      </c>
      <c r="B20" s="42" t="s">
        <v>130</v>
      </c>
      <c r="C20" s="42" t="s">
        <v>136</v>
      </c>
      <c r="D20" s="48" t="s">
        <v>55</v>
      </c>
      <c r="E20" s="42" t="s">
        <v>137</v>
      </c>
      <c r="F20" s="42" t="s">
        <v>138</v>
      </c>
      <c r="G20" s="42" t="s">
        <v>139</v>
      </c>
      <c r="H20" s="42" t="s">
        <v>140</v>
      </c>
      <c r="I20" s="42" t="s">
        <v>31</v>
      </c>
      <c r="J20" s="42">
        <v>5</v>
      </c>
      <c r="K20" s="42">
        <v>1</v>
      </c>
      <c r="L20" s="44">
        <f t="shared" si="0"/>
        <v>1</v>
      </c>
      <c r="M20" s="45">
        <v>0.6</v>
      </c>
      <c r="N20" s="45">
        <v>0.1</v>
      </c>
      <c r="O20" s="46">
        <f t="shared" si="1"/>
        <v>0.6399999999999999</v>
      </c>
      <c r="P20" s="47">
        <f t="shared" si="2"/>
        <v>0.6399999999999999</v>
      </c>
      <c r="Q20" s="42" t="s">
        <v>26</v>
      </c>
      <c r="R20" s="42" t="s">
        <v>66</v>
      </c>
      <c r="S20" s="42" t="s">
        <v>32</v>
      </c>
      <c r="T20" s="42" t="s">
        <v>60</v>
      </c>
      <c r="U20" s="42" t="s">
        <v>141</v>
      </c>
      <c r="V20" s="42" t="s">
        <v>36</v>
      </c>
      <c r="W20" s="42" t="s">
        <v>1373</v>
      </c>
    </row>
    <row r="21" spans="1:23" ht="36" x14ac:dyDescent="0.25">
      <c r="A21" s="42" t="s">
        <v>23</v>
      </c>
      <c r="B21" s="42" t="s">
        <v>130</v>
      </c>
      <c r="C21" s="42" t="s">
        <v>142</v>
      </c>
      <c r="D21" s="43" t="s">
        <v>26</v>
      </c>
      <c r="E21" s="42" t="s">
        <v>143</v>
      </c>
      <c r="F21" s="42" t="s">
        <v>144</v>
      </c>
      <c r="G21" s="42" t="s">
        <v>145</v>
      </c>
      <c r="H21" s="42" t="s">
        <v>146</v>
      </c>
      <c r="I21" s="42" t="s">
        <v>31</v>
      </c>
      <c r="J21" s="42">
        <v>5</v>
      </c>
      <c r="K21" s="42">
        <v>1</v>
      </c>
      <c r="L21" s="44">
        <f t="shared" si="0"/>
        <v>1</v>
      </c>
      <c r="M21" s="45">
        <v>0.6</v>
      </c>
      <c r="N21" s="45">
        <v>0.1</v>
      </c>
      <c r="O21" s="46">
        <f t="shared" si="1"/>
        <v>0.6399999999999999</v>
      </c>
      <c r="P21" s="47">
        <f t="shared" si="2"/>
        <v>0.6399999999999999</v>
      </c>
      <c r="Q21" s="42" t="s">
        <v>26</v>
      </c>
      <c r="R21" s="42" t="s">
        <v>33</v>
      </c>
      <c r="S21" s="42" t="s">
        <v>33</v>
      </c>
      <c r="T21" s="42" t="s">
        <v>34</v>
      </c>
      <c r="U21" s="42" t="s">
        <v>96</v>
      </c>
      <c r="V21" s="42" t="s">
        <v>36</v>
      </c>
      <c r="W21" s="42"/>
    </row>
    <row r="22" spans="1:23" ht="24" x14ac:dyDescent="0.25">
      <c r="A22" s="42" t="s">
        <v>23</v>
      </c>
      <c r="B22" s="42" t="s">
        <v>130</v>
      </c>
      <c r="C22" s="42" t="s">
        <v>147</v>
      </c>
      <c r="D22" s="48" t="s">
        <v>55</v>
      </c>
      <c r="E22" s="42" t="s">
        <v>148</v>
      </c>
      <c r="F22" s="42" t="s">
        <v>149</v>
      </c>
      <c r="G22" s="42" t="s">
        <v>150</v>
      </c>
      <c r="H22" s="42" t="s">
        <v>151</v>
      </c>
      <c r="I22" s="42" t="s">
        <v>31</v>
      </c>
      <c r="J22" s="42">
        <v>5</v>
      </c>
      <c r="K22" s="42">
        <v>1</v>
      </c>
      <c r="L22" s="44">
        <f t="shared" si="0"/>
        <v>1</v>
      </c>
      <c r="M22" s="45">
        <v>0.6</v>
      </c>
      <c r="N22" s="45">
        <v>0.1</v>
      </c>
      <c r="O22" s="46">
        <f t="shared" si="1"/>
        <v>0.6399999999999999</v>
      </c>
      <c r="P22" s="47">
        <f t="shared" si="2"/>
        <v>0.6399999999999999</v>
      </c>
      <c r="Q22" s="42" t="s">
        <v>55</v>
      </c>
      <c r="R22" s="42" t="s">
        <v>66</v>
      </c>
      <c r="S22" s="42" t="s">
        <v>32</v>
      </c>
      <c r="T22" s="42" t="s">
        <v>152</v>
      </c>
      <c r="U22" s="42" t="s">
        <v>141</v>
      </c>
      <c r="V22" s="42" t="s">
        <v>36</v>
      </c>
      <c r="W22" s="42"/>
    </row>
    <row r="23" spans="1:23" ht="24" x14ac:dyDescent="0.25">
      <c r="A23" s="42" t="s">
        <v>23</v>
      </c>
      <c r="B23" s="42" t="s">
        <v>130</v>
      </c>
      <c r="C23" s="42" t="s">
        <v>153</v>
      </c>
      <c r="D23" s="49" t="s">
        <v>66</v>
      </c>
      <c r="E23" s="42" t="s">
        <v>154</v>
      </c>
      <c r="F23" s="42" t="s">
        <v>155</v>
      </c>
      <c r="G23" s="42" t="s">
        <v>156</v>
      </c>
      <c r="H23" s="42" t="s">
        <v>157</v>
      </c>
      <c r="I23" s="42" t="s">
        <v>158</v>
      </c>
      <c r="J23" s="42">
        <v>5</v>
      </c>
      <c r="K23" s="42">
        <v>1</v>
      </c>
      <c r="L23" s="44">
        <f t="shared" si="0"/>
        <v>1</v>
      </c>
      <c r="M23" s="45">
        <v>0.1</v>
      </c>
      <c r="N23" s="45">
        <v>0.1</v>
      </c>
      <c r="O23" s="46">
        <f t="shared" si="1"/>
        <v>0.18999999999999995</v>
      </c>
      <c r="P23" s="47">
        <f t="shared" si="2"/>
        <v>0.18999999999999995</v>
      </c>
      <c r="Q23" s="42" t="s">
        <v>66</v>
      </c>
      <c r="R23" s="42" t="s">
        <v>66</v>
      </c>
      <c r="S23" s="42" t="s">
        <v>66</v>
      </c>
      <c r="T23" s="42" t="s">
        <v>159</v>
      </c>
      <c r="U23" s="42" t="s">
        <v>67</v>
      </c>
      <c r="V23" s="42" t="s">
        <v>36</v>
      </c>
      <c r="W23" s="42"/>
    </row>
    <row r="24" spans="1:23" ht="48" x14ac:dyDescent="0.25">
      <c r="A24" s="42" t="s">
        <v>23</v>
      </c>
      <c r="B24" s="42" t="s">
        <v>160</v>
      </c>
      <c r="C24" s="42" t="s">
        <v>161</v>
      </c>
      <c r="D24" s="48" t="s">
        <v>55</v>
      </c>
      <c r="E24" s="42" t="s">
        <v>162</v>
      </c>
      <c r="F24" s="42" t="s">
        <v>163</v>
      </c>
      <c r="G24" s="42" t="s">
        <v>164</v>
      </c>
      <c r="H24" s="42" t="s">
        <v>165</v>
      </c>
      <c r="I24" s="42" t="s">
        <v>31</v>
      </c>
      <c r="J24" s="42">
        <v>5</v>
      </c>
      <c r="K24" s="42">
        <v>1</v>
      </c>
      <c r="L24" s="44">
        <f t="shared" si="0"/>
        <v>0.7142857142857143</v>
      </c>
      <c r="M24" s="45">
        <v>0.6</v>
      </c>
      <c r="N24" s="50">
        <v>0.2</v>
      </c>
      <c r="O24" s="46">
        <f t="shared" si="1"/>
        <v>0.67999999999999994</v>
      </c>
      <c r="P24" s="47">
        <f t="shared" si="2"/>
        <v>0.48571428571428565</v>
      </c>
      <c r="Q24" s="42" t="s">
        <v>26</v>
      </c>
      <c r="R24" s="42" t="s">
        <v>66</v>
      </c>
      <c r="S24" s="42" t="s">
        <v>32</v>
      </c>
      <c r="T24" s="42" t="s">
        <v>60</v>
      </c>
      <c r="U24" s="42" t="s">
        <v>67</v>
      </c>
      <c r="V24" s="42" t="s">
        <v>166</v>
      </c>
      <c r="W24" s="42"/>
    </row>
    <row r="25" spans="1:23" ht="24" x14ac:dyDescent="0.25">
      <c r="A25" s="42" t="s">
        <v>23</v>
      </c>
      <c r="B25" s="42" t="s">
        <v>160</v>
      </c>
      <c r="C25" s="42" t="s">
        <v>167</v>
      </c>
      <c r="D25" s="43" t="s">
        <v>26</v>
      </c>
      <c r="E25" s="42" t="s">
        <v>168</v>
      </c>
      <c r="F25" s="42" t="s">
        <v>169</v>
      </c>
      <c r="G25" s="42" t="s">
        <v>170</v>
      </c>
      <c r="H25" s="42" t="s">
        <v>171</v>
      </c>
      <c r="I25" s="42" t="s">
        <v>31</v>
      </c>
      <c r="J25" s="42">
        <v>5</v>
      </c>
      <c r="K25" s="42">
        <v>1</v>
      </c>
      <c r="L25" s="44">
        <f t="shared" si="0"/>
        <v>0.7142857142857143</v>
      </c>
      <c r="M25" s="45">
        <v>0.6</v>
      </c>
      <c r="N25" s="50">
        <v>0.2</v>
      </c>
      <c r="O25" s="46">
        <f t="shared" si="1"/>
        <v>0.67999999999999994</v>
      </c>
      <c r="P25" s="47">
        <f t="shared" si="2"/>
        <v>0.48571428571428565</v>
      </c>
      <c r="Q25" s="42" t="s">
        <v>26</v>
      </c>
      <c r="R25" s="42" t="s">
        <v>33</v>
      </c>
      <c r="S25" s="42" t="s">
        <v>33</v>
      </c>
      <c r="T25" s="42" t="s">
        <v>34</v>
      </c>
      <c r="U25" s="42" t="s">
        <v>67</v>
      </c>
      <c r="V25" s="42" t="s">
        <v>166</v>
      </c>
      <c r="W25" s="42"/>
    </row>
    <row r="26" spans="1:23" ht="36" x14ac:dyDescent="0.25">
      <c r="A26" s="42" t="s">
        <v>23</v>
      </c>
      <c r="B26" s="42" t="s">
        <v>160</v>
      </c>
      <c r="C26" s="42" t="s">
        <v>172</v>
      </c>
      <c r="D26" s="48" t="s">
        <v>26</v>
      </c>
      <c r="E26" s="42" t="s">
        <v>173</v>
      </c>
      <c r="F26" s="42" t="s">
        <v>174</v>
      </c>
      <c r="G26" s="42" t="s">
        <v>175</v>
      </c>
      <c r="H26" s="42" t="s">
        <v>176</v>
      </c>
      <c r="I26" s="42" t="s">
        <v>31</v>
      </c>
      <c r="J26" s="42">
        <v>5</v>
      </c>
      <c r="K26" s="42">
        <v>1</v>
      </c>
      <c r="L26" s="44">
        <f t="shared" si="0"/>
        <v>0.7142857142857143</v>
      </c>
      <c r="M26" s="45">
        <v>0.6</v>
      </c>
      <c r="N26" s="50">
        <v>0.2</v>
      </c>
      <c r="O26" s="46">
        <f t="shared" si="1"/>
        <v>0.67999999999999994</v>
      </c>
      <c r="P26" s="47">
        <f t="shared" si="2"/>
        <v>0.48571428571428565</v>
      </c>
      <c r="Q26" s="42" t="s">
        <v>26</v>
      </c>
      <c r="R26" s="42" t="s">
        <v>66</v>
      </c>
      <c r="S26" s="42" t="s">
        <v>32</v>
      </c>
      <c r="T26" s="42" t="s">
        <v>60</v>
      </c>
      <c r="U26" s="42" t="s">
        <v>141</v>
      </c>
      <c r="V26" s="42" t="s">
        <v>166</v>
      </c>
      <c r="W26" s="42"/>
    </row>
    <row r="27" spans="1:23" ht="36" x14ac:dyDescent="0.25">
      <c r="A27" s="42" t="s">
        <v>23</v>
      </c>
      <c r="B27" s="42" t="s">
        <v>160</v>
      </c>
      <c r="C27" s="42" t="s">
        <v>177</v>
      </c>
      <c r="D27" s="43" t="s">
        <v>26</v>
      </c>
      <c r="E27" s="42" t="s">
        <v>178</v>
      </c>
      <c r="F27" s="42" t="s">
        <v>179</v>
      </c>
      <c r="G27" s="42" t="s">
        <v>180</v>
      </c>
      <c r="H27" s="42" t="s">
        <v>181</v>
      </c>
      <c r="I27" s="42" t="s">
        <v>182</v>
      </c>
      <c r="J27" s="42">
        <v>5</v>
      </c>
      <c r="K27" s="42">
        <v>1</v>
      </c>
      <c r="L27" s="44">
        <f t="shared" si="0"/>
        <v>0.7142857142857143</v>
      </c>
      <c r="M27" s="45">
        <v>0.7</v>
      </c>
      <c r="N27" s="50">
        <v>0.2</v>
      </c>
      <c r="O27" s="46">
        <f t="shared" si="1"/>
        <v>0.76</v>
      </c>
      <c r="P27" s="47">
        <f t="shared" si="2"/>
        <v>0.54285714285714293</v>
      </c>
      <c r="Q27" s="42" t="s">
        <v>26</v>
      </c>
      <c r="R27" s="42" t="s">
        <v>32</v>
      </c>
      <c r="S27" s="42" t="s">
        <v>33</v>
      </c>
      <c r="T27" s="42" t="s">
        <v>34</v>
      </c>
      <c r="U27" s="42" t="s">
        <v>183</v>
      </c>
      <c r="V27" s="42" t="s">
        <v>166</v>
      </c>
      <c r="W27" s="42"/>
    </row>
    <row r="28" spans="1:23" ht="36" x14ac:dyDescent="0.25">
      <c r="A28" s="42" t="s">
        <v>23</v>
      </c>
      <c r="B28" s="42" t="s">
        <v>160</v>
      </c>
      <c r="C28" s="42" t="s">
        <v>184</v>
      </c>
      <c r="D28" s="48" t="s">
        <v>26</v>
      </c>
      <c r="E28" s="42" t="s">
        <v>185</v>
      </c>
      <c r="F28" s="42" t="s">
        <v>186</v>
      </c>
      <c r="G28" s="42" t="s">
        <v>187</v>
      </c>
      <c r="H28" s="42" t="s">
        <v>188</v>
      </c>
      <c r="I28" s="42" t="s">
        <v>31</v>
      </c>
      <c r="J28" s="42">
        <v>5</v>
      </c>
      <c r="K28" s="42">
        <v>1</v>
      </c>
      <c r="L28" s="44">
        <f t="shared" si="0"/>
        <v>0.7142857142857143</v>
      </c>
      <c r="M28" s="45">
        <v>0.69</v>
      </c>
      <c r="N28" s="50">
        <v>0.2</v>
      </c>
      <c r="O28" s="46">
        <f t="shared" si="1"/>
        <v>0.752</v>
      </c>
      <c r="P28" s="47">
        <f t="shared" si="2"/>
        <v>0.53714285714285714</v>
      </c>
      <c r="Q28" s="42" t="s">
        <v>55</v>
      </c>
      <c r="R28" s="42" t="s">
        <v>33</v>
      </c>
      <c r="S28" s="42" t="s">
        <v>32</v>
      </c>
      <c r="T28" s="42" t="s">
        <v>60</v>
      </c>
      <c r="U28" s="42" t="s">
        <v>189</v>
      </c>
      <c r="V28" s="42" t="s">
        <v>166</v>
      </c>
      <c r="W28" s="42"/>
    </row>
    <row r="29" spans="1:23" ht="36" x14ac:dyDescent="0.25">
      <c r="A29" s="42" t="s">
        <v>23</v>
      </c>
      <c r="B29" s="42" t="s">
        <v>160</v>
      </c>
      <c r="C29" s="42" t="s">
        <v>190</v>
      </c>
      <c r="D29" s="48" t="s">
        <v>55</v>
      </c>
      <c r="E29" s="42" t="s">
        <v>191</v>
      </c>
      <c r="F29" s="42" t="s">
        <v>192</v>
      </c>
      <c r="G29" s="42" t="s">
        <v>193</v>
      </c>
      <c r="H29" s="42" t="s">
        <v>194</v>
      </c>
      <c r="I29" s="42" t="s">
        <v>31</v>
      </c>
      <c r="J29" s="42">
        <v>5</v>
      </c>
      <c r="K29" s="42">
        <v>1</v>
      </c>
      <c r="L29" s="44">
        <f t="shared" si="0"/>
        <v>0.7142857142857143</v>
      </c>
      <c r="M29" s="45">
        <v>0.4</v>
      </c>
      <c r="N29" s="50">
        <v>0.2</v>
      </c>
      <c r="O29" s="46">
        <f t="shared" si="1"/>
        <v>0.52</v>
      </c>
      <c r="P29" s="47">
        <f t="shared" si="2"/>
        <v>0.37142857142857144</v>
      </c>
      <c r="Q29" s="42" t="s">
        <v>55</v>
      </c>
      <c r="R29" s="42" t="s">
        <v>66</v>
      </c>
      <c r="S29" s="42" t="s">
        <v>32</v>
      </c>
      <c r="T29" s="42" t="s">
        <v>60</v>
      </c>
      <c r="U29" s="42" t="s">
        <v>67</v>
      </c>
      <c r="V29" s="42" t="s">
        <v>195</v>
      </c>
      <c r="W29" s="42"/>
    </row>
    <row r="30" spans="1:23" ht="24" x14ac:dyDescent="0.25">
      <c r="A30" s="42" t="s">
        <v>23</v>
      </c>
      <c r="B30" s="42" t="s">
        <v>160</v>
      </c>
      <c r="C30" s="42" t="s">
        <v>196</v>
      </c>
      <c r="D30" s="49" t="s">
        <v>66</v>
      </c>
      <c r="E30" s="42" t="s">
        <v>197</v>
      </c>
      <c r="F30" s="42" t="s">
        <v>198</v>
      </c>
      <c r="G30" s="42" t="s">
        <v>199</v>
      </c>
      <c r="H30" s="42" t="s">
        <v>200</v>
      </c>
      <c r="I30" s="42" t="s">
        <v>158</v>
      </c>
      <c r="J30" s="42">
        <v>5</v>
      </c>
      <c r="K30" s="42">
        <v>1</v>
      </c>
      <c r="L30" s="44">
        <f t="shared" si="0"/>
        <v>0.7142857142857143</v>
      </c>
      <c r="M30" s="45">
        <v>0.1</v>
      </c>
      <c r="N30" s="50">
        <v>0.2</v>
      </c>
      <c r="O30" s="46">
        <f t="shared" si="1"/>
        <v>0.27999999999999992</v>
      </c>
      <c r="P30" s="47">
        <f t="shared" si="2"/>
        <v>0.19999999999999996</v>
      </c>
      <c r="Q30" s="42" t="s">
        <v>66</v>
      </c>
      <c r="R30" s="42" t="s">
        <v>66</v>
      </c>
      <c r="S30" s="42" t="s">
        <v>66</v>
      </c>
      <c r="T30" s="42" t="s">
        <v>201</v>
      </c>
      <c r="U30" s="42" t="s">
        <v>67</v>
      </c>
      <c r="V30" s="42" t="s">
        <v>166</v>
      </c>
      <c r="W30" s="42"/>
    </row>
    <row r="31" spans="1:23" ht="36" x14ac:dyDescent="0.25">
      <c r="A31" s="42" t="s">
        <v>23</v>
      </c>
      <c r="B31" s="42" t="s">
        <v>202</v>
      </c>
      <c r="C31" s="42" t="s">
        <v>203</v>
      </c>
      <c r="D31" s="43" t="s">
        <v>26</v>
      </c>
      <c r="E31" s="42" t="s">
        <v>204</v>
      </c>
      <c r="F31" s="42" t="s">
        <v>205</v>
      </c>
      <c r="G31" s="42" t="s">
        <v>206</v>
      </c>
      <c r="H31" s="42" t="s">
        <v>207</v>
      </c>
      <c r="I31" s="42" t="s">
        <v>182</v>
      </c>
      <c r="J31" s="42">
        <v>3</v>
      </c>
      <c r="K31" s="42">
        <v>1</v>
      </c>
      <c r="L31" s="44">
        <f t="shared" si="0"/>
        <v>0.375</v>
      </c>
      <c r="M31" s="45">
        <v>0.7</v>
      </c>
      <c r="N31" s="50">
        <v>0.2</v>
      </c>
      <c r="O31" s="46">
        <f t="shared" si="1"/>
        <v>0.76</v>
      </c>
      <c r="P31" s="47">
        <f t="shared" si="2"/>
        <v>0.28500000000000003</v>
      </c>
      <c r="Q31" s="42" t="s">
        <v>26</v>
      </c>
      <c r="R31" s="42" t="s">
        <v>32</v>
      </c>
      <c r="S31" s="42" t="s">
        <v>33</v>
      </c>
      <c r="T31" s="42" t="s">
        <v>34</v>
      </c>
      <c r="U31" s="42" t="s">
        <v>189</v>
      </c>
      <c r="V31" s="42" t="s">
        <v>208</v>
      </c>
      <c r="W31" s="42"/>
    </row>
    <row r="32" spans="1:23" ht="36" x14ac:dyDescent="0.25">
      <c r="A32" s="42" t="s">
        <v>23</v>
      </c>
      <c r="B32" s="42" t="s">
        <v>202</v>
      </c>
      <c r="C32" s="42" t="s">
        <v>209</v>
      </c>
      <c r="D32" s="43" t="s">
        <v>26</v>
      </c>
      <c r="E32" s="42" t="s">
        <v>210</v>
      </c>
      <c r="F32" s="42" t="s">
        <v>211</v>
      </c>
      <c r="G32" s="42" t="s">
        <v>212</v>
      </c>
      <c r="H32" s="42" t="s">
        <v>213</v>
      </c>
      <c r="I32" s="42" t="s">
        <v>182</v>
      </c>
      <c r="J32" s="42">
        <v>3</v>
      </c>
      <c r="K32" s="42">
        <v>1</v>
      </c>
      <c r="L32" s="44">
        <f t="shared" si="0"/>
        <v>0.375</v>
      </c>
      <c r="M32" s="45">
        <v>0.6</v>
      </c>
      <c r="N32" s="50">
        <v>0.2</v>
      </c>
      <c r="O32" s="46">
        <f t="shared" si="1"/>
        <v>0.67999999999999994</v>
      </c>
      <c r="P32" s="47">
        <f t="shared" si="2"/>
        <v>0.255</v>
      </c>
      <c r="Q32" s="42" t="s">
        <v>26</v>
      </c>
      <c r="R32" s="42" t="s">
        <v>33</v>
      </c>
      <c r="S32" s="42" t="s">
        <v>33</v>
      </c>
      <c r="T32" s="42" t="s">
        <v>34</v>
      </c>
      <c r="U32" s="42" t="s">
        <v>67</v>
      </c>
      <c r="V32" s="42" t="s">
        <v>208</v>
      </c>
      <c r="W32" s="42"/>
    </row>
    <row r="33" spans="1:23" ht="36" x14ac:dyDescent="0.25">
      <c r="A33" s="42" t="s">
        <v>23</v>
      </c>
      <c r="B33" s="42" t="s">
        <v>202</v>
      </c>
      <c r="C33" s="42" t="s">
        <v>214</v>
      </c>
      <c r="D33" s="43" t="s">
        <v>26</v>
      </c>
      <c r="E33" s="42" t="s">
        <v>215</v>
      </c>
      <c r="F33" s="42" t="s">
        <v>216</v>
      </c>
      <c r="G33" s="42" t="s">
        <v>217</v>
      </c>
      <c r="H33" s="42" t="s">
        <v>218</v>
      </c>
      <c r="I33" s="42" t="s">
        <v>182</v>
      </c>
      <c r="J33" s="42">
        <v>3</v>
      </c>
      <c r="K33" s="42">
        <v>1</v>
      </c>
      <c r="L33" s="44">
        <f t="shared" si="0"/>
        <v>0.375</v>
      </c>
      <c r="M33" s="45">
        <v>0.7</v>
      </c>
      <c r="N33" s="50">
        <v>0.2</v>
      </c>
      <c r="O33" s="46">
        <f t="shared" si="1"/>
        <v>0.76</v>
      </c>
      <c r="P33" s="47">
        <f t="shared" si="2"/>
        <v>0.28500000000000003</v>
      </c>
      <c r="Q33" s="42" t="s">
        <v>26</v>
      </c>
      <c r="R33" s="42" t="s">
        <v>32</v>
      </c>
      <c r="S33" s="42" t="s">
        <v>33</v>
      </c>
      <c r="T33" s="42" t="s">
        <v>34</v>
      </c>
      <c r="U33" s="42" t="s">
        <v>67</v>
      </c>
      <c r="V33" s="42" t="s">
        <v>208</v>
      </c>
      <c r="W33" s="42"/>
    </row>
    <row r="34" spans="1:23" ht="24" x14ac:dyDescent="0.25">
      <c r="A34" s="42" t="s">
        <v>23</v>
      </c>
      <c r="B34" s="42" t="s">
        <v>202</v>
      </c>
      <c r="C34" s="42" t="s">
        <v>219</v>
      </c>
      <c r="D34" s="43" t="s">
        <v>26</v>
      </c>
      <c r="E34" s="42" t="s">
        <v>220</v>
      </c>
      <c r="F34" s="42" t="s">
        <v>221</v>
      </c>
      <c r="G34" s="42" t="s">
        <v>222</v>
      </c>
      <c r="H34" s="42" t="s">
        <v>223</v>
      </c>
      <c r="I34" s="42" t="s">
        <v>182</v>
      </c>
      <c r="J34" s="42">
        <v>3</v>
      </c>
      <c r="K34" s="42">
        <v>1</v>
      </c>
      <c r="L34" s="44">
        <f t="shared" si="0"/>
        <v>0.375</v>
      </c>
      <c r="M34" s="45">
        <v>0.8</v>
      </c>
      <c r="N34" s="50">
        <v>0.2</v>
      </c>
      <c r="O34" s="46">
        <f t="shared" si="1"/>
        <v>0.84000000000000008</v>
      </c>
      <c r="P34" s="47">
        <f t="shared" si="2"/>
        <v>0.31500000000000006</v>
      </c>
      <c r="Q34" s="42" t="s">
        <v>26</v>
      </c>
      <c r="R34" s="42" t="s">
        <v>32</v>
      </c>
      <c r="S34" s="42" t="s">
        <v>33</v>
      </c>
      <c r="T34" s="42" t="s">
        <v>34</v>
      </c>
      <c r="U34" s="42" t="s">
        <v>67</v>
      </c>
      <c r="V34" s="42" t="s">
        <v>208</v>
      </c>
      <c r="W34" s="42"/>
    </row>
    <row r="35" spans="1:23" ht="36" x14ac:dyDescent="0.25">
      <c r="A35" s="42" t="s">
        <v>23</v>
      </c>
      <c r="B35" s="42" t="s">
        <v>202</v>
      </c>
      <c r="C35" s="42" t="s">
        <v>224</v>
      </c>
      <c r="D35" s="48" t="s">
        <v>55</v>
      </c>
      <c r="E35" s="42" t="s">
        <v>225</v>
      </c>
      <c r="F35" s="42" t="s">
        <v>226</v>
      </c>
      <c r="G35" s="42" t="s">
        <v>227</v>
      </c>
      <c r="H35" s="42" t="s">
        <v>228</v>
      </c>
      <c r="I35" s="42" t="s">
        <v>182</v>
      </c>
      <c r="J35" s="42">
        <v>3</v>
      </c>
      <c r="K35" s="42">
        <v>1</v>
      </c>
      <c r="L35" s="44">
        <f t="shared" si="0"/>
        <v>0.375</v>
      </c>
      <c r="M35" s="45">
        <v>0.5</v>
      </c>
      <c r="N35" s="50">
        <v>0.2</v>
      </c>
      <c r="O35" s="46">
        <f t="shared" si="1"/>
        <v>0.6</v>
      </c>
      <c r="P35" s="47">
        <f t="shared" si="2"/>
        <v>0.22499999999999998</v>
      </c>
      <c r="Q35" s="42" t="s">
        <v>55</v>
      </c>
      <c r="R35" s="42" t="s">
        <v>33</v>
      </c>
      <c r="S35" s="42" t="s">
        <v>32</v>
      </c>
      <c r="T35" s="42" t="s">
        <v>60</v>
      </c>
      <c r="U35" s="42" t="s">
        <v>67</v>
      </c>
      <c r="V35" s="42" t="s">
        <v>208</v>
      </c>
      <c r="W35" s="42"/>
    </row>
    <row r="36" spans="1:23" ht="36" x14ac:dyDescent="0.25">
      <c r="A36" s="42" t="s">
        <v>23</v>
      </c>
      <c r="B36" s="42" t="s">
        <v>202</v>
      </c>
      <c r="C36" s="42" t="s">
        <v>229</v>
      </c>
      <c r="D36" s="48" t="s">
        <v>55</v>
      </c>
      <c r="E36" s="42" t="s">
        <v>230</v>
      </c>
      <c r="F36" s="42" t="s">
        <v>231</v>
      </c>
      <c r="G36" s="42" t="s">
        <v>232</v>
      </c>
      <c r="H36" s="42" t="s">
        <v>233</v>
      </c>
      <c r="I36" s="42" t="s">
        <v>182</v>
      </c>
      <c r="J36" s="42">
        <v>3</v>
      </c>
      <c r="K36" s="42">
        <v>1</v>
      </c>
      <c r="L36" s="44">
        <f t="shared" si="0"/>
        <v>0.375</v>
      </c>
      <c r="M36" s="45">
        <v>0.6</v>
      </c>
      <c r="N36" s="50">
        <v>0.2</v>
      </c>
      <c r="O36" s="46">
        <f t="shared" si="1"/>
        <v>0.67999999999999994</v>
      </c>
      <c r="P36" s="47">
        <f t="shared" si="2"/>
        <v>0.255</v>
      </c>
      <c r="Q36" s="42" t="s">
        <v>55</v>
      </c>
      <c r="R36" s="42" t="s">
        <v>66</v>
      </c>
      <c r="S36" s="42" t="s">
        <v>32</v>
      </c>
      <c r="T36" s="42" t="s">
        <v>60</v>
      </c>
      <c r="U36" s="42" t="s">
        <v>67</v>
      </c>
      <c r="V36" s="42" t="s">
        <v>208</v>
      </c>
      <c r="W36" s="42"/>
    </row>
    <row r="37" spans="1:23" ht="24" x14ac:dyDescent="0.25">
      <c r="A37" s="42" t="s">
        <v>23</v>
      </c>
      <c r="B37" s="42" t="s">
        <v>202</v>
      </c>
      <c r="C37" s="42" t="s">
        <v>234</v>
      </c>
      <c r="D37" s="43" t="s">
        <v>26</v>
      </c>
      <c r="E37" s="42" t="s">
        <v>235</v>
      </c>
      <c r="F37" s="42" t="s">
        <v>236</v>
      </c>
      <c r="G37" s="42" t="s">
        <v>237</v>
      </c>
      <c r="H37" s="42" t="s">
        <v>238</v>
      </c>
      <c r="I37" s="42" t="s">
        <v>182</v>
      </c>
      <c r="J37" s="42">
        <v>3</v>
      </c>
      <c r="K37" s="42">
        <v>1</v>
      </c>
      <c r="L37" s="44">
        <f t="shared" si="0"/>
        <v>0.375</v>
      </c>
      <c r="M37" s="45">
        <v>0.7</v>
      </c>
      <c r="N37" s="50">
        <v>0.2</v>
      </c>
      <c r="O37" s="46">
        <f t="shared" si="1"/>
        <v>0.76</v>
      </c>
      <c r="P37" s="47">
        <f t="shared" si="2"/>
        <v>0.28500000000000003</v>
      </c>
      <c r="Q37" s="42" t="s">
        <v>26</v>
      </c>
      <c r="R37" s="42" t="s">
        <v>33</v>
      </c>
      <c r="S37" s="42" t="s">
        <v>33</v>
      </c>
      <c r="T37" s="42" t="s">
        <v>34</v>
      </c>
      <c r="U37" s="42" t="s">
        <v>67</v>
      </c>
      <c r="V37" s="42" t="s">
        <v>208</v>
      </c>
      <c r="W37" s="42"/>
    </row>
    <row r="38" spans="1:23" x14ac:dyDescent="0.25">
      <c r="A38" s="42" t="s">
        <v>23</v>
      </c>
      <c r="B38" s="42" t="s">
        <v>202</v>
      </c>
      <c r="C38" s="42" t="s">
        <v>239</v>
      </c>
      <c r="D38" s="49" t="s">
        <v>66</v>
      </c>
      <c r="E38" s="42" t="s">
        <v>240</v>
      </c>
      <c r="F38" s="42" t="s">
        <v>241</v>
      </c>
      <c r="G38" s="42" t="s">
        <v>242</v>
      </c>
      <c r="H38" s="42" t="s">
        <v>243</v>
      </c>
      <c r="I38" s="42" t="s">
        <v>158</v>
      </c>
      <c r="J38" s="42">
        <v>3</v>
      </c>
      <c r="K38" s="42">
        <v>1</v>
      </c>
      <c r="L38" s="44">
        <f t="shared" si="0"/>
        <v>0.375</v>
      </c>
      <c r="M38" s="45">
        <v>0.1</v>
      </c>
      <c r="N38" s="50">
        <v>0.2</v>
      </c>
      <c r="O38" s="46">
        <f t="shared" si="1"/>
        <v>0.27999999999999992</v>
      </c>
      <c r="P38" s="47">
        <f t="shared" si="2"/>
        <v>0.10499999999999997</v>
      </c>
      <c r="Q38" s="42" t="s">
        <v>66</v>
      </c>
      <c r="R38" s="42" t="s">
        <v>66</v>
      </c>
      <c r="S38" s="42" t="s">
        <v>66</v>
      </c>
      <c r="T38" s="42" t="s">
        <v>244</v>
      </c>
      <c r="U38" s="42" t="s">
        <v>67</v>
      </c>
      <c r="V38" s="42" t="s">
        <v>208</v>
      </c>
      <c r="W38" s="42"/>
    </row>
    <row r="39" spans="1:23" ht="48" x14ac:dyDescent="0.25">
      <c r="A39" s="42" t="s">
        <v>23</v>
      </c>
      <c r="B39" s="42" t="s">
        <v>245</v>
      </c>
      <c r="C39" s="42" t="s">
        <v>246</v>
      </c>
      <c r="D39" s="48" t="s">
        <v>55</v>
      </c>
      <c r="E39" s="42" t="s">
        <v>247</v>
      </c>
      <c r="F39" s="42" t="s">
        <v>248</v>
      </c>
      <c r="G39" s="42" t="s">
        <v>249</v>
      </c>
      <c r="H39" s="42" t="s">
        <v>250</v>
      </c>
      <c r="I39" s="42" t="s">
        <v>31</v>
      </c>
      <c r="J39" s="42">
        <v>3</v>
      </c>
      <c r="K39" s="42">
        <v>1</v>
      </c>
      <c r="L39" s="44">
        <f t="shared" si="0"/>
        <v>0.25</v>
      </c>
      <c r="M39" s="45">
        <v>0.6</v>
      </c>
      <c r="N39" s="50">
        <v>0.25</v>
      </c>
      <c r="O39" s="46">
        <f t="shared" si="1"/>
        <v>0.7</v>
      </c>
      <c r="P39" s="47">
        <f t="shared" si="2"/>
        <v>0.17499999999999999</v>
      </c>
      <c r="Q39" s="42" t="s">
        <v>26</v>
      </c>
      <c r="R39" s="42" t="s">
        <v>66</v>
      </c>
      <c r="S39" s="42" t="s">
        <v>32</v>
      </c>
      <c r="T39" s="42" t="s">
        <v>60</v>
      </c>
      <c r="U39" s="42" t="s">
        <v>189</v>
      </c>
      <c r="V39" s="42" t="s">
        <v>166</v>
      </c>
      <c r="W39" s="42" t="s">
        <v>1374</v>
      </c>
    </row>
    <row r="40" spans="1:23" ht="36" x14ac:dyDescent="0.25">
      <c r="A40" s="42" t="s">
        <v>23</v>
      </c>
      <c r="B40" s="42" t="s">
        <v>245</v>
      </c>
      <c r="C40" s="42" t="s">
        <v>251</v>
      </c>
      <c r="D40" s="43" t="s">
        <v>26</v>
      </c>
      <c r="E40" s="42" t="s">
        <v>252</v>
      </c>
      <c r="F40" s="42" t="s">
        <v>253</v>
      </c>
      <c r="G40" s="42" t="s">
        <v>254</v>
      </c>
      <c r="H40" s="42" t="s">
        <v>255</v>
      </c>
      <c r="I40" s="42" t="s">
        <v>182</v>
      </c>
      <c r="J40" s="42">
        <v>3</v>
      </c>
      <c r="K40" s="42">
        <v>1</v>
      </c>
      <c r="L40" s="44">
        <f t="shared" si="0"/>
        <v>0.25</v>
      </c>
      <c r="M40" s="45">
        <v>0.7</v>
      </c>
      <c r="N40" s="50">
        <v>0.25</v>
      </c>
      <c r="O40" s="46">
        <f t="shared" si="1"/>
        <v>0.77499999999999991</v>
      </c>
      <c r="P40" s="47">
        <f t="shared" si="2"/>
        <v>0.19374999999999998</v>
      </c>
      <c r="Q40" s="42" t="s">
        <v>26</v>
      </c>
      <c r="R40" s="42" t="s">
        <v>32</v>
      </c>
      <c r="S40" s="42" t="s">
        <v>33</v>
      </c>
      <c r="T40" s="42" t="s">
        <v>34</v>
      </c>
      <c r="U40" s="42" t="s">
        <v>189</v>
      </c>
      <c r="V40" s="42" t="s">
        <v>208</v>
      </c>
      <c r="W40" s="42"/>
    </row>
    <row r="41" spans="1:23" ht="36" x14ac:dyDescent="0.25">
      <c r="A41" s="42" t="s">
        <v>23</v>
      </c>
      <c r="B41" s="42" t="s">
        <v>245</v>
      </c>
      <c r="C41" s="42" t="s">
        <v>256</v>
      </c>
      <c r="D41" s="48" t="s">
        <v>55</v>
      </c>
      <c r="E41" s="42" t="s">
        <v>257</v>
      </c>
      <c r="F41" s="42" t="s">
        <v>258</v>
      </c>
      <c r="G41" s="42" t="s">
        <v>259</v>
      </c>
      <c r="H41" s="42" t="s">
        <v>260</v>
      </c>
      <c r="I41" s="42" t="s">
        <v>261</v>
      </c>
      <c r="J41" s="42">
        <v>3</v>
      </c>
      <c r="K41" s="42">
        <v>1</v>
      </c>
      <c r="L41" s="44">
        <f t="shared" si="0"/>
        <v>0.25</v>
      </c>
      <c r="M41" s="45">
        <v>0.6</v>
      </c>
      <c r="N41" s="50">
        <v>0.25</v>
      </c>
      <c r="O41" s="46">
        <f t="shared" si="1"/>
        <v>0.7</v>
      </c>
      <c r="P41" s="47">
        <f t="shared" si="2"/>
        <v>0.17499999999999999</v>
      </c>
      <c r="Q41" s="42" t="s">
        <v>26</v>
      </c>
      <c r="R41" s="42" t="s">
        <v>66</v>
      </c>
      <c r="S41" s="42" t="s">
        <v>32</v>
      </c>
      <c r="T41" s="42" t="s">
        <v>60</v>
      </c>
      <c r="U41" s="42" t="s">
        <v>189</v>
      </c>
      <c r="V41" s="42" t="s">
        <v>166</v>
      </c>
      <c r="W41" s="42"/>
    </row>
    <row r="42" spans="1:23" ht="24" x14ac:dyDescent="0.25">
      <c r="A42" s="42" t="s">
        <v>23</v>
      </c>
      <c r="B42" s="42" t="s">
        <v>245</v>
      </c>
      <c r="C42" s="42" t="s">
        <v>262</v>
      </c>
      <c r="D42" s="49" t="s">
        <v>66</v>
      </c>
      <c r="E42" s="42" t="s">
        <v>263</v>
      </c>
      <c r="F42" s="42" t="s">
        <v>264</v>
      </c>
      <c r="G42" s="42" t="s">
        <v>265</v>
      </c>
      <c r="H42" s="42" t="s">
        <v>266</v>
      </c>
      <c r="I42" s="42" t="s">
        <v>261</v>
      </c>
      <c r="J42" s="42">
        <v>3</v>
      </c>
      <c r="K42" s="42">
        <v>1</v>
      </c>
      <c r="L42" s="44">
        <f t="shared" si="0"/>
        <v>0.25</v>
      </c>
      <c r="M42" s="45">
        <v>0.2</v>
      </c>
      <c r="N42" s="50">
        <v>0.25</v>
      </c>
      <c r="O42" s="46">
        <f t="shared" si="1"/>
        <v>0.39999999999999991</v>
      </c>
      <c r="P42" s="47">
        <f t="shared" si="2"/>
        <v>9.9999999999999978E-2</v>
      </c>
      <c r="Q42" s="42" t="s">
        <v>66</v>
      </c>
      <c r="R42" s="42" t="s">
        <v>66</v>
      </c>
      <c r="S42" s="42" t="s">
        <v>66</v>
      </c>
      <c r="T42" s="42" t="s">
        <v>267</v>
      </c>
      <c r="U42" s="42" t="s">
        <v>48</v>
      </c>
      <c r="V42" s="42" t="s">
        <v>166</v>
      </c>
      <c r="W42" s="42"/>
    </row>
    <row r="43" spans="1:23" ht="36" x14ac:dyDescent="0.25">
      <c r="A43" s="42" t="s">
        <v>23</v>
      </c>
      <c r="B43" s="42" t="s">
        <v>245</v>
      </c>
      <c r="C43" s="42" t="s">
        <v>268</v>
      </c>
      <c r="D43" s="48" t="s">
        <v>26</v>
      </c>
      <c r="E43" s="42" t="s">
        <v>269</v>
      </c>
      <c r="F43" s="42" t="s">
        <v>270</v>
      </c>
      <c r="G43" s="42" t="s">
        <v>271</v>
      </c>
      <c r="H43" s="42" t="s">
        <v>272</v>
      </c>
      <c r="I43" s="42" t="s">
        <v>261</v>
      </c>
      <c r="J43" s="42">
        <v>3</v>
      </c>
      <c r="K43" s="42">
        <v>1</v>
      </c>
      <c r="L43" s="44">
        <f t="shared" si="0"/>
        <v>0.25</v>
      </c>
      <c r="M43" s="45">
        <v>0.7</v>
      </c>
      <c r="N43" s="50">
        <v>0.25</v>
      </c>
      <c r="O43" s="46">
        <f t="shared" si="1"/>
        <v>0.77499999999999991</v>
      </c>
      <c r="P43" s="47">
        <f t="shared" si="2"/>
        <v>0.19374999999999998</v>
      </c>
      <c r="Q43" s="42" t="s">
        <v>26</v>
      </c>
      <c r="R43" s="42" t="s">
        <v>66</v>
      </c>
      <c r="S43" s="42" t="s">
        <v>32</v>
      </c>
      <c r="T43" s="42" t="s">
        <v>60</v>
      </c>
      <c r="U43" s="42" t="s">
        <v>67</v>
      </c>
      <c r="V43" s="42" t="s">
        <v>166</v>
      </c>
      <c r="W43" s="42"/>
    </row>
    <row r="44" spans="1:23" ht="48" x14ac:dyDescent="0.25">
      <c r="A44" s="42" t="s">
        <v>23</v>
      </c>
      <c r="B44" s="42" t="s">
        <v>245</v>
      </c>
      <c r="C44" s="42" t="s">
        <v>273</v>
      </c>
      <c r="D44" s="48" t="s">
        <v>55</v>
      </c>
      <c r="E44" s="42" t="s">
        <v>274</v>
      </c>
      <c r="F44" s="42" t="s">
        <v>275</v>
      </c>
      <c r="G44" s="42" t="s">
        <v>259</v>
      </c>
      <c r="H44" s="42" t="s">
        <v>194</v>
      </c>
      <c r="I44" s="42" t="s">
        <v>261</v>
      </c>
      <c r="J44" s="42">
        <v>3</v>
      </c>
      <c r="K44" s="42">
        <v>1</v>
      </c>
      <c r="L44" s="44">
        <f t="shared" si="0"/>
        <v>0.25</v>
      </c>
      <c r="M44" s="45">
        <v>0.6</v>
      </c>
      <c r="N44" s="50">
        <v>0.25</v>
      </c>
      <c r="O44" s="46">
        <f t="shared" si="1"/>
        <v>0.7</v>
      </c>
      <c r="P44" s="47">
        <f t="shared" si="2"/>
        <v>0.17499999999999999</v>
      </c>
      <c r="Q44" s="42" t="s">
        <v>55</v>
      </c>
      <c r="R44" s="42" t="s">
        <v>66</v>
      </c>
      <c r="S44" s="42" t="s">
        <v>32</v>
      </c>
      <c r="T44" s="42" t="s">
        <v>60</v>
      </c>
      <c r="U44" s="42" t="s">
        <v>67</v>
      </c>
      <c r="V44" s="42" t="s">
        <v>195</v>
      </c>
      <c r="W44" s="42"/>
    </row>
    <row r="45" spans="1:23" ht="120" x14ac:dyDescent="0.25">
      <c r="A45" s="42" t="s">
        <v>23</v>
      </c>
      <c r="B45" s="42" t="s">
        <v>245</v>
      </c>
      <c r="C45" s="42" t="s">
        <v>276</v>
      </c>
      <c r="D45" s="49" t="s">
        <v>55</v>
      </c>
      <c r="E45" s="42" t="s">
        <v>277</v>
      </c>
      <c r="F45" s="42" t="s">
        <v>278</v>
      </c>
      <c r="G45" s="42" t="s">
        <v>279</v>
      </c>
      <c r="H45" s="42" t="s">
        <v>280</v>
      </c>
      <c r="I45" s="42" t="s">
        <v>261</v>
      </c>
      <c r="J45" s="42">
        <v>3</v>
      </c>
      <c r="K45" s="42">
        <v>1</v>
      </c>
      <c r="L45" s="44">
        <f t="shared" si="0"/>
        <v>0.25</v>
      </c>
      <c r="M45" s="45">
        <v>0.6</v>
      </c>
      <c r="N45" s="50">
        <v>0.25</v>
      </c>
      <c r="O45" s="46">
        <f t="shared" si="1"/>
        <v>0.7</v>
      </c>
      <c r="P45" s="47">
        <f t="shared" si="2"/>
        <v>0.17499999999999999</v>
      </c>
      <c r="Q45" s="42" t="s">
        <v>66</v>
      </c>
      <c r="R45" s="42" t="s">
        <v>66</v>
      </c>
      <c r="S45" s="42" t="s">
        <v>66</v>
      </c>
      <c r="T45" s="42" t="s">
        <v>281</v>
      </c>
      <c r="U45" s="42" t="s">
        <v>67</v>
      </c>
      <c r="V45" s="42" t="s">
        <v>166</v>
      </c>
      <c r="W45" s="42" t="s">
        <v>1375</v>
      </c>
    </row>
    <row r="46" spans="1:23" ht="36" x14ac:dyDescent="0.25">
      <c r="A46" s="42" t="s">
        <v>23</v>
      </c>
      <c r="B46" s="42" t="s">
        <v>245</v>
      </c>
      <c r="C46" s="42" t="s">
        <v>282</v>
      </c>
      <c r="D46" s="48" t="s">
        <v>55</v>
      </c>
      <c r="E46" s="42" t="s">
        <v>283</v>
      </c>
      <c r="F46" s="42" t="s">
        <v>284</v>
      </c>
      <c r="G46" s="42" t="s">
        <v>285</v>
      </c>
      <c r="H46" s="42" t="s">
        <v>286</v>
      </c>
      <c r="I46" s="42" t="s">
        <v>31</v>
      </c>
      <c r="J46" s="42">
        <v>3</v>
      </c>
      <c r="K46" s="42">
        <v>1</v>
      </c>
      <c r="L46" s="44">
        <f t="shared" si="0"/>
        <v>0.25</v>
      </c>
      <c r="M46" s="45">
        <v>0.4</v>
      </c>
      <c r="N46" s="50">
        <v>0.25</v>
      </c>
      <c r="O46" s="46">
        <f t="shared" si="1"/>
        <v>0.55000000000000004</v>
      </c>
      <c r="P46" s="47">
        <f t="shared" si="2"/>
        <v>0.13750000000000001</v>
      </c>
      <c r="Q46" s="42" t="s">
        <v>55</v>
      </c>
      <c r="R46" s="42" t="s">
        <v>66</v>
      </c>
      <c r="S46" s="42" t="s">
        <v>32</v>
      </c>
      <c r="T46" s="42" t="s">
        <v>60</v>
      </c>
      <c r="U46" s="42" t="s">
        <v>67</v>
      </c>
      <c r="V46" s="42" t="s">
        <v>166</v>
      </c>
      <c r="W46" s="42"/>
    </row>
    <row r="47" spans="1:23" ht="156" x14ac:dyDescent="0.25">
      <c r="A47" s="42" t="s">
        <v>23</v>
      </c>
      <c r="B47" s="42" t="s">
        <v>245</v>
      </c>
      <c r="C47" s="42" t="s">
        <v>287</v>
      </c>
      <c r="D47" s="49" t="s">
        <v>55</v>
      </c>
      <c r="E47" s="42" t="s">
        <v>288</v>
      </c>
      <c r="F47" s="42" t="s">
        <v>289</v>
      </c>
      <c r="G47" s="42" t="s">
        <v>290</v>
      </c>
      <c r="H47" s="42" t="s">
        <v>291</v>
      </c>
      <c r="I47" s="42" t="s">
        <v>261</v>
      </c>
      <c r="J47" s="42">
        <v>3</v>
      </c>
      <c r="K47" s="42">
        <v>1</v>
      </c>
      <c r="L47" s="44">
        <f t="shared" si="0"/>
        <v>0.25</v>
      </c>
      <c r="M47" s="45">
        <v>0.6</v>
      </c>
      <c r="N47" s="50">
        <v>0.25</v>
      </c>
      <c r="O47" s="46">
        <f t="shared" si="1"/>
        <v>0.7</v>
      </c>
      <c r="P47" s="47">
        <f t="shared" si="2"/>
        <v>0.17499999999999999</v>
      </c>
      <c r="Q47" s="42" t="s">
        <v>66</v>
      </c>
      <c r="R47" s="42" t="s">
        <v>66</v>
      </c>
      <c r="S47" s="42" t="s">
        <v>66</v>
      </c>
      <c r="T47" s="42" t="s">
        <v>292</v>
      </c>
      <c r="U47" s="42" t="s">
        <v>67</v>
      </c>
      <c r="V47" s="42" t="s">
        <v>166</v>
      </c>
      <c r="W47" s="42" t="s">
        <v>1376</v>
      </c>
    </row>
    <row r="48" spans="1:23" ht="36" x14ac:dyDescent="0.25">
      <c r="A48" s="42" t="s">
        <v>23</v>
      </c>
      <c r="B48" s="42" t="s">
        <v>245</v>
      </c>
      <c r="C48" s="42" t="s">
        <v>293</v>
      </c>
      <c r="D48" s="43" t="s">
        <v>26</v>
      </c>
      <c r="E48" s="42" t="s">
        <v>294</v>
      </c>
      <c r="F48" s="42" t="s">
        <v>295</v>
      </c>
      <c r="G48" s="42" t="s">
        <v>296</v>
      </c>
      <c r="H48" s="42" t="s">
        <v>297</v>
      </c>
      <c r="I48" s="42" t="s">
        <v>182</v>
      </c>
      <c r="J48" s="42">
        <v>3</v>
      </c>
      <c r="K48" s="42">
        <v>1</v>
      </c>
      <c r="L48" s="44">
        <f t="shared" si="0"/>
        <v>0.25</v>
      </c>
      <c r="M48" s="45">
        <v>0.6</v>
      </c>
      <c r="N48" s="50">
        <v>0.25</v>
      </c>
      <c r="O48" s="46">
        <f t="shared" si="1"/>
        <v>0.7</v>
      </c>
      <c r="P48" s="47">
        <f t="shared" si="2"/>
        <v>0.17499999999999999</v>
      </c>
      <c r="Q48" s="42" t="s">
        <v>26</v>
      </c>
      <c r="R48" s="42" t="s">
        <v>32</v>
      </c>
      <c r="S48" s="42" t="s">
        <v>33</v>
      </c>
      <c r="T48" s="42" t="s">
        <v>34</v>
      </c>
      <c r="U48" s="42" t="s">
        <v>67</v>
      </c>
      <c r="V48" s="42" t="s">
        <v>195</v>
      </c>
      <c r="W48" s="42"/>
    </row>
    <row r="49" spans="1:23" ht="36" x14ac:dyDescent="0.25">
      <c r="A49" s="42" t="s">
        <v>23</v>
      </c>
      <c r="B49" s="42" t="s">
        <v>245</v>
      </c>
      <c r="C49" s="42" t="s">
        <v>298</v>
      </c>
      <c r="D49" s="48" t="s">
        <v>26</v>
      </c>
      <c r="E49" s="42" t="s">
        <v>299</v>
      </c>
      <c r="F49" s="42" t="s">
        <v>300</v>
      </c>
      <c r="G49" s="42" t="s">
        <v>301</v>
      </c>
      <c r="H49" s="42" t="s">
        <v>302</v>
      </c>
      <c r="I49" s="42" t="s">
        <v>261</v>
      </c>
      <c r="J49" s="42">
        <v>3</v>
      </c>
      <c r="K49" s="42">
        <v>1</v>
      </c>
      <c r="L49" s="44">
        <f t="shared" si="0"/>
        <v>0.25</v>
      </c>
      <c r="M49" s="45">
        <v>0.6</v>
      </c>
      <c r="N49" s="50">
        <v>0.25</v>
      </c>
      <c r="O49" s="46">
        <f t="shared" si="1"/>
        <v>0.7</v>
      </c>
      <c r="P49" s="47">
        <f t="shared" si="2"/>
        <v>0.17499999999999999</v>
      </c>
      <c r="Q49" s="42" t="s">
        <v>55</v>
      </c>
      <c r="R49" s="42" t="s">
        <v>66</v>
      </c>
      <c r="S49" s="42" t="s">
        <v>32</v>
      </c>
      <c r="T49" s="42" t="s">
        <v>60</v>
      </c>
      <c r="U49" s="42" t="s">
        <v>67</v>
      </c>
      <c r="V49" s="42" t="s">
        <v>166</v>
      </c>
      <c r="W49" s="42"/>
    </row>
    <row r="50" spans="1:23" ht="36" x14ac:dyDescent="0.25">
      <c r="A50" s="42" t="s">
        <v>23</v>
      </c>
      <c r="B50" s="42" t="s">
        <v>245</v>
      </c>
      <c r="C50" s="42" t="s">
        <v>303</v>
      </c>
      <c r="D50" s="49" t="s">
        <v>66</v>
      </c>
      <c r="E50" s="42" t="s">
        <v>304</v>
      </c>
      <c r="F50" s="42" t="s">
        <v>305</v>
      </c>
      <c r="G50" s="42" t="s">
        <v>306</v>
      </c>
      <c r="H50" s="42" t="s">
        <v>307</v>
      </c>
      <c r="I50" s="42" t="s">
        <v>261</v>
      </c>
      <c r="J50" s="42">
        <v>3</v>
      </c>
      <c r="K50" s="42">
        <v>1</v>
      </c>
      <c r="L50" s="44">
        <f t="shared" si="0"/>
        <v>0.25</v>
      </c>
      <c r="M50" s="45">
        <v>0</v>
      </c>
      <c r="N50" s="50">
        <v>0.25</v>
      </c>
      <c r="O50" s="46">
        <f t="shared" si="1"/>
        <v>0.25</v>
      </c>
      <c r="P50" s="47">
        <f t="shared" si="2"/>
        <v>6.25E-2</v>
      </c>
      <c r="Q50" s="42" t="s">
        <v>66</v>
      </c>
      <c r="R50" s="42" t="s">
        <v>66</v>
      </c>
      <c r="S50" s="42" t="s">
        <v>66</v>
      </c>
      <c r="T50" s="42" t="s">
        <v>308</v>
      </c>
      <c r="U50" s="42" t="s">
        <v>67</v>
      </c>
      <c r="V50" s="42" t="s">
        <v>166</v>
      </c>
      <c r="W50" s="42"/>
    </row>
    <row r="51" spans="1:23" ht="36" x14ac:dyDescent="0.25">
      <c r="A51" s="42" t="s">
        <v>23</v>
      </c>
      <c r="B51" s="42" t="s">
        <v>309</v>
      </c>
      <c r="C51" s="42" t="s">
        <v>310</v>
      </c>
      <c r="D51" s="43" t="s">
        <v>26</v>
      </c>
      <c r="E51" s="42" t="s">
        <v>311</v>
      </c>
      <c r="F51" s="42" t="s">
        <v>312</v>
      </c>
      <c r="G51" s="42" t="s">
        <v>313</v>
      </c>
      <c r="H51" s="42" t="s">
        <v>314</v>
      </c>
      <c r="I51" s="42" t="s">
        <v>182</v>
      </c>
      <c r="J51" s="42">
        <v>3</v>
      </c>
      <c r="K51" s="42">
        <v>2</v>
      </c>
      <c r="L51" s="44">
        <f t="shared" si="0"/>
        <v>0.5</v>
      </c>
      <c r="M51" s="45">
        <v>0.7</v>
      </c>
      <c r="N51" s="45">
        <v>0.15</v>
      </c>
      <c r="O51" s="46">
        <f t="shared" si="1"/>
        <v>0.745</v>
      </c>
      <c r="P51" s="47">
        <f t="shared" si="2"/>
        <v>0.3725</v>
      </c>
      <c r="Q51" s="42" t="s">
        <v>26</v>
      </c>
      <c r="R51" s="42" t="s">
        <v>33</v>
      </c>
      <c r="S51" s="42" t="s">
        <v>33</v>
      </c>
      <c r="T51" s="42" t="s">
        <v>34</v>
      </c>
      <c r="U51" s="42" t="s">
        <v>189</v>
      </c>
      <c r="V51" s="42" t="s">
        <v>208</v>
      </c>
      <c r="W51" s="42"/>
    </row>
    <row r="52" spans="1:23" ht="96" x14ac:dyDescent="0.25">
      <c r="A52" s="42" t="s">
        <v>23</v>
      </c>
      <c r="B52" s="42" t="s">
        <v>309</v>
      </c>
      <c r="C52" s="42" t="s">
        <v>315</v>
      </c>
      <c r="D52" s="48" t="s">
        <v>55</v>
      </c>
      <c r="E52" s="42" t="s">
        <v>316</v>
      </c>
      <c r="F52" s="42" t="s">
        <v>317</v>
      </c>
      <c r="G52" s="42" t="s">
        <v>318</v>
      </c>
      <c r="H52" s="42" t="s">
        <v>129</v>
      </c>
      <c r="I52" s="42" t="s">
        <v>182</v>
      </c>
      <c r="J52" s="42">
        <v>3</v>
      </c>
      <c r="K52" s="42">
        <v>2</v>
      </c>
      <c r="L52" s="44">
        <f t="shared" si="0"/>
        <v>0.5</v>
      </c>
      <c r="M52" s="45">
        <v>0.5</v>
      </c>
      <c r="N52" s="45">
        <v>0.15</v>
      </c>
      <c r="O52" s="46">
        <f t="shared" si="1"/>
        <v>0.57499999999999996</v>
      </c>
      <c r="P52" s="47">
        <f t="shared" si="2"/>
        <v>0.28749999999999998</v>
      </c>
      <c r="Q52" s="42" t="s">
        <v>55</v>
      </c>
      <c r="R52" s="42" t="s">
        <v>66</v>
      </c>
      <c r="S52" s="42" t="s">
        <v>32</v>
      </c>
      <c r="T52" s="42" t="s">
        <v>60</v>
      </c>
      <c r="U52" s="42" t="s">
        <v>67</v>
      </c>
      <c r="V52" s="42" t="s">
        <v>166</v>
      </c>
      <c r="W52" s="42" t="s">
        <v>1377</v>
      </c>
    </row>
    <row r="53" spans="1:23" ht="132" x14ac:dyDescent="0.25">
      <c r="A53" s="42" t="s">
        <v>23</v>
      </c>
      <c r="B53" s="42" t="s">
        <v>309</v>
      </c>
      <c r="C53" s="42" t="s">
        <v>319</v>
      </c>
      <c r="D53" s="49" t="s">
        <v>55</v>
      </c>
      <c r="E53" s="42" t="s">
        <v>320</v>
      </c>
      <c r="F53" s="42" t="s">
        <v>321</v>
      </c>
      <c r="G53" s="42" t="s">
        <v>322</v>
      </c>
      <c r="H53" s="42" t="s">
        <v>323</v>
      </c>
      <c r="I53" s="42" t="s">
        <v>31</v>
      </c>
      <c r="J53" s="42">
        <v>3</v>
      </c>
      <c r="K53" s="42">
        <v>2</v>
      </c>
      <c r="L53" s="44">
        <f t="shared" si="0"/>
        <v>0.5</v>
      </c>
      <c r="M53" s="45">
        <v>0.5</v>
      </c>
      <c r="N53" s="45">
        <v>0.15</v>
      </c>
      <c r="O53" s="46">
        <f t="shared" si="1"/>
        <v>0.57499999999999996</v>
      </c>
      <c r="P53" s="47">
        <f t="shared" si="2"/>
        <v>0.28749999999999998</v>
      </c>
      <c r="Q53" s="42" t="s">
        <v>66</v>
      </c>
      <c r="R53" s="42" t="s">
        <v>66</v>
      </c>
      <c r="S53" s="42" t="s">
        <v>66</v>
      </c>
      <c r="T53" s="42" t="s">
        <v>324</v>
      </c>
      <c r="U53" s="42" t="s">
        <v>67</v>
      </c>
      <c r="V53" s="42" t="s">
        <v>166</v>
      </c>
      <c r="W53" s="42" t="s">
        <v>1378</v>
      </c>
    </row>
    <row r="54" spans="1:23" ht="36" x14ac:dyDescent="0.25">
      <c r="A54" s="42" t="s">
        <v>23</v>
      </c>
      <c r="B54" s="42" t="s">
        <v>309</v>
      </c>
      <c r="C54" s="42" t="s">
        <v>325</v>
      </c>
      <c r="D54" s="43" t="s">
        <v>26</v>
      </c>
      <c r="E54" s="42" t="s">
        <v>326</v>
      </c>
      <c r="F54" s="42" t="s">
        <v>327</v>
      </c>
      <c r="G54" s="42" t="s">
        <v>328</v>
      </c>
      <c r="H54" s="42" t="s">
        <v>329</v>
      </c>
      <c r="I54" s="42" t="s">
        <v>182</v>
      </c>
      <c r="J54" s="42">
        <v>3</v>
      </c>
      <c r="K54" s="42">
        <v>2</v>
      </c>
      <c r="L54" s="44">
        <f t="shared" si="0"/>
        <v>0.5</v>
      </c>
      <c r="M54" s="45">
        <v>0.6</v>
      </c>
      <c r="N54" s="45">
        <v>0.15</v>
      </c>
      <c r="O54" s="46">
        <f t="shared" si="1"/>
        <v>0.65999999999999992</v>
      </c>
      <c r="P54" s="47">
        <f t="shared" si="2"/>
        <v>0.32999999999999996</v>
      </c>
      <c r="Q54" s="42" t="s">
        <v>26</v>
      </c>
      <c r="R54" s="42" t="s">
        <v>32</v>
      </c>
      <c r="S54" s="42" t="s">
        <v>33</v>
      </c>
      <c r="T54" s="42" t="s">
        <v>34</v>
      </c>
      <c r="U54" s="42" t="s">
        <v>67</v>
      </c>
      <c r="V54" s="42" t="s">
        <v>208</v>
      </c>
      <c r="W54" s="42"/>
    </row>
    <row r="55" spans="1:23" ht="36" x14ac:dyDescent="0.25">
      <c r="A55" s="42" t="s">
        <v>23</v>
      </c>
      <c r="B55" s="42" t="s">
        <v>309</v>
      </c>
      <c r="C55" s="42" t="s">
        <v>330</v>
      </c>
      <c r="D55" s="48" t="s">
        <v>55</v>
      </c>
      <c r="E55" s="42" t="s">
        <v>331</v>
      </c>
      <c r="F55" s="42" t="s">
        <v>332</v>
      </c>
      <c r="G55" s="42" t="s">
        <v>333</v>
      </c>
      <c r="H55" s="42" t="s">
        <v>334</v>
      </c>
      <c r="I55" s="42" t="s">
        <v>31</v>
      </c>
      <c r="J55" s="42">
        <v>3</v>
      </c>
      <c r="K55" s="42">
        <v>2</v>
      </c>
      <c r="L55" s="44">
        <f t="shared" si="0"/>
        <v>0.5</v>
      </c>
      <c r="M55" s="45">
        <v>0.3</v>
      </c>
      <c r="N55" s="45">
        <v>0.15</v>
      </c>
      <c r="O55" s="46">
        <f t="shared" si="1"/>
        <v>0.40500000000000003</v>
      </c>
      <c r="P55" s="47">
        <f t="shared" si="2"/>
        <v>0.20250000000000001</v>
      </c>
      <c r="Q55" s="42" t="s">
        <v>55</v>
      </c>
      <c r="R55" s="42" t="s">
        <v>66</v>
      </c>
      <c r="S55" s="42" t="s">
        <v>32</v>
      </c>
      <c r="T55" s="42" t="s">
        <v>335</v>
      </c>
      <c r="U55" s="42" t="s">
        <v>67</v>
      </c>
      <c r="V55" s="42" t="s">
        <v>166</v>
      </c>
      <c r="W55" s="42"/>
    </row>
    <row r="56" spans="1:23" ht="24" x14ac:dyDescent="0.25">
      <c r="A56" s="42" t="s">
        <v>23</v>
      </c>
      <c r="B56" s="42" t="s">
        <v>309</v>
      </c>
      <c r="C56" s="42" t="s">
        <v>336</v>
      </c>
      <c r="D56" s="49" t="s">
        <v>66</v>
      </c>
      <c r="E56" s="42" t="s">
        <v>337</v>
      </c>
      <c r="F56" s="42" t="s">
        <v>338</v>
      </c>
      <c r="G56" s="42" t="s">
        <v>339</v>
      </c>
      <c r="H56" s="42" t="s">
        <v>340</v>
      </c>
      <c r="I56" s="42" t="s">
        <v>261</v>
      </c>
      <c r="J56" s="42">
        <v>3</v>
      </c>
      <c r="K56" s="42">
        <v>2</v>
      </c>
      <c r="L56" s="44">
        <f t="shared" si="0"/>
        <v>0.5</v>
      </c>
      <c r="M56" s="45">
        <v>0</v>
      </c>
      <c r="N56" s="45">
        <v>0.15</v>
      </c>
      <c r="O56" s="46">
        <f t="shared" si="1"/>
        <v>0.15000000000000002</v>
      </c>
      <c r="P56" s="47">
        <f t="shared" si="2"/>
        <v>7.5000000000000011E-2</v>
      </c>
      <c r="Q56" s="42" t="s">
        <v>66</v>
      </c>
      <c r="R56" s="42" t="s">
        <v>66</v>
      </c>
      <c r="S56" s="42" t="s">
        <v>66</v>
      </c>
      <c r="T56" s="42" t="s">
        <v>341</v>
      </c>
      <c r="U56" s="42" t="s">
        <v>67</v>
      </c>
      <c r="V56" s="42" t="s">
        <v>166</v>
      </c>
      <c r="W56" s="42"/>
    </row>
    <row r="57" spans="1:23" ht="24" x14ac:dyDescent="0.25">
      <c r="A57" s="42" t="s">
        <v>23</v>
      </c>
      <c r="B57" s="42" t="s">
        <v>342</v>
      </c>
      <c r="C57" s="42" t="s">
        <v>343</v>
      </c>
      <c r="D57" s="43" t="s">
        <v>26</v>
      </c>
      <c r="E57" s="42" t="s">
        <v>344</v>
      </c>
      <c r="F57" s="42" t="s">
        <v>345</v>
      </c>
      <c r="G57" s="42" t="s">
        <v>346</v>
      </c>
      <c r="H57" s="42" t="s">
        <v>347</v>
      </c>
      <c r="I57" s="42" t="s">
        <v>31</v>
      </c>
      <c r="J57" s="42">
        <v>5</v>
      </c>
      <c r="K57" s="42">
        <v>1</v>
      </c>
      <c r="L57" s="44">
        <f t="shared" si="0"/>
        <v>0.83333333333333337</v>
      </c>
      <c r="M57" s="45">
        <v>0.5</v>
      </c>
      <c r="N57" s="45">
        <v>0.1</v>
      </c>
      <c r="O57" s="46">
        <f t="shared" si="1"/>
        <v>0.55000000000000004</v>
      </c>
      <c r="P57" s="47">
        <f t="shared" si="2"/>
        <v>0.45833333333333337</v>
      </c>
      <c r="Q57" s="42" t="s">
        <v>26</v>
      </c>
      <c r="R57" s="42" t="s">
        <v>32</v>
      </c>
      <c r="S57" s="42" t="s">
        <v>33</v>
      </c>
      <c r="T57" s="42" t="s">
        <v>34</v>
      </c>
      <c r="U57" s="42" t="s">
        <v>67</v>
      </c>
      <c r="V57" s="42" t="s">
        <v>36</v>
      </c>
      <c r="W57" s="42"/>
    </row>
    <row r="58" spans="1:23" ht="36" x14ac:dyDescent="0.25">
      <c r="A58" s="42" t="s">
        <v>23</v>
      </c>
      <c r="B58" s="42" t="s">
        <v>342</v>
      </c>
      <c r="C58" s="42" t="s">
        <v>348</v>
      </c>
      <c r="D58" s="49" t="s">
        <v>66</v>
      </c>
      <c r="E58" s="42" t="s">
        <v>349</v>
      </c>
      <c r="F58" s="42" t="s">
        <v>350</v>
      </c>
      <c r="G58" s="42" t="s">
        <v>351</v>
      </c>
      <c r="H58" s="42" t="s">
        <v>352</v>
      </c>
      <c r="I58" s="42" t="s">
        <v>31</v>
      </c>
      <c r="J58" s="42">
        <v>5</v>
      </c>
      <c r="K58" s="42">
        <v>1</v>
      </c>
      <c r="L58" s="44">
        <f t="shared" si="0"/>
        <v>0.83333333333333337</v>
      </c>
      <c r="M58" s="45">
        <v>0.1</v>
      </c>
      <c r="N58" s="45">
        <v>0.1</v>
      </c>
      <c r="O58" s="46">
        <f t="shared" si="1"/>
        <v>0.18999999999999995</v>
      </c>
      <c r="P58" s="47">
        <f t="shared" si="2"/>
        <v>0.1583333333333333</v>
      </c>
      <c r="Q58" s="42" t="s">
        <v>66</v>
      </c>
      <c r="R58" s="42" t="s">
        <v>66</v>
      </c>
      <c r="S58" s="42" t="s">
        <v>66</v>
      </c>
      <c r="T58" s="42" t="s">
        <v>353</v>
      </c>
      <c r="U58" s="42" t="s">
        <v>67</v>
      </c>
      <c r="V58" s="42" t="s">
        <v>36</v>
      </c>
      <c r="W58" s="42"/>
    </row>
    <row r="59" spans="1:23" ht="24" x14ac:dyDescent="0.25">
      <c r="A59" s="42" t="s">
        <v>23</v>
      </c>
      <c r="B59" s="42" t="s">
        <v>342</v>
      </c>
      <c r="C59" s="42" t="s">
        <v>354</v>
      </c>
      <c r="D59" s="49" t="s">
        <v>66</v>
      </c>
      <c r="E59" s="42" t="s">
        <v>355</v>
      </c>
      <c r="F59" s="42" t="s">
        <v>356</v>
      </c>
      <c r="G59" s="42" t="s">
        <v>351</v>
      </c>
      <c r="H59" s="42" t="s">
        <v>357</v>
      </c>
      <c r="I59" s="42" t="s">
        <v>358</v>
      </c>
      <c r="J59" s="42">
        <v>5</v>
      </c>
      <c r="K59" s="42">
        <v>1</v>
      </c>
      <c r="L59" s="44">
        <f t="shared" si="0"/>
        <v>0.83333333333333337</v>
      </c>
      <c r="M59" s="45">
        <v>0.1</v>
      </c>
      <c r="N59" s="45">
        <v>0.1</v>
      </c>
      <c r="O59" s="46">
        <f t="shared" si="1"/>
        <v>0.18999999999999995</v>
      </c>
      <c r="P59" s="47">
        <f t="shared" si="2"/>
        <v>0.1583333333333333</v>
      </c>
      <c r="Q59" s="42" t="s">
        <v>66</v>
      </c>
      <c r="R59" s="42" t="s">
        <v>66</v>
      </c>
      <c r="S59" s="42" t="s">
        <v>66</v>
      </c>
      <c r="T59" s="42" t="s">
        <v>359</v>
      </c>
      <c r="U59" s="42" t="s">
        <v>67</v>
      </c>
      <c r="V59" s="42" t="s">
        <v>36</v>
      </c>
      <c r="W59" s="42"/>
    </row>
    <row r="60" spans="1:23" ht="24" x14ac:dyDescent="0.25">
      <c r="A60" s="42" t="s">
        <v>23</v>
      </c>
      <c r="B60" s="42" t="s">
        <v>342</v>
      </c>
      <c r="C60" s="42" t="s">
        <v>360</v>
      </c>
      <c r="D60" s="48" t="s">
        <v>55</v>
      </c>
      <c r="E60" s="42" t="s">
        <v>361</v>
      </c>
      <c r="F60" s="42" t="s">
        <v>362</v>
      </c>
      <c r="G60" s="42" t="s">
        <v>363</v>
      </c>
      <c r="H60" s="42" t="s">
        <v>364</v>
      </c>
      <c r="I60" s="42" t="s">
        <v>31</v>
      </c>
      <c r="J60" s="42">
        <v>5</v>
      </c>
      <c r="K60" s="42">
        <v>1</v>
      </c>
      <c r="L60" s="44">
        <f t="shared" si="0"/>
        <v>0.83333333333333337</v>
      </c>
      <c r="M60" s="45">
        <v>0.3</v>
      </c>
      <c r="N60" s="45">
        <v>0.1</v>
      </c>
      <c r="O60" s="46">
        <f t="shared" si="1"/>
        <v>0.37</v>
      </c>
      <c r="P60" s="47">
        <f t="shared" si="2"/>
        <v>0.30833333333333335</v>
      </c>
      <c r="Q60" s="42" t="s">
        <v>26</v>
      </c>
      <c r="R60" s="42" t="s">
        <v>66</v>
      </c>
      <c r="S60" s="42" t="s">
        <v>32</v>
      </c>
      <c r="T60" s="42" t="s">
        <v>60</v>
      </c>
      <c r="U60" s="42" t="s">
        <v>67</v>
      </c>
      <c r="V60" s="42" t="s">
        <v>36</v>
      </c>
      <c r="W60" s="42"/>
    </row>
    <row r="61" spans="1:23" ht="24" x14ac:dyDescent="0.25">
      <c r="A61" s="42" t="s">
        <v>23</v>
      </c>
      <c r="B61" s="42" t="s">
        <v>342</v>
      </c>
      <c r="C61" s="42" t="s">
        <v>365</v>
      </c>
      <c r="D61" s="49" t="s">
        <v>66</v>
      </c>
      <c r="E61" s="42" t="s">
        <v>366</v>
      </c>
      <c r="F61" s="42" t="s">
        <v>367</v>
      </c>
      <c r="G61" s="42" t="s">
        <v>166</v>
      </c>
      <c r="H61" s="42" t="s">
        <v>368</v>
      </c>
      <c r="I61" s="42" t="s">
        <v>358</v>
      </c>
      <c r="J61" s="42">
        <v>5</v>
      </c>
      <c r="K61" s="42">
        <v>1</v>
      </c>
      <c r="L61" s="44">
        <f t="shared" si="0"/>
        <v>0.83333333333333337</v>
      </c>
      <c r="M61" s="45">
        <v>0.05</v>
      </c>
      <c r="N61" s="45">
        <v>0.1</v>
      </c>
      <c r="O61" s="46">
        <f t="shared" si="1"/>
        <v>0.14500000000000002</v>
      </c>
      <c r="P61" s="47">
        <f t="shared" si="2"/>
        <v>0.12083333333333335</v>
      </c>
      <c r="Q61" s="42" t="s">
        <v>66</v>
      </c>
      <c r="R61" s="42" t="s">
        <v>66</v>
      </c>
      <c r="S61" s="42" t="s">
        <v>66</v>
      </c>
      <c r="T61" s="42" t="s">
        <v>369</v>
      </c>
      <c r="U61" s="42" t="s">
        <v>67</v>
      </c>
      <c r="V61" s="42" t="s">
        <v>36</v>
      </c>
      <c r="W61" s="42"/>
    </row>
    <row r="62" spans="1:23" ht="24" x14ac:dyDescent="0.25">
      <c r="A62" s="42" t="s">
        <v>23</v>
      </c>
      <c r="B62" s="42" t="s">
        <v>342</v>
      </c>
      <c r="C62" s="42" t="s">
        <v>370</v>
      </c>
      <c r="D62" s="48" t="s">
        <v>55</v>
      </c>
      <c r="E62" s="42" t="s">
        <v>371</v>
      </c>
      <c r="F62" s="42" t="s">
        <v>372</v>
      </c>
      <c r="G62" s="42" t="s">
        <v>373</v>
      </c>
      <c r="H62" s="42" t="s">
        <v>374</v>
      </c>
      <c r="I62" s="42" t="s">
        <v>31</v>
      </c>
      <c r="J62" s="42">
        <v>5</v>
      </c>
      <c r="K62" s="42">
        <v>1</v>
      </c>
      <c r="L62" s="44">
        <f t="shared" si="0"/>
        <v>0.83333333333333337</v>
      </c>
      <c r="M62" s="45">
        <v>0.4</v>
      </c>
      <c r="N62" s="45">
        <v>0.1</v>
      </c>
      <c r="O62" s="46">
        <f t="shared" si="1"/>
        <v>0.45999999999999996</v>
      </c>
      <c r="P62" s="47">
        <f t="shared" si="2"/>
        <v>0.3833333333333333</v>
      </c>
      <c r="Q62" s="42" t="s">
        <v>55</v>
      </c>
      <c r="R62" s="42" t="s">
        <v>66</v>
      </c>
      <c r="S62" s="42" t="s">
        <v>32</v>
      </c>
      <c r="T62" s="42" t="s">
        <v>60</v>
      </c>
      <c r="U62" s="42" t="s">
        <v>67</v>
      </c>
      <c r="V62" s="42" t="s">
        <v>36</v>
      </c>
      <c r="W62" s="42"/>
    </row>
    <row r="63" spans="1:23" ht="36" x14ac:dyDescent="0.25">
      <c r="A63" s="42" t="s">
        <v>375</v>
      </c>
      <c r="B63" s="42" t="s">
        <v>376</v>
      </c>
      <c r="C63" s="42" t="s">
        <v>377</v>
      </c>
      <c r="D63" s="43" t="s">
        <v>26</v>
      </c>
      <c r="E63" s="42" t="s">
        <v>378</v>
      </c>
      <c r="F63" s="42" t="s">
        <v>379</v>
      </c>
      <c r="G63" s="42" t="s">
        <v>380</v>
      </c>
      <c r="H63" s="42" t="s">
        <v>381</v>
      </c>
      <c r="I63" s="42" t="s">
        <v>108</v>
      </c>
      <c r="J63" s="42">
        <v>5</v>
      </c>
      <c r="K63" s="42">
        <v>2</v>
      </c>
      <c r="L63" s="44">
        <f t="shared" si="0"/>
        <v>0.83333333333333337</v>
      </c>
      <c r="M63" s="45">
        <v>0.7</v>
      </c>
      <c r="N63" s="45">
        <v>0</v>
      </c>
      <c r="O63" s="46">
        <f t="shared" si="1"/>
        <v>0.7</v>
      </c>
      <c r="P63" s="47">
        <f t="shared" si="2"/>
        <v>0.58333333333333337</v>
      </c>
      <c r="Q63" s="42" t="s">
        <v>26</v>
      </c>
      <c r="R63" s="42" t="s">
        <v>32</v>
      </c>
      <c r="S63" s="42" t="s">
        <v>33</v>
      </c>
      <c r="T63" s="42" t="s">
        <v>34</v>
      </c>
      <c r="U63" s="42" t="s">
        <v>189</v>
      </c>
      <c r="V63" s="42" t="s">
        <v>208</v>
      </c>
      <c r="W63" s="42"/>
    </row>
    <row r="64" spans="1:23" ht="24" x14ac:dyDescent="0.25">
      <c r="A64" s="42" t="s">
        <v>375</v>
      </c>
      <c r="B64" s="42" t="s">
        <v>376</v>
      </c>
      <c r="C64" s="42" t="s">
        <v>382</v>
      </c>
      <c r="D64" s="43" t="s">
        <v>26</v>
      </c>
      <c r="E64" s="42" t="s">
        <v>383</v>
      </c>
      <c r="F64" s="42" t="s">
        <v>384</v>
      </c>
      <c r="G64" s="42" t="s">
        <v>385</v>
      </c>
      <c r="H64" s="42" t="s">
        <v>386</v>
      </c>
      <c r="I64" s="42" t="s">
        <v>108</v>
      </c>
      <c r="J64" s="42">
        <v>5</v>
      </c>
      <c r="K64" s="42">
        <v>2</v>
      </c>
      <c r="L64" s="44">
        <f t="shared" si="0"/>
        <v>0.83333333333333337</v>
      </c>
      <c r="M64" s="45">
        <v>0.6</v>
      </c>
      <c r="N64" s="45">
        <v>0</v>
      </c>
      <c r="O64" s="46">
        <f t="shared" si="1"/>
        <v>0.6</v>
      </c>
      <c r="P64" s="47">
        <f t="shared" si="2"/>
        <v>0.5</v>
      </c>
      <c r="Q64" s="42" t="s">
        <v>26</v>
      </c>
      <c r="R64" s="42" t="s">
        <v>33</v>
      </c>
      <c r="S64" s="42" t="s">
        <v>33</v>
      </c>
      <c r="T64" s="42" t="s">
        <v>34</v>
      </c>
      <c r="U64" s="42" t="s">
        <v>67</v>
      </c>
      <c r="V64" s="42" t="s">
        <v>208</v>
      </c>
      <c r="W64" s="42"/>
    </row>
    <row r="65" spans="1:23" ht="36" x14ac:dyDescent="0.25">
      <c r="A65" s="42" t="s">
        <v>375</v>
      </c>
      <c r="B65" s="42" t="s">
        <v>376</v>
      </c>
      <c r="C65" s="42" t="s">
        <v>387</v>
      </c>
      <c r="D65" s="43" t="s">
        <v>26</v>
      </c>
      <c r="E65" s="42" t="s">
        <v>388</v>
      </c>
      <c r="F65" s="42" t="s">
        <v>389</v>
      </c>
      <c r="G65" s="42" t="s">
        <v>390</v>
      </c>
      <c r="H65" s="42" t="s">
        <v>391</v>
      </c>
      <c r="I65" s="42" t="s">
        <v>108</v>
      </c>
      <c r="J65" s="42">
        <v>5</v>
      </c>
      <c r="K65" s="42">
        <v>2</v>
      </c>
      <c r="L65" s="44">
        <f t="shared" si="0"/>
        <v>0.83333333333333337</v>
      </c>
      <c r="M65" s="45">
        <v>0.6</v>
      </c>
      <c r="N65" s="45">
        <v>0</v>
      </c>
      <c r="O65" s="46">
        <f t="shared" si="1"/>
        <v>0.6</v>
      </c>
      <c r="P65" s="47">
        <f t="shared" si="2"/>
        <v>0.5</v>
      </c>
      <c r="Q65" s="42" t="s">
        <v>26</v>
      </c>
      <c r="R65" s="42" t="s">
        <v>33</v>
      </c>
      <c r="S65" s="42" t="s">
        <v>33</v>
      </c>
      <c r="T65" s="42" t="s">
        <v>34</v>
      </c>
      <c r="U65" s="42" t="s">
        <v>67</v>
      </c>
      <c r="V65" s="42" t="s">
        <v>208</v>
      </c>
      <c r="W65" s="42"/>
    </row>
    <row r="66" spans="1:23" ht="36" x14ac:dyDescent="0.25">
      <c r="A66" s="42" t="s">
        <v>375</v>
      </c>
      <c r="B66" s="42" t="s">
        <v>376</v>
      </c>
      <c r="C66" s="42" t="s">
        <v>392</v>
      </c>
      <c r="D66" s="48" t="s">
        <v>55</v>
      </c>
      <c r="E66" s="42" t="s">
        <v>393</v>
      </c>
      <c r="F66" s="42" t="s">
        <v>394</v>
      </c>
      <c r="G66" s="42" t="s">
        <v>395</v>
      </c>
      <c r="H66" s="42" t="s">
        <v>396</v>
      </c>
      <c r="I66" s="42" t="s">
        <v>108</v>
      </c>
      <c r="J66" s="42">
        <v>5</v>
      </c>
      <c r="K66" s="42">
        <v>2</v>
      </c>
      <c r="L66" s="44">
        <f t="shared" ref="L66:L129" si="3">J66/COUNTIF($B:$B,B66)</f>
        <v>0.83333333333333337</v>
      </c>
      <c r="M66" s="45">
        <v>0.5</v>
      </c>
      <c r="N66" s="45">
        <v>0</v>
      </c>
      <c r="O66" s="46">
        <f t="shared" ref="O66:O129" si="4">1-(1-M66)*(1-N66)</f>
        <v>0.5</v>
      </c>
      <c r="P66" s="47">
        <f t="shared" ref="P66:P129" si="5">L66*O66</f>
        <v>0.41666666666666669</v>
      </c>
      <c r="Q66" s="42" t="s">
        <v>55</v>
      </c>
      <c r="R66" s="42" t="s">
        <v>66</v>
      </c>
      <c r="S66" s="42" t="s">
        <v>32</v>
      </c>
      <c r="T66" s="42" t="s">
        <v>397</v>
      </c>
      <c r="U66" s="42" t="s">
        <v>42</v>
      </c>
      <c r="V66" s="42" t="s">
        <v>208</v>
      </c>
      <c r="W66" s="42"/>
    </row>
    <row r="67" spans="1:23" ht="36" x14ac:dyDescent="0.25">
      <c r="A67" s="42" t="s">
        <v>375</v>
      </c>
      <c r="B67" s="42" t="s">
        <v>376</v>
      </c>
      <c r="C67" s="42" t="s">
        <v>398</v>
      </c>
      <c r="D67" s="48" t="s">
        <v>55</v>
      </c>
      <c r="E67" s="42" t="s">
        <v>399</v>
      </c>
      <c r="F67" s="42" t="s">
        <v>400</v>
      </c>
      <c r="G67" s="42" t="s">
        <v>401</v>
      </c>
      <c r="H67" s="42" t="s">
        <v>402</v>
      </c>
      <c r="I67" s="42" t="s">
        <v>108</v>
      </c>
      <c r="J67" s="42">
        <v>5</v>
      </c>
      <c r="K67" s="42">
        <v>2</v>
      </c>
      <c r="L67" s="44">
        <f t="shared" si="3"/>
        <v>0.83333333333333337</v>
      </c>
      <c r="M67" s="45">
        <v>0.4</v>
      </c>
      <c r="N67" s="45">
        <v>0</v>
      </c>
      <c r="O67" s="46">
        <f t="shared" si="4"/>
        <v>0.4</v>
      </c>
      <c r="P67" s="47">
        <f t="shared" si="5"/>
        <v>0.33333333333333337</v>
      </c>
      <c r="Q67" s="42" t="s">
        <v>55</v>
      </c>
      <c r="R67" s="42" t="s">
        <v>66</v>
      </c>
      <c r="S67" s="42" t="s">
        <v>32</v>
      </c>
      <c r="T67" s="42" t="s">
        <v>403</v>
      </c>
      <c r="U67" s="42" t="s">
        <v>67</v>
      </c>
      <c r="V67" s="42" t="s">
        <v>208</v>
      </c>
      <c r="W67" s="42"/>
    </row>
    <row r="68" spans="1:23" ht="36" x14ac:dyDescent="0.25">
      <c r="A68" s="42" t="s">
        <v>375</v>
      </c>
      <c r="B68" s="42" t="s">
        <v>376</v>
      </c>
      <c r="C68" s="42" t="s">
        <v>404</v>
      </c>
      <c r="D68" s="43" t="s">
        <v>26</v>
      </c>
      <c r="E68" s="42" t="s">
        <v>405</v>
      </c>
      <c r="F68" s="42" t="s">
        <v>295</v>
      </c>
      <c r="G68" s="42" t="s">
        <v>406</v>
      </c>
      <c r="H68" s="42" t="s">
        <v>407</v>
      </c>
      <c r="I68" s="42" t="s">
        <v>108</v>
      </c>
      <c r="J68" s="42">
        <v>5</v>
      </c>
      <c r="K68" s="42">
        <v>2</v>
      </c>
      <c r="L68" s="44">
        <f t="shared" si="3"/>
        <v>0.83333333333333337</v>
      </c>
      <c r="M68" s="45">
        <v>0.6</v>
      </c>
      <c r="N68" s="45">
        <v>0</v>
      </c>
      <c r="O68" s="46">
        <f t="shared" si="4"/>
        <v>0.6</v>
      </c>
      <c r="P68" s="47">
        <f t="shared" si="5"/>
        <v>0.5</v>
      </c>
      <c r="Q68" s="42" t="s">
        <v>26</v>
      </c>
      <c r="R68" s="42" t="s">
        <v>32</v>
      </c>
      <c r="S68" s="42" t="s">
        <v>33</v>
      </c>
      <c r="T68" s="42" t="s">
        <v>34</v>
      </c>
      <c r="U68" s="42" t="s">
        <v>67</v>
      </c>
      <c r="V68" s="42" t="s">
        <v>208</v>
      </c>
      <c r="W68" s="42"/>
    </row>
    <row r="69" spans="1:23" ht="36" x14ac:dyDescent="0.25">
      <c r="A69" s="42" t="s">
        <v>375</v>
      </c>
      <c r="B69" s="42" t="s">
        <v>408</v>
      </c>
      <c r="C69" s="42" t="s">
        <v>409</v>
      </c>
      <c r="D69" s="48" t="s">
        <v>55</v>
      </c>
      <c r="E69" s="42" t="s">
        <v>410</v>
      </c>
      <c r="F69" s="42" t="s">
        <v>411</v>
      </c>
      <c r="G69" s="42" t="s">
        <v>412</v>
      </c>
      <c r="H69" s="42" t="s">
        <v>413</v>
      </c>
      <c r="I69" s="42" t="s">
        <v>108</v>
      </c>
      <c r="J69" s="42">
        <v>5</v>
      </c>
      <c r="K69" s="42">
        <v>1</v>
      </c>
      <c r="L69" s="44">
        <f t="shared" si="3"/>
        <v>0.83333333333333337</v>
      </c>
      <c r="M69" s="45">
        <v>0.4</v>
      </c>
      <c r="N69" s="45">
        <v>0</v>
      </c>
      <c r="O69" s="46">
        <f t="shared" si="4"/>
        <v>0.4</v>
      </c>
      <c r="P69" s="47">
        <f t="shared" si="5"/>
        <v>0.33333333333333337</v>
      </c>
      <c r="Q69" s="42" t="s">
        <v>55</v>
      </c>
      <c r="R69" s="42" t="s">
        <v>66</v>
      </c>
      <c r="S69" s="42" t="s">
        <v>32</v>
      </c>
      <c r="T69" s="42" t="s">
        <v>414</v>
      </c>
      <c r="U69" s="42" t="s">
        <v>67</v>
      </c>
      <c r="V69" s="42" t="s">
        <v>36</v>
      </c>
      <c r="W69" s="42"/>
    </row>
    <row r="70" spans="1:23" ht="36" x14ac:dyDescent="0.25">
      <c r="A70" s="42" t="s">
        <v>375</v>
      </c>
      <c r="B70" s="42" t="s">
        <v>408</v>
      </c>
      <c r="C70" s="42" t="s">
        <v>415</v>
      </c>
      <c r="D70" s="48" t="s">
        <v>55</v>
      </c>
      <c r="E70" s="42" t="s">
        <v>416</v>
      </c>
      <c r="F70" s="42" t="s">
        <v>417</v>
      </c>
      <c r="G70" s="42" t="s">
        <v>418</v>
      </c>
      <c r="H70" s="42" t="s">
        <v>419</v>
      </c>
      <c r="I70" s="42" t="s">
        <v>420</v>
      </c>
      <c r="J70" s="42">
        <v>5</v>
      </c>
      <c r="K70" s="42">
        <v>1</v>
      </c>
      <c r="L70" s="44">
        <f t="shared" si="3"/>
        <v>0.83333333333333337</v>
      </c>
      <c r="M70" s="45">
        <v>0.5</v>
      </c>
      <c r="N70" s="45">
        <v>0</v>
      </c>
      <c r="O70" s="46">
        <f t="shared" si="4"/>
        <v>0.5</v>
      </c>
      <c r="P70" s="47">
        <f t="shared" si="5"/>
        <v>0.41666666666666669</v>
      </c>
      <c r="Q70" s="42" t="s">
        <v>55</v>
      </c>
      <c r="R70" s="42" t="s">
        <v>66</v>
      </c>
      <c r="S70" s="42" t="s">
        <v>32</v>
      </c>
      <c r="T70" s="42" t="s">
        <v>421</v>
      </c>
      <c r="U70" s="42" t="s">
        <v>67</v>
      </c>
      <c r="V70" s="42" t="s">
        <v>36</v>
      </c>
      <c r="W70" s="42"/>
    </row>
    <row r="71" spans="1:23" ht="36" x14ac:dyDescent="0.25">
      <c r="A71" s="42" t="s">
        <v>375</v>
      </c>
      <c r="B71" s="42" t="s">
        <v>408</v>
      </c>
      <c r="C71" s="42" t="s">
        <v>422</v>
      </c>
      <c r="D71" s="48" t="s">
        <v>55</v>
      </c>
      <c r="E71" s="42" t="s">
        <v>423</v>
      </c>
      <c r="F71" s="42" t="s">
        <v>424</v>
      </c>
      <c r="G71" s="42" t="s">
        <v>425</v>
      </c>
      <c r="H71" s="42" t="s">
        <v>426</v>
      </c>
      <c r="I71" s="42" t="s">
        <v>427</v>
      </c>
      <c r="J71" s="42">
        <v>5</v>
      </c>
      <c r="K71" s="42">
        <v>1</v>
      </c>
      <c r="L71" s="44">
        <f t="shared" si="3"/>
        <v>0.83333333333333337</v>
      </c>
      <c r="M71" s="45">
        <v>0.5</v>
      </c>
      <c r="N71" s="45">
        <v>0</v>
      </c>
      <c r="O71" s="46">
        <f t="shared" si="4"/>
        <v>0.5</v>
      </c>
      <c r="P71" s="47">
        <f t="shared" si="5"/>
        <v>0.41666666666666669</v>
      </c>
      <c r="Q71" s="42" t="s">
        <v>55</v>
      </c>
      <c r="R71" s="42" t="s">
        <v>66</v>
      </c>
      <c r="S71" s="42" t="s">
        <v>32</v>
      </c>
      <c r="T71" s="42" t="s">
        <v>428</v>
      </c>
      <c r="U71" s="42" t="s">
        <v>67</v>
      </c>
      <c r="V71" s="42" t="s">
        <v>36</v>
      </c>
      <c r="W71" s="42"/>
    </row>
    <row r="72" spans="1:23" ht="36" x14ac:dyDescent="0.25">
      <c r="A72" s="42" t="s">
        <v>375</v>
      </c>
      <c r="B72" s="42" t="s">
        <v>408</v>
      </c>
      <c r="C72" s="42" t="s">
        <v>429</v>
      </c>
      <c r="D72" s="43" t="s">
        <v>26</v>
      </c>
      <c r="E72" s="42" t="s">
        <v>430</v>
      </c>
      <c r="F72" s="42" t="s">
        <v>431</v>
      </c>
      <c r="G72" s="42" t="s">
        <v>432</v>
      </c>
      <c r="H72" s="42" t="s">
        <v>433</v>
      </c>
      <c r="I72" s="42" t="s">
        <v>108</v>
      </c>
      <c r="J72" s="42">
        <v>5</v>
      </c>
      <c r="K72" s="42">
        <v>1</v>
      </c>
      <c r="L72" s="44">
        <f t="shared" si="3"/>
        <v>0.83333333333333337</v>
      </c>
      <c r="M72" s="45">
        <v>0.5</v>
      </c>
      <c r="N72" s="45">
        <v>0</v>
      </c>
      <c r="O72" s="46">
        <f t="shared" si="4"/>
        <v>0.5</v>
      </c>
      <c r="P72" s="47">
        <f t="shared" si="5"/>
        <v>0.41666666666666669</v>
      </c>
      <c r="Q72" s="42" t="s">
        <v>26</v>
      </c>
      <c r="R72" s="42" t="s">
        <v>33</v>
      </c>
      <c r="S72" s="42" t="s">
        <v>33</v>
      </c>
      <c r="T72" s="42" t="s">
        <v>34</v>
      </c>
      <c r="U72" s="42" t="s">
        <v>67</v>
      </c>
      <c r="V72" s="42" t="s">
        <v>36</v>
      </c>
      <c r="W72" s="42"/>
    </row>
    <row r="73" spans="1:23" ht="36" x14ac:dyDescent="0.25">
      <c r="A73" s="42" t="s">
        <v>375</v>
      </c>
      <c r="B73" s="42" t="s">
        <v>408</v>
      </c>
      <c r="C73" s="42" t="s">
        <v>434</v>
      </c>
      <c r="D73" s="48" t="s">
        <v>55</v>
      </c>
      <c r="E73" s="42" t="s">
        <v>435</v>
      </c>
      <c r="F73" s="42" t="s">
        <v>436</v>
      </c>
      <c r="G73" s="42" t="s">
        <v>437</v>
      </c>
      <c r="H73" s="42" t="s">
        <v>438</v>
      </c>
      <c r="I73" s="42" t="s">
        <v>108</v>
      </c>
      <c r="J73" s="42">
        <v>5</v>
      </c>
      <c r="K73" s="42">
        <v>1</v>
      </c>
      <c r="L73" s="44">
        <f t="shared" si="3"/>
        <v>0.83333333333333337</v>
      </c>
      <c r="M73" s="45">
        <v>0.5</v>
      </c>
      <c r="N73" s="45">
        <v>0</v>
      </c>
      <c r="O73" s="46">
        <f t="shared" si="4"/>
        <v>0.5</v>
      </c>
      <c r="P73" s="47">
        <f t="shared" si="5"/>
        <v>0.41666666666666669</v>
      </c>
      <c r="Q73" s="42" t="s">
        <v>55</v>
      </c>
      <c r="R73" s="42" t="s">
        <v>66</v>
      </c>
      <c r="S73" s="42" t="s">
        <v>32</v>
      </c>
      <c r="T73" s="42" t="s">
        <v>60</v>
      </c>
      <c r="U73" s="42" t="s">
        <v>67</v>
      </c>
      <c r="V73" s="42" t="s">
        <v>36</v>
      </c>
      <c r="W73" s="42"/>
    </row>
    <row r="74" spans="1:23" ht="36" x14ac:dyDescent="0.25">
      <c r="A74" s="42" t="s">
        <v>375</v>
      </c>
      <c r="B74" s="42" t="s">
        <v>408</v>
      </c>
      <c r="C74" s="42" t="s">
        <v>439</v>
      </c>
      <c r="D74" s="48" t="s">
        <v>55</v>
      </c>
      <c r="E74" s="42" t="s">
        <v>440</v>
      </c>
      <c r="F74" s="42" t="s">
        <v>441</v>
      </c>
      <c r="G74" s="42" t="s">
        <v>442</v>
      </c>
      <c r="H74" s="42" t="s">
        <v>443</v>
      </c>
      <c r="I74" s="42" t="s">
        <v>108</v>
      </c>
      <c r="J74" s="42">
        <v>5</v>
      </c>
      <c r="K74" s="42">
        <v>1</v>
      </c>
      <c r="L74" s="44">
        <f t="shared" si="3"/>
        <v>0.83333333333333337</v>
      </c>
      <c r="M74" s="45">
        <v>0.5</v>
      </c>
      <c r="N74" s="45">
        <v>0</v>
      </c>
      <c r="O74" s="46">
        <f t="shared" si="4"/>
        <v>0.5</v>
      </c>
      <c r="P74" s="47">
        <f t="shared" si="5"/>
        <v>0.41666666666666669</v>
      </c>
      <c r="Q74" s="42" t="s">
        <v>26</v>
      </c>
      <c r="R74" s="42" t="s">
        <v>66</v>
      </c>
      <c r="S74" s="42" t="s">
        <v>32</v>
      </c>
      <c r="T74" s="42" t="s">
        <v>60</v>
      </c>
      <c r="U74" s="42" t="s">
        <v>67</v>
      </c>
      <c r="V74" s="42" t="s">
        <v>36</v>
      </c>
      <c r="W74" s="42"/>
    </row>
    <row r="75" spans="1:23" ht="36" x14ac:dyDescent="0.25">
      <c r="A75" s="42" t="s">
        <v>375</v>
      </c>
      <c r="B75" s="42" t="s">
        <v>444</v>
      </c>
      <c r="C75" s="42" t="s">
        <v>445</v>
      </c>
      <c r="D75" s="48" t="s">
        <v>55</v>
      </c>
      <c r="E75" s="42" t="s">
        <v>446</v>
      </c>
      <c r="F75" s="42" t="s">
        <v>447</v>
      </c>
      <c r="G75" s="42" t="s">
        <v>448</v>
      </c>
      <c r="H75" s="42" t="s">
        <v>449</v>
      </c>
      <c r="I75" s="42" t="s">
        <v>108</v>
      </c>
      <c r="J75" s="42">
        <v>45</v>
      </c>
      <c r="K75" s="42">
        <v>3</v>
      </c>
      <c r="L75" s="44">
        <f t="shared" si="3"/>
        <v>5</v>
      </c>
      <c r="M75" s="45">
        <v>0.5</v>
      </c>
      <c r="N75" s="50">
        <v>0.25</v>
      </c>
      <c r="O75" s="46">
        <f t="shared" si="4"/>
        <v>0.625</v>
      </c>
      <c r="P75" s="47">
        <f t="shared" si="5"/>
        <v>3.125</v>
      </c>
      <c r="Q75" s="42" t="s">
        <v>55</v>
      </c>
      <c r="R75" s="42" t="s">
        <v>32</v>
      </c>
      <c r="S75" s="42" t="s">
        <v>32</v>
      </c>
      <c r="T75" s="42" t="s">
        <v>60</v>
      </c>
      <c r="U75" s="42" t="s">
        <v>67</v>
      </c>
      <c r="V75" s="42" t="s">
        <v>166</v>
      </c>
      <c r="W75" s="42"/>
    </row>
    <row r="76" spans="1:23" ht="36" x14ac:dyDescent="0.25">
      <c r="A76" s="42" t="s">
        <v>375</v>
      </c>
      <c r="B76" s="42" t="s">
        <v>444</v>
      </c>
      <c r="C76" s="42" t="s">
        <v>450</v>
      </c>
      <c r="D76" s="48" t="s">
        <v>55</v>
      </c>
      <c r="E76" s="42" t="s">
        <v>451</v>
      </c>
      <c r="F76" s="42" t="s">
        <v>452</v>
      </c>
      <c r="G76" s="42" t="s">
        <v>448</v>
      </c>
      <c r="H76" s="42" t="s">
        <v>449</v>
      </c>
      <c r="I76" s="42" t="s">
        <v>108</v>
      </c>
      <c r="J76" s="42">
        <v>45</v>
      </c>
      <c r="K76" s="42">
        <v>3</v>
      </c>
      <c r="L76" s="44">
        <f t="shared" si="3"/>
        <v>5</v>
      </c>
      <c r="M76" s="45">
        <v>0.35</v>
      </c>
      <c r="N76" s="50">
        <v>0.25</v>
      </c>
      <c r="O76" s="46">
        <f t="shared" si="4"/>
        <v>0.51249999999999996</v>
      </c>
      <c r="P76" s="47">
        <f t="shared" si="5"/>
        <v>2.5625</v>
      </c>
      <c r="Q76" s="42" t="s">
        <v>55</v>
      </c>
      <c r="R76" s="42" t="s">
        <v>32</v>
      </c>
      <c r="S76" s="42" t="s">
        <v>32</v>
      </c>
      <c r="T76" s="42" t="s">
        <v>60</v>
      </c>
      <c r="U76" s="42" t="s">
        <v>67</v>
      </c>
      <c r="V76" s="42" t="s">
        <v>166</v>
      </c>
      <c r="W76" s="42"/>
    </row>
    <row r="77" spans="1:23" ht="36" x14ac:dyDescent="0.25">
      <c r="A77" s="42" t="s">
        <v>375</v>
      </c>
      <c r="B77" s="42" t="s">
        <v>444</v>
      </c>
      <c r="C77" s="42" t="s">
        <v>453</v>
      </c>
      <c r="D77" s="48" t="s">
        <v>55</v>
      </c>
      <c r="E77" s="42" t="s">
        <v>454</v>
      </c>
      <c r="F77" s="42" t="s">
        <v>447</v>
      </c>
      <c r="G77" s="42" t="s">
        <v>448</v>
      </c>
      <c r="H77" s="42" t="s">
        <v>449</v>
      </c>
      <c r="I77" s="42" t="s">
        <v>108</v>
      </c>
      <c r="J77" s="42">
        <v>45</v>
      </c>
      <c r="K77" s="42">
        <v>3</v>
      </c>
      <c r="L77" s="44">
        <f t="shared" si="3"/>
        <v>5</v>
      </c>
      <c r="M77" s="45">
        <v>0.35</v>
      </c>
      <c r="N77" s="50">
        <v>0.25</v>
      </c>
      <c r="O77" s="46">
        <f t="shared" si="4"/>
        <v>0.51249999999999996</v>
      </c>
      <c r="P77" s="47">
        <f t="shared" si="5"/>
        <v>2.5625</v>
      </c>
      <c r="Q77" s="42" t="s">
        <v>55</v>
      </c>
      <c r="R77" s="42" t="s">
        <v>32</v>
      </c>
      <c r="S77" s="42" t="s">
        <v>32</v>
      </c>
      <c r="T77" s="42" t="s">
        <v>60</v>
      </c>
      <c r="U77" s="42" t="s">
        <v>67</v>
      </c>
      <c r="V77" s="42" t="s">
        <v>166</v>
      </c>
      <c r="W77" s="42"/>
    </row>
    <row r="78" spans="1:23" ht="36" x14ac:dyDescent="0.25">
      <c r="A78" s="42" t="s">
        <v>375</v>
      </c>
      <c r="B78" s="42" t="s">
        <v>444</v>
      </c>
      <c r="C78" s="42" t="s">
        <v>455</v>
      </c>
      <c r="D78" s="48" t="s">
        <v>55</v>
      </c>
      <c r="E78" s="42" t="s">
        <v>456</v>
      </c>
      <c r="F78" s="42" t="s">
        <v>452</v>
      </c>
      <c r="G78" s="42" t="s">
        <v>448</v>
      </c>
      <c r="H78" s="42" t="s">
        <v>449</v>
      </c>
      <c r="I78" s="42" t="s">
        <v>108</v>
      </c>
      <c r="J78" s="42">
        <v>45</v>
      </c>
      <c r="K78" s="42">
        <v>3</v>
      </c>
      <c r="L78" s="44">
        <f t="shared" si="3"/>
        <v>5</v>
      </c>
      <c r="M78" s="45">
        <v>0.35</v>
      </c>
      <c r="N78" s="50">
        <v>0.25</v>
      </c>
      <c r="O78" s="46">
        <f t="shared" si="4"/>
        <v>0.51249999999999996</v>
      </c>
      <c r="P78" s="47">
        <f t="shared" si="5"/>
        <v>2.5625</v>
      </c>
      <c r="Q78" s="42" t="s">
        <v>55</v>
      </c>
      <c r="R78" s="42" t="s">
        <v>32</v>
      </c>
      <c r="S78" s="42" t="s">
        <v>32</v>
      </c>
      <c r="T78" s="42" t="s">
        <v>60</v>
      </c>
      <c r="U78" s="42" t="s">
        <v>67</v>
      </c>
      <c r="V78" s="42" t="s">
        <v>166</v>
      </c>
      <c r="W78" s="42"/>
    </row>
    <row r="79" spans="1:23" ht="36" x14ac:dyDescent="0.25">
      <c r="A79" s="42" t="s">
        <v>375</v>
      </c>
      <c r="B79" s="42" t="s">
        <v>444</v>
      </c>
      <c r="C79" s="42" t="s">
        <v>457</v>
      </c>
      <c r="D79" s="48" t="s">
        <v>55</v>
      </c>
      <c r="E79" s="42" t="s">
        <v>458</v>
      </c>
      <c r="F79" s="42" t="s">
        <v>452</v>
      </c>
      <c r="G79" s="42" t="s">
        <v>448</v>
      </c>
      <c r="H79" s="42" t="s">
        <v>449</v>
      </c>
      <c r="I79" s="42" t="s">
        <v>108</v>
      </c>
      <c r="J79" s="42">
        <v>45</v>
      </c>
      <c r="K79" s="42">
        <v>3</v>
      </c>
      <c r="L79" s="44">
        <f t="shared" si="3"/>
        <v>5</v>
      </c>
      <c r="M79" s="45">
        <v>0.35</v>
      </c>
      <c r="N79" s="50">
        <v>0.25</v>
      </c>
      <c r="O79" s="46">
        <f t="shared" si="4"/>
        <v>0.51249999999999996</v>
      </c>
      <c r="P79" s="47">
        <f t="shared" si="5"/>
        <v>2.5625</v>
      </c>
      <c r="Q79" s="42" t="s">
        <v>55</v>
      </c>
      <c r="R79" s="42" t="s">
        <v>32</v>
      </c>
      <c r="S79" s="42" t="s">
        <v>32</v>
      </c>
      <c r="T79" s="42" t="s">
        <v>60</v>
      </c>
      <c r="U79" s="42" t="s">
        <v>67</v>
      </c>
      <c r="V79" s="42" t="s">
        <v>166</v>
      </c>
      <c r="W79" s="42"/>
    </row>
    <row r="80" spans="1:23" ht="36" x14ac:dyDescent="0.25">
      <c r="A80" s="42" t="s">
        <v>375</v>
      </c>
      <c r="B80" s="42" t="s">
        <v>444</v>
      </c>
      <c r="C80" s="42" t="s">
        <v>459</v>
      </c>
      <c r="D80" s="49" t="s">
        <v>66</v>
      </c>
      <c r="E80" s="42" t="s">
        <v>460</v>
      </c>
      <c r="F80" s="42" t="s">
        <v>461</v>
      </c>
      <c r="G80" s="42" t="s">
        <v>448</v>
      </c>
      <c r="H80" s="42" t="s">
        <v>462</v>
      </c>
      <c r="I80" s="42" t="s">
        <v>108</v>
      </c>
      <c r="J80" s="42">
        <v>45</v>
      </c>
      <c r="K80" s="42">
        <v>3</v>
      </c>
      <c r="L80" s="44">
        <f t="shared" si="3"/>
        <v>5</v>
      </c>
      <c r="M80" s="45">
        <v>0.35</v>
      </c>
      <c r="N80" s="50">
        <v>0.25</v>
      </c>
      <c r="O80" s="46">
        <f t="shared" si="4"/>
        <v>0.51249999999999996</v>
      </c>
      <c r="P80" s="47">
        <f t="shared" si="5"/>
        <v>2.5625</v>
      </c>
      <c r="Q80" s="42" t="s">
        <v>66</v>
      </c>
      <c r="R80" s="42" t="s">
        <v>66</v>
      </c>
      <c r="S80" s="42" t="s">
        <v>66</v>
      </c>
      <c r="T80" s="42" t="s">
        <v>463</v>
      </c>
      <c r="U80" s="42" t="s">
        <v>67</v>
      </c>
      <c r="V80" s="42" t="s">
        <v>166</v>
      </c>
      <c r="W80" s="42"/>
    </row>
    <row r="81" spans="1:23" ht="24" x14ac:dyDescent="0.25">
      <c r="A81" s="42" t="s">
        <v>375</v>
      </c>
      <c r="B81" s="42" t="s">
        <v>444</v>
      </c>
      <c r="C81" s="42" t="s">
        <v>464</v>
      </c>
      <c r="D81" s="49" t="s">
        <v>66</v>
      </c>
      <c r="E81" s="42" t="s">
        <v>465</v>
      </c>
      <c r="F81" s="42" t="s">
        <v>461</v>
      </c>
      <c r="G81" s="42" t="s">
        <v>448</v>
      </c>
      <c r="H81" s="42" t="s">
        <v>462</v>
      </c>
      <c r="I81" s="42" t="s">
        <v>108</v>
      </c>
      <c r="J81" s="42">
        <v>45</v>
      </c>
      <c r="K81" s="42">
        <v>3</v>
      </c>
      <c r="L81" s="44">
        <f t="shared" si="3"/>
        <v>5</v>
      </c>
      <c r="M81" s="45">
        <v>0.35</v>
      </c>
      <c r="N81" s="50">
        <v>0.25</v>
      </c>
      <c r="O81" s="46">
        <f t="shared" si="4"/>
        <v>0.51249999999999996</v>
      </c>
      <c r="P81" s="47">
        <f t="shared" si="5"/>
        <v>2.5625</v>
      </c>
      <c r="Q81" s="42" t="s">
        <v>66</v>
      </c>
      <c r="R81" s="42" t="s">
        <v>66</v>
      </c>
      <c r="S81" s="42" t="s">
        <v>66</v>
      </c>
      <c r="T81" s="42" t="s">
        <v>463</v>
      </c>
      <c r="U81" s="42" t="s">
        <v>67</v>
      </c>
      <c r="V81" s="42" t="s">
        <v>166</v>
      </c>
      <c r="W81" s="42"/>
    </row>
    <row r="82" spans="1:23" ht="24" x14ac:dyDescent="0.25">
      <c r="A82" s="42" t="s">
        <v>375</v>
      </c>
      <c r="B82" s="42" t="s">
        <v>444</v>
      </c>
      <c r="C82" s="42" t="s">
        <v>466</v>
      </c>
      <c r="D82" s="49" t="s">
        <v>66</v>
      </c>
      <c r="E82" s="42" t="s">
        <v>467</v>
      </c>
      <c r="F82" s="42" t="s">
        <v>468</v>
      </c>
      <c r="G82" s="42" t="s">
        <v>448</v>
      </c>
      <c r="H82" s="42" t="s">
        <v>462</v>
      </c>
      <c r="I82" s="42" t="s">
        <v>108</v>
      </c>
      <c r="J82" s="42">
        <v>45</v>
      </c>
      <c r="K82" s="42">
        <v>3</v>
      </c>
      <c r="L82" s="44">
        <f t="shared" si="3"/>
        <v>5</v>
      </c>
      <c r="M82" s="45">
        <v>0.35</v>
      </c>
      <c r="N82" s="50">
        <v>0.25</v>
      </c>
      <c r="O82" s="46">
        <f t="shared" si="4"/>
        <v>0.51249999999999996</v>
      </c>
      <c r="P82" s="47">
        <f t="shared" si="5"/>
        <v>2.5625</v>
      </c>
      <c r="Q82" s="42" t="s">
        <v>66</v>
      </c>
      <c r="R82" s="42" t="s">
        <v>66</v>
      </c>
      <c r="S82" s="42" t="s">
        <v>66</v>
      </c>
      <c r="T82" s="42" t="s">
        <v>469</v>
      </c>
      <c r="U82" s="42" t="s">
        <v>67</v>
      </c>
      <c r="V82" s="42" t="s">
        <v>166</v>
      </c>
      <c r="W82" s="42"/>
    </row>
    <row r="83" spans="1:23" ht="36" x14ac:dyDescent="0.25">
      <c r="A83" s="42" t="s">
        <v>375</v>
      </c>
      <c r="B83" s="42" t="s">
        <v>444</v>
      </c>
      <c r="C83" s="42" t="s">
        <v>470</v>
      </c>
      <c r="D83" s="49" t="s">
        <v>66</v>
      </c>
      <c r="E83" s="42" t="s">
        <v>471</v>
      </c>
      <c r="F83" s="42" t="s">
        <v>472</v>
      </c>
      <c r="G83" s="42" t="s">
        <v>448</v>
      </c>
      <c r="H83" s="42" t="s">
        <v>462</v>
      </c>
      <c r="I83" s="42" t="s">
        <v>108</v>
      </c>
      <c r="J83" s="42">
        <v>45</v>
      </c>
      <c r="K83" s="42">
        <v>3</v>
      </c>
      <c r="L83" s="44">
        <f t="shared" si="3"/>
        <v>5</v>
      </c>
      <c r="M83" s="45">
        <v>0.35</v>
      </c>
      <c r="N83" s="50">
        <v>0.25</v>
      </c>
      <c r="O83" s="46">
        <f t="shared" si="4"/>
        <v>0.51249999999999996</v>
      </c>
      <c r="P83" s="47">
        <f t="shared" si="5"/>
        <v>2.5625</v>
      </c>
      <c r="Q83" s="42" t="s">
        <v>67</v>
      </c>
      <c r="R83" s="42" t="s">
        <v>66</v>
      </c>
      <c r="S83" s="42" t="s">
        <v>66</v>
      </c>
      <c r="T83" s="42" t="s">
        <v>473</v>
      </c>
      <c r="U83" s="42" t="s">
        <v>67</v>
      </c>
      <c r="V83" s="42" t="s">
        <v>166</v>
      </c>
      <c r="W83" s="42"/>
    </row>
    <row r="84" spans="1:23" ht="36" x14ac:dyDescent="0.25">
      <c r="A84" s="42" t="s">
        <v>375</v>
      </c>
      <c r="B84" s="42" t="s">
        <v>474</v>
      </c>
      <c r="C84" s="42" t="s">
        <v>475</v>
      </c>
      <c r="D84" s="48" t="s">
        <v>55</v>
      </c>
      <c r="E84" s="42" t="s">
        <v>476</v>
      </c>
      <c r="F84" s="42" t="s">
        <v>452</v>
      </c>
      <c r="G84" s="42" t="s">
        <v>477</v>
      </c>
      <c r="H84" s="42" t="s">
        <v>449</v>
      </c>
      <c r="I84" s="42" t="s">
        <v>108</v>
      </c>
      <c r="J84" s="42">
        <v>30</v>
      </c>
      <c r="K84" s="42">
        <v>3</v>
      </c>
      <c r="L84" s="44">
        <f t="shared" si="3"/>
        <v>5</v>
      </c>
      <c r="M84" s="45">
        <v>0.35</v>
      </c>
      <c r="N84" s="50">
        <v>0.25</v>
      </c>
      <c r="O84" s="46">
        <f t="shared" si="4"/>
        <v>0.51249999999999996</v>
      </c>
      <c r="P84" s="47">
        <f t="shared" si="5"/>
        <v>2.5625</v>
      </c>
      <c r="Q84" s="42" t="s">
        <v>55</v>
      </c>
      <c r="R84" s="42" t="s">
        <v>32</v>
      </c>
      <c r="S84" s="42" t="s">
        <v>32</v>
      </c>
      <c r="T84" s="42" t="s">
        <v>60</v>
      </c>
      <c r="U84" s="42" t="s">
        <v>67</v>
      </c>
      <c r="V84" s="42" t="s">
        <v>166</v>
      </c>
      <c r="W84" s="42"/>
    </row>
    <row r="85" spans="1:23" ht="36" x14ac:dyDescent="0.25">
      <c r="A85" s="42" t="s">
        <v>375</v>
      </c>
      <c r="B85" s="42" t="s">
        <v>474</v>
      </c>
      <c r="C85" s="42" t="s">
        <v>478</v>
      </c>
      <c r="D85" s="48" t="s">
        <v>55</v>
      </c>
      <c r="E85" s="42" t="s">
        <v>479</v>
      </c>
      <c r="F85" s="42" t="s">
        <v>452</v>
      </c>
      <c r="G85" s="42" t="s">
        <v>477</v>
      </c>
      <c r="H85" s="42" t="s">
        <v>449</v>
      </c>
      <c r="I85" s="42" t="s">
        <v>108</v>
      </c>
      <c r="J85" s="42">
        <v>30</v>
      </c>
      <c r="K85" s="42">
        <v>3</v>
      </c>
      <c r="L85" s="44">
        <f t="shared" si="3"/>
        <v>5</v>
      </c>
      <c r="M85" s="45">
        <v>0.35</v>
      </c>
      <c r="N85" s="50">
        <v>0.25</v>
      </c>
      <c r="O85" s="46">
        <f t="shared" si="4"/>
        <v>0.51249999999999996</v>
      </c>
      <c r="P85" s="47">
        <f t="shared" si="5"/>
        <v>2.5625</v>
      </c>
      <c r="Q85" s="42" t="s">
        <v>55</v>
      </c>
      <c r="R85" s="42" t="s">
        <v>32</v>
      </c>
      <c r="S85" s="42" t="s">
        <v>32</v>
      </c>
      <c r="T85" s="42" t="s">
        <v>60</v>
      </c>
      <c r="U85" s="42" t="s">
        <v>67</v>
      </c>
      <c r="V85" s="42" t="s">
        <v>166</v>
      </c>
      <c r="W85" s="42"/>
    </row>
    <row r="86" spans="1:23" ht="36" x14ac:dyDescent="0.25">
      <c r="A86" s="42" t="s">
        <v>375</v>
      </c>
      <c r="B86" s="42" t="s">
        <v>474</v>
      </c>
      <c r="C86" s="42" t="s">
        <v>480</v>
      </c>
      <c r="D86" s="48" t="s">
        <v>55</v>
      </c>
      <c r="E86" s="42" t="s">
        <v>481</v>
      </c>
      <c r="F86" s="42" t="s">
        <v>452</v>
      </c>
      <c r="G86" s="42" t="s">
        <v>477</v>
      </c>
      <c r="H86" s="42" t="s">
        <v>449</v>
      </c>
      <c r="I86" s="42" t="s">
        <v>108</v>
      </c>
      <c r="J86" s="42">
        <v>30</v>
      </c>
      <c r="K86" s="42">
        <v>3</v>
      </c>
      <c r="L86" s="44">
        <f t="shared" si="3"/>
        <v>5</v>
      </c>
      <c r="M86" s="45">
        <v>0.35</v>
      </c>
      <c r="N86" s="50">
        <v>0.25</v>
      </c>
      <c r="O86" s="46">
        <f t="shared" si="4"/>
        <v>0.51249999999999996</v>
      </c>
      <c r="P86" s="47">
        <f t="shared" si="5"/>
        <v>2.5625</v>
      </c>
      <c r="Q86" s="42" t="s">
        <v>55</v>
      </c>
      <c r="R86" s="42" t="s">
        <v>32</v>
      </c>
      <c r="S86" s="42" t="s">
        <v>32</v>
      </c>
      <c r="T86" s="42" t="s">
        <v>60</v>
      </c>
      <c r="U86" s="42" t="s">
        <v>67</v>
      </c>
      <c r="V86" s="42" t="s">
        <v>166</v>
      </c>
      <c r="W86" s="42"/>
    </row>
    <row r="87" spans="1:23" ht="36" x14ac:dyDescent="0.25">
      <c r="A87" s="42" t="s">
        <v>375</v>
      </c>
      <c r="B87" s="42" t="s">
        <v>474</v>
      </c>
      <c r="C87" s="42" t="s">
        <v>482</v>
      </c>
      <c r="D87" s="48" t="s">
        <v>55</v>
      </c>
      <c r="E87" s="42" t="s">
        <v>483</v>
      </c>
      <c r="F87" s="42" t="s">
        <v>484</v>
      </c>
      <c r="G87" s="42" t="s">
        <v>477</v>
      </c>
      <c r="H87" s="42" t="s">
        <v>449</v>
      </c>
      <c r="I87" s="42" t="s">
        <v>108</v>
      </c>
      <c r="J87" s="42">
        <v>30</v>
      </c>
      <c r="K87" s="42">
        <v>3</v>
      </c>
      <c r="L87" s="44">
        <f t="shared" si="3"/>
        <v>5</v>
      </c>
      <c r="M87" s="45">
        <v>0.35</v>
      </c>
      <c r="N87" s="50">
        <v>0.25</v>
      </c>
      <c r="O87" s="46">
        <f t="shared" si="4"/>
        <v>0.51249999999999996</v>
      </c>
      <c r="P87" s="47">
        <f t="shared" si="5"/>
        <v>2.5625</v>
      </c>
      <c r="Q87" s="42" t="s">
        <v>55</v>
      </c>
      <c r="R87" s="42" t="s">
        <v>32</v>
      </c>
      <c r="S87" s="42" t="s">
        <v>32</v>
      </c>
      <c r="T87" s="42" t="s">
        <v>60</v>
      </c>
      <c r="U87" s="42" t="s">
        <v>67</v>
      </c>
      <c r="V87" s="42" t="s">
        <v>166</v>
      </c>
      <c r="W87" s="42"/>
    </row>
    <row r="88" spans="1:23" ht="36" x14ac:dyDescent="0.25">
      <c r="A88" s="42" t="s">
        <v>375</v>
      </c>
      <c r="B88" s="42" t="s">
        <v>474</v>
      </c>
      <c r="C88" s="42" t="s">
        <v>485</v>
      </c>
      <c r="D88" s="49" t="s">
        <v>66</v>
      </c>
      <c r="E88" s="42" t="s">
        <v>486</v>
      </c>
      <c r="F88" s="42" t="s">
        <v>468</v>
      </c>
      <c r="G88" s="42" t="s">
        <v>477</v>
      </c>
      <c r="H88" s="42" t="s">
        <v>462</v>
      </c>
      <c r="I88" s="42" t="s">
        <v>108</v>
      </c>
      <c r="J88" s="42">
        <v>30</v>
      </c>
      <c r="K88" s="42">
        <v>3</v>
      </c>
      <c r="L88" s="44">
        <f t="shared" si="3"/>
        <v>5</v>
      </c>
      <c r="M88" s="45">
        <v>0.1</v>
      </c>
      <c r="N88" s="50">
        <v>0.25</v>
      </c>
      <c r="O88" s="46">
        <f t="shared" si="4"/>
        <v>0.32499999999999996</v>
      </c>
      <c r="P88" s="47">
        <f t="shared" si="5"/>
        <v>1.6249999999999998</v>
      </c>
      <c r="Q88" s="42" t="s">
        <v>66</v>
      </c>
      <c r="R88" s="42" t="s">
        <v>66</v>
      </c>
      <c r="S88" s="42" t="s">
        <v>66</v>
      </c>
      <c r="T88" s="42" t="s">
        <v>469</v>
      </c>
      <c r="U88" s="42" t="s">
        <v>67</v>
      </c>
      <c r="V88" s="42" t="s">
        <v>166</v>
      </c>
      <c r="W88" s="42"/>
    </row>
    <row r="89" spans="1:23" ht="36" x14ac:dyDescent="0.25">
      <c r="A89" s="42" t="s">
        <v>375</v>
      </c>
      <c r="B89" s="42" t="s">
        <v>474</v>
      </c>
      <c r="C89" s="42" t="s">
        <v>487</v>
      </c>
      <c r="D89" s="49" t="s">
        <v>66</v>
      </c>
      <c r="E89" s="42" t="s">
        <v>488</v>
      </c>
      <c r="F89" s="42" t="s">
        <v>468</v>
      </c>
      <c r="G89" s="42" t="s">
        <v>477</v>
      </c>
      <c r="H89" s="42" t="s">
        <v>462</v>
      </c>
      <c r="I89" s="42" t="s">
        <v>108</v>
      </c>
      <c r="J89" s="42">
        <v>30</v>
      </c>
      <c r="K89" s="42">
        <v>3</v>
      </c>
      <c r="L89" s="44">
        <f t="shared" si="3"/>
        <v>5</v>
      </c>
      <c r="M89" s="45">
        <v>0.1</v>
      </c>
      <c r="N89" s="50">
        <v>0.25</v>
      </c>
      <c r="O89" s="46">
        <f t="shared" si="4"/>
        <v>0.32499999999999996</v>
      </c>
      <c r="P89" s="47">
        <f t="shared" si="5"/>
        <v>1.6249999999999998</v>
      </c>
      <c r="Q89" s="42" t="s">
        <v>67</v>
      </c>
      <c r="R89" s="42" t="s">
        <v>66</v>
      </c>
      <c r="S89" s="42" t="s">
        <v>66</v>
      </c>
      <c r="T89" s="42" t="s">
        <v>469</v>
      </c>
      <c r="U89" s="42" t="s">
        <v>67</v>
      </c>
      <c r="V89" s="42" t="s">
        <v>166</v>
      </c>
      <c r="W89" s="42"/>
    </row>
    <row r="90" spans="1:23" ht="36" x14ac:dyDescent="0.25">
      <c r="A90" s="42" t="s">
        <v>375</v>
      </c>
      <c r="B90" s="42" t="s">
        <v>489</v>
      </c>
      <c r="C90" s="42" t="s">
        <v>490</v>
      </c>
      <c r="D90" s="43" t="s">
        <v>26</v>
      </c>
      <c r="E90" s="42" t="s">
        <v>491</v>
      </c>
      <c r="F90" s="42" t="s">
        <v>492</v>
      </c>
      <c r="G90" s="42" t="s">
        <v>493</v>
      </c>
      <c r="H90" s="42" t="s">
        <v>494</v>
      </c>
      <c r="I90" s="42" t="s">
        <v>427</v>
      </c>
      <c r="J90" s="42">
        <v>20</v>
      </c>
      <c r="K90" s="42">
        <v>2</v>
      </c>
      <c r="L90" s="44">
        <f t="shared" si="3"/>
        <v>3.3333333333333335</v>
      </c>
      <c r="M90" s="45">
        <v>0.6</v>
      </c>
      <c r="N90" s="50">
        <v>0.25</v>
      </c>
      <c r="O90" s="46">
        <f t="shared" si="4"/>
        <v>0.7</v>
      </c>
      <c r="P90" s="47">
        <f t="shared" si="5"/>
        <v>2.3333333333333335</v>
      </c>
      <c r="Q90" s="42" t="s">
        <v>55</v>
      </c>
      <c r="R90" s="42" t="s">
        <v>32</v>
      </c>
      <c r="S90" s="42" t="s">
        <v>33</v>
      </c>
      <c r="T90" s="42" t="s">
        <v>34</v>
      </c>
      <c r="U90" s="42" t="s">
        <v>67</v>
      </c>
      <c r="V90" s="42" t="s">
        <v>166</v>
      </c>
      <c r="W90" s="42"/>
    </row>
    <row r="91" spans="1:23" ht="36" x14ac:dyDescent="0.25">
      <c r="A91" s="42" t="s">
        <v>375</v>
      </c>
      <c r="B91" s="42" t="s">
        <v>489</v>
      </c>
      <c r="C91" s="42" t="s">
        <v>495</v>
      </c>
      <c r="D91" s="48" t="s">
        <v>55</v>
      </c>
      <c r="E91" s="42" t="s">
        <v>496</v>
      </c>
      <c r="F91" s="42" t="s">
        <v>497</v>
      </c>
      <c r="G91" s="42" t="s">
        <v>493</v>
      </c>
      <c r="H91" s="42" t="s">
        <v>449</v>
      </c>
      <c r="I91" s="42" t="s">
        <v>427</v>
      </c>
      <c r="J91" s="42">
        <v>20</v>
      </c>
      <c r="K91" s="42">
        <v>2</v>
      </c>
      <c r="L91" s="44">
        <f t="shared" si="3"/>
        <v>3.3333333333333335</v>
      </c>
      <c r="M91" s="45">
        <v>0.35</v>
      </c>
      <c r="N91" s="50">
        <v>0.25</v>
      </c>
      <c r="O91" s="46">
        <f t="shared" si="4"/>
        <v>0.51249999999999996</v>
      </c>
      <c r="P91" s="47">
        <f t="shared" si="5"/>
        <v>1.7083333333333333</v>
      </c>
      <c r="Q91" s="42" t="s">
        <v>55</v>
      </c>
      <c r="R91" s="42" t="s">
        <v>32</v>
      </c>
      <c r="S91" s="42" t="s">
        <v>32</v>
      </c>
      <c r="T91" s="42" t="s">
        <v>60</v>
      </c>
      <c r="U91" s="42" t="s">
        <v>67</v>
      </c>
      <c r="V91" s="42" t="s">
        <v>166</v>
      </c>
      <c r="W91" s="42"/>
    </row>
    <row r="92" spans="1:23" ht="36" x14ac:dyDescent="0.25">
      <c r="A92" s="42" t="s">
        <v>375</v>
      </c>
      <c r="B92" s="42" t="s">
        <v>489</v>
      </c>
      <c r="C92" s="42" t="s">
        <v>498</v>
      </c>
      <c r="D92" s="48" t="s">
        <v>55</v>
      </c>
      <c r="E92" s="42" t="s">
        <v>499</v>
      </c>
      <c r="F92" s="42" t="s">
        <v>452</v>
      </c>
      <c r="G92" s="42" t="s">
        <v>493</v>
      </c>
      <c r="H92" s="42" t="s">
        <v>449</v>
      </c>
      <c r="I92" s="42" t="s">
        <v>427</v>
      </c>
      <c r="J92" s="42">
        <v>20</v>
      </c>
      <c r="K92" s="42">
        <v>2</v>
      </c>
      <c r="L92" s="44">
        <f t="shared" si="3"/>
        <v>3.3333333333333335</v>
      </c>
      <c r="M92" s="45">
        <v>0.35</v>
      </c>
      <c r="N92" s="50">
        <v>0.25</v>
      </c>
      <c r="O92" s="46">
        <f t="shared" si="4"/>
        <v>0.51249999999999996</v>
      </c>
      <c r="P92" s="47">
        <f t="shared" si="5"/>
        <v>1.7083333333333333</v>
      </c>
      <c r="Q92" s="42" t="s">
        <v>55</v>
      </c>
      <c r="R92" s="42" t="s">
        <v>32</v>
      </c>
      <c r="S92" s="42" t="s">
        <v>32</v>
      </c>
      <c r="T92" s="42" t="s">
        <v>60</v>
      </c>
      <c r="U92" s="42" t="s">
        <v>67</v>
      </c>
      <c r="V92" s="42" t="s">
        <v>166</v>
      </c>
      <c r="W92" s="42"/>
    </row>
    <row r="93" spans="1:23" ht="36" x14ac:dyDescent="0.25">
      <c r="A93" s="42" t="s">
        <v>375</v>
      </c>
      <c r="B93" s="42" t="s">
        <v>489</v>
      </c>
      <c r="C93" s="42" t="s">
        <v>500</v>
      </c>
      <c r="D93" s="48" t="s">
        <v>55</v>
      </c>
      <c r="E93" s="42" t="s">
        <v>501</v>
      </c>
      <c r="F93" s="42" t="s">
        <v>452</v>
      </c>
      <c r="G93" s="42" t="s">
        <v>493</v>
      </c>
      <c r="H93" s="42" t="s">
        <v>449</v>
      </c>
      <c r="I93" s="42" t="s">
        <v>427</v>
      </c>
      <c r="J93" s="42">
        <v>20</v>
      </c>
      <c r="K93" s="42">
        <v>2</v>
      </c>
      <c r="L93" s="44">
        <f t="shared" si="3"/>
        <v>3.3333333333333335</v>
      </c>
      <c r="M93" s="45">
        <v>0.35</v>
      </c>
      <c r="N93" s="50">
        <v>0.25</v>
      </c>
      <c r="O93" s="46">
        <f t="shared" si="4"/>
        <v>0.51249999999999996</v>
      </c>
      <c r="P93" s="47">
        <f t="shared" si="5"/>
        <v>1.7083333333333333</v>
      </c>
      <c r="Q93" s="42" t="s">
        <v>55</v>
      </c>
      <c r="R93" s="42" t="s">
        <v>32</v>
      </c>
      <c r="S93" s="42" t="s">
        <v>32</v>
      </c>
      <c r="T93" s="42" t="s">
        <v>60</v>
      </c>
      <c r="U93" s="42" t="s">
        <v>67</v>
      </c>
      <c r="V93" s="42" t="s">
        <v>166</v>
      </c>
      <c r="W93" s="42"/>
    </row>
    <row r="94" spans="1:23" ht="24" x14ac:dyDescent="0.25">
      <c r="A94" s="42" t="s">
        <v>375</v>
      </c>
      <c r="B94" s="42" t="s">
        <v>489</v>
      </c>
      <c r="C94" s="42" t="s">
        <v>502</v>
      </c>
      <c r="D94" s="48" t="s">
        <v>55</v>
      </c>
      <c r="E94" s="42" t="s">
        <v>503</v>
      </c>
      <c r="F94" s="42" t="s">
        <v>452</v>
      </c>
      <c r="G94" s="42" t="s">
        <v>493</v>
      </c>
      <c r="H94" s="42" t="s">
        <v>449</v>
      </c>
      <c r="I94" s="42" t="s">
        <v>427</v>
      </c>
      <c r="J94" s="42">
        <v>20</v>
      </c>
      <c r="K94" s="42">
        <v>2</v>
      </c>
      <c r="L94" s="44">
        <f t="shared" si="3"/>
        <v>3.3333333333333335</v>
      </c>
      <c r="M94" s="45">
        <v>0.35</v>
      </c>
      <c r="N94" s="50">
        <v>0.25</v>
      </c>
      <c r="O94" s="46">
        <f t="shared" si="4"/>
        <v>0.51249999999999996</v>
      </c>
      <c r="P94" s="47">
        <f t="shared" si="5"/>
        <v>1.7083333333333333</v>
      </c>
      <c r="Q94" s="42" t="s">
        <v>55</v>
      </c>
      <c r="R94" s="42" t="s">
        <v>32</v>
      </c>
      <c r="S94" s="42" t="s">
        <v>32</v>
      </c>
      <c r="T94" s="42" t="s">
        <v>60</v>
      </c>
      <c r="U94" s="42" t="s">
        <v>67</v>
      </c>
      <c r="V94" s="42" t="s">
        <v>166</v>
      </c>
      <c r="W94" s="42"/>
    </row>
    <row r="95" spans="1:23" ht="36" x14ac:dyDescent="0.25">
      <c r="A95" s="42" t="s">
        <v>375</v>
      </c>
      <c r="B95" s="42" t="s">
        <v>489</v>
      </c>
      <c r="C95" s="42" t="s">
        <v>504</v>
      </c>
      <c r="D95" s="49" t="s">
        <v>66</v>
      </c>
      <c r="E95" s="42" t="s">
        <v>505</v>
      </c>
      <c r="F95" s="42" t="s">
        <v>468</v>
      </c>
      <c r="G95" s="42" t="s">
        <v>493</v>
      </c>
      <c r="H95" s="42" t="s">
        <v>462</v>
      </c>
      <c r="I95" s="42" t="s">
        <v>427</v>
      </c>
      <c r="J95" s="42">
        <v>20</v>
      </c>
      <c r="K95" s="42">
        <v>2</v>
      </c>
      <c r="L95" s="44">
        <f t="shared" si="3"/>
        <v>3.3333333333333335</v>
      </c>
      <c r="M95" s="45">
        <v>0.1</v>
      </c>
      <c r="N95" s="50">
        <v>0.25</v>
      </c>
      <c r="O95" s="46">
        <f t="shared" si="4"/>
        <v>0.32499999999999996</v>
      </c>
      <c r="P95" s="47">
        <f t="shared" si="5"/>
        <v>1.0833333333333333</v>
      </c>
      <c r="Q95" s="42" t="s">
        <v>67</v>
      </c>
      <c r="R95" s="42" t="s">
        <v>66</v>
      </c>
      <c r="S95" s="42" t="s">
        <v>66</v>
      </c>
      <c r="T95" s="42" t="s">
        <v>469</v>
      </c>
      <c r="U95" s="42" t="s">
        <v>67</v>
      </c>
      <c r="V95" s="42" t="s">
        <v>166</v>
      </c>
      <c r="W95" s="42"/>
    </row>
    <row r="96" spans="1:23" ht="36" x14ac:dyDescent="0.25">
      <c r="A96" s="42" t="s">
        <v>375</v>
      </c>
      <c r="B96" s="42" t="s">
        <v>506</v>
      </c>
      <c r="C96" s="42" t="s">
        <v>507</v>
      </c>
      <c r="D96" s="43" t="s">
        <v>26</v>
      </c>
      <c r="E96" s="42" t="s">
        <v>508</v>
      </c>
      <c r="F96" s="42" t="s">
        <v>509</v>
      </c>
      <c r="G96" s="42" t="s">
        <v>510</v>
      </c>
      <c r="H96" s="42" t="s">
        <v>494</v>
      </c>
      <c r="I96" s="42" t="s">
        <v>420</v>
      </c>
      <c r="J96" s="42">
        <v>8</v>
      </c>
      <c r="K96" s="42">
        <v>1</v>
      </c>
      <c r="L96" s="44">
        <f t="shared" si="3"/>
        <v>1.6</v>
      </c>
      <c r="M96" s="45">
        <v>0.6</v>
      </c>
      <c r="N96" s="45">
        <v>0.15</v>
      </c>
      <c r="O96" s="46">
        <f t="shared" si="4"/>
        <v>0.65999999999999992</v>
      </c>
      <c r="P96" s="47">
        <f t="shared" si="5"/>
        <v>1.0559999999999998</v>
      </c>
      <c r="Q96" s="42" t="s">
        <v>26</v>
      </c>
      <c r="R96" s="42" t="s">
        <v>33</v>
      </c>
      <c r="S96" s="42" t="s">
        <v>33</v>
      </c>
      <c r="T96" s="42" t="s">
        <v>34</v>
      </c>
      <c r="U96" s="42" t="s">
        <v>67</v>
      </c>
      <c r="V96" s="42" t="s">
        <v>166</v>
      </c>
      <c r="W96" s="42"/>
    </row>
    <row r="97" spans="1:23" ht="36" x14ac:dyDescent="0.25">
      <c r="A97" s="42" t="s">
        <v>375</v>
      </c>
      <c r="B97" s="42" t="s">
        <v>506</v>
      </c>
      <c r="C97" s="42" t="s">
        <v>511</v>
      </c>
      <c r="D97" s="48" t="s">
        <v>55</v>
      </c>
      <c r="E97" s="42" t="s">
        <v>512</v>
      </c>
      <c r="F97" s="42" t="s">
        <v>447</v>
      </c>
      <c r="G97" s="42" t="s">
        <v>510</v>
      </c>
      <c r="H97" s="42" t="s">
        <v>449</v>
      </c>
      <c r="I97" s="42" t="s">
        <v>420</v>
      </c>
      <c r="J97" s="42">
        <v>8</v>
      </c>
      <c r="K97" s="42">
        <v>1</v>
      </c>
      <c r="L97" s="44">
        <f t="shared" si="3"/>
        <v>1.6</v>
      </c>
      <c r="M97" s="45">
        <v>0.5</v>
      </c>
      <c r="N97" s="45">
        <v>0.15</v>
      </c>
      <c r="O97" s="46">
        <f t="shared" si="4"/>
        <v>0.57499999999999996</v>
      </c>
      <c r="P97" s="47">
        <f t="shared" si="5"/>
        <v>0.91999999999999993</v>
      </c>
      <c r="Q97" s="42" t="s">
        <v>55</v>
      </c>
      <c r="R97" s="42" t="s">
        <v>32</v>
      </c>
      <c r="S97" s="42" t="s">
        <v>32</v>
      </c>
      <c r="T97" s="42" t="s">
        <v>60</v>
      </c>
      <c r="U97" s="42" t="s">
        <v>67</v>
      </c>
      <c r="V97" s="42" t="s">
        <v>166</v>
      </c>
      <c r="W97" s="42"/>
    </row>
    <row r="98" spans="1:23" ht="36" x14ac:dyDescent="0.25">
      <c r="A98" s="42" t="s">
        <v>375</v>
      </c>
      <c r="B98" s="42" t="s">
        <v>506</v>
      </c>
      <c r="C98" s="42" t="s">
        <v>513</v>
      </c>
      <c r="D98" s="48" t="s">
        <v>55</v>
      </c>
      <c r="E98" s="42" t="s">
        <v>514</v>
      </c>
      <c r="F98" s="42" t="s">
        <v>515</v>
      </c>
      <c r="G98" s="42" t="s">
        <v>510</v>
      </c>
      <c r="H98" s="42" t="s">
        <v>449</v>
      </c>
      <c r="I98" s="42" t="s">
        <v>420</v>
      </c>
      <c r="J98" s="42">
        <v>8</v>
      </c>
      <c r="K98" s="42">
        <v>1</v>
      </c>
      <c r="L98" s="44">
        <f t="shared" si="3"/>
        <v>1.6</v>
      </c>
      <c r="M98" s="45">
        <v>0.5</v>
      </c>
      <c r="N98" s="45">
        <v>0.15</v>
      </c>
      <c r="O98" s="46">
        <f t="shared" si="4"/>
        <v>0.57499999999999996</v>
      </c>
      <c r="P98" s="47">
        <f t="shared" si="5"/>
        <v>0.91999999999999993</v>
      </c>
      <c r="Q98" s="42" t="s">
        <v>55</v>
      </c>
      <c r="R98" s="42" t="s">
        <v>32</v>
      </c>
      <c r="S98" s="42" t="s">
        <v>32</v>
      </c>
      <c r="T98" s="42" t="s">
        <v>60</v>
      </c>
      <c r="U98" s="42" t="s">
        <v>67</v>
      </c>
      <c r="V98" s="42" t="s">
        <v>166</v>
      </c>
      <c r="W98" s="42"/>
    </row>
    <row r="99" spans="1:23" ht="36" x14ac:dyDescent="0.25">
      <c r="A99" s="42" t="s">
        <v>375</v>
      </c>
      <c r="B99" s="42" t="s">
        <v>506</v>
      </c>
      <c r="C99" s="42" t="s">
        <v>516</v>
      </c>
      <c r="D99" s="48" t="s">
        <v>55</v>
      </c>
      <c r="E99" s="42" t="s">
        <v>517</v>
      </c>
      <c r="F99" s="42" t="s">
        <v>515</v>
      </c>
      <c r="G99" s="42" t="s">
        <v>510</v>
      </c>
      <c r="H99" s="42" t="s">
        <v>449</v>
      </c>
      <c r="I99" s="42" t="s">
        <v>420</v>
      </c>
      <c r="J99" s="42">
        <v>8</v>
      </c>
      <c r="K99" s="42">
        <v>1</v>
      </c>
      <c r="L99" s="44">
        <f t="shared" si="3"/>
        <v>1.6</v>
      </c>
      <c r="M99" s="45">
        <v>0.5</v>
      </c>
      <c r="N99" s="45">
        <v>0.15</v>
      </c>
      <c r="O99" s="46">
        <f t="shared" si="4"/>
        <v>0.57499999999999996</v>
      </c>
      <c r="P99" s="47">
        <f t="shared" si="5"/>
        <v>0.91999999999999993</v>
      </c>
      <c r="Q99" s="42" t="s">
        <v>55</v>
      </c>
      <c r="R99" s="42" t="s">
        <v>32</v>
      </c>
      <c r="S99" s="42" t="s">
        <v>32</v>
      </c>
      <c r="T99" s="42" t="s">
        <v>60</v>
      </c>
      <c r="U99" s="42" t="s">
        <v>67</v>
      </c>
      <c r="V99" s="42" t="s">
        <v>166</v>
      </c>
      <c r="W99" s="42"/>
    </row>
    <row r="100" spans="1:23" ht="24" x14ac:dyDescent="0.25">
      <c r="A100" s="42" t="s">
        <v>375</v>
      </c>
      <c r="B100" s="42" t="s">
        <v>506</v>
      </c>
      <c r="C100" s="42" t="s">
        <v>518</v>
      </c>
      <c r="D100" s="49" t="s">
        <v>66</v>
      </c>
      <c r="E100" s="42" t="s">
        <v>519</v>
      </c>
      <c r="F100" s="42" t="s">
        <v>468</v>
      </c>
      <c r="G100" s="42" t="s">
        <v>510</v>
      </c>
      <c r="H100" s="42" t="s">
        <v>462</v>
      </c>
      <c r="I100" s="42" t="s">
        <v>420</v>
      </c>
      <c r="J100" s="42">
        <v>8</v>
      </c>
      <c r="K100" s="42">
        <v>1</v>
      </c>
      <c r="L100" s="44">
        <f t="shared" si="3"/>
        <v>1.6</v>
      </c>
      <c r="M100" s="45">
        <v>0.1</v>
      </c>
      <c r="N100" s="45">
        <v>0.15</v>
      </c>
      <c r="O100" s="46">
        <f t="shared" si="4"/>
        <v>0.23499999999999999</v>
      </c>
      <c r="P100" s="47">
        <f t="shared" si="5"/>
        <v>0.376</v>
      </c>
      <c r="Q100" s="42" t="s">
        <v>67</v>
      </c>
      <c r="R100" s="42" t="s">
        <v>66</v>
      </c>
      <c r="S100" s="42" t="s">
        <v>66</v>
      </c>
      <c r="T100" s="42" t="s">
        <v>469</v>
      </c>
      <c r="U100" s="42" t="s">
        <v>67</v>
      </c>
      <c r="V100" s="42" t="s">
        <v>166</v>
      </c>
      <c r="W100" s="42"/>
    </row>
    <row r="101" spans="1:23" ht="36" x14ac:dyDescent="0.25">
      <c r="A101" s="42" t="s">
        <v>375</v>
      </c>
      <c r="B101" s="42" t="s">
        <v>520</v>
      </c>
      <c r="C101" s="42" t="s">
        <v>521</v>
      </c>
      <c r="D101" s="48" t="s">
        <v>55</v>
      </c>
      <c r="E101" s="42" t="s">
        <v>522</v>
      </c>
      <c r="F101" s="42" t="s">
        <v>452</v>
      </c>
      <c r="G101" s="42" t="s">
        <v>523</v>
      </c>
      <c r="H101" s="42" t="s">
        <v>449</v>
      </c>
      <c r="I101" s="42" t="s">
        <v>524</v>
      </c>
      <c r="J101" s="42">
        <v>16</v>
      </c>
      <c r="K101" s="42">
        <v>2</v>
      </c>
      <c r="L101" s="44">
        <f t="shared" si="3"/>
        <v>2.6666666666666665</v>
      </c>
      <c r="M101" s="45">
        <v>0.5</v>
      </c>
      <c r="N101" s="45">
        <v>0.15</v>
      </c>
      <c r="O101" s="46">
        <f t="shared" si="4"/>
        <v>0.57499999999999996</v>
      </c>
      <c r="P101" s="47">
        <f t="shared" si="5"/>
        <v>1.5333333333333332</v>
      </c>
      <c r="Q101" s="42" t="s">
        <v>55</v>
      </c>
      <c r="R101" s="42" t="s">
        <v>32</v>
      </c>
      <c r="S101" s="42" t="s">
        <v>32</v>
      </c>
      <c r="T101" s="42" t="s">
        <v>60</v>
      </c>
      <c r="U101" s="42" t="s">
        <v>67</v>
      </c>
      <c r="V101" s="42" t="s">
        <v>166</v>
      </c>
      <c r="W101" s="42"/>
    </row>
    <row r="102" spans="1:23" ht="36" x14ac:dyDescent="0.25">
      <c r="A102" s="42" t="s">
        <v>375</v>
      </c>
      <c r="B102" s="42" t="s">
        <v>520</v>
      </c>
      <c r="C102" s="42" t="s">
        <v>525</v>
      </c>
      <c r="D102" s="48" t="s">
        <v>55</v>
      </c>
      <c r="E102" s="42" t="s">
        <v>526</v>
      </c>
      <c r="F102" s="42" t="s">
        <v>527</v>
      </c>
      <c r="G102" s="42" t="s">
        <v>523</v>
      </c>
      <c r="H102" s="42" t="s">
        <v>449</v>
      </c>
      <c r="I102" s="42" t="s">
        <v>524</v>
      </c>
      <c r="J102" s="42">
        <v>16</v>
      </c>
      <c r="K102" s="42">
        <v>2</v>
      </c>
      <c r="L102" s="44">
        <f t="shared" si="3"/>
        <v>2.6666666666666665</v>
      </c>
      <c r="M102" s="45">
        <v>0.35</v>
      </c>
      <c r="N102" s="45">
        <v>0.15</v>
      </c>
      <c r="O102" s="46">
        <f t="shared" si="4"/>
        <v>0.44750000000000001</v>
      </c>
      <c r="P102" s="47">
        <f t="shared" si="5"/>
        <v>1.1933333333333334</v>
      </c>
      <c r="Q102" s="42" t="s">
        <v>55</v>
      </c>
      <c r="R102" s="42" t="s">
        <v>32</v>
      </c>
      <c r="S102" s="42" t="s">
        <v>32</v>
      </c>
      <c r="T102" s="42" t="s">
        <v>60</v>
      </c>
      <c r="U102" s="42" t="s">
        <v>67</v>
      </c>
      <c r="V102" s="42" t="s">
        <v>166</v>
      </c>
      <c r="W102" s="42"/>
    </row>
    <row r="103" spans="1:23" ht="36" x14ac:dyDescent="0.25">
      <c r="A103" s="42" t="s">
        <v>375</v>
      </c>
      <c r="B103" s="42" t="s">
        <v>520</v>
      </c>
      <c r="C103" s="42" t="s">
        <v>528</v>
      </c>
      <c r="D103" s="48" t="s">
        <v>55</v>
      </c>
      <c r="E103" s="42" t="s">
        <v>529</v>
      </c>
      <c r="F103" s="42" t="s">
        <v>527</v>
      </c>
      <c r="G103" s="42" t="s">
        <v>523</v>
      </c>
      <c r="H103" s="42" t="s">
        <v>449</v>
      </c>
      <c r="I103" s="42" t="s">
        <v>524</v>
      </c>
      <c r="J103" s="42">
        <v>16</v>
      </c>
      <c r="K103" s="42">
        <v>2</v>
      </c>
      <c r="L103" s="44">
        <f t="shared" si="3"/>
        <v>2.6666666666666665</v>
      </c>
      <c r="M103" s="45">
        <v>0.35</v>
      </c>
      <c r="N103" s="45">
        <v>0.15</v>
      </c>
      <c r="O103" s="46">
        <f t="shared" si="4"/>
        <v>0.44750000000000001</v>
      </c>
      <c r="P103" s="47">
        <f t="shared" si="5"/>
        <v>1.1933333333333334</v>
      </c>
      <c r="Q103" s="42" t="s">
        <v>55</v>
      </c>
      <c r="R103" s="42" t="s">
        <v>32</v>
      </c>
      <c r="S103" s="42" t="s">
        <v>32</v>
      </c>
      <c r="T103" s="42" t="s">
        <v>60</v>
      </c>
      <c r="U103" s="42" t="s">
        <v>67</v>
      </c>
      <c r="V103" s="42" t="s">
        <v>166</v>
      </c>
      <c r="W103" s="42"/>
    </row>
    <row r="104" spans="1:23" ht="36" x14ac:dyDescent="0.25">
      <c r="A104" s="42" t="s">
        <v>375</v>
      </c>
      <c r="B104" s="42" t="s">
        <v>520</v>
      </c>
      <c r="C104" s="42" t="s">
        <v>530</v>
      </c>
      <c r="D104" s="48" t="s">
        <v>55</v>
      </c>
      <c r="E104" s="42" t="s">
        <v>531</v>
      </c>
      <c r="F104" s="42" t="s">
        <v>452</v>
      </c>
      <c r="G104" s="42" t="s">
        <v>523</v>
      </c>
      <c r="H104" s="42" t="s">
        <v>449</v>
      </c>
      <c r="I104" s="42" t="s">
        <v>524</v>
      </c>
      <c r="J104" s="42">
        <v>16</v>
      </c>
      <c r="K104" s="42">
        <v>2</v>
      </c>
      <c r="L104" s="44">
        <f t="shared" si="3"/>
        <v>2.6666666666666665</v>
      </c>
      <c r="M104" s="45">
        <v>0.35</v>
      </c>
      <c r="N104" s="45">
        <v>0.15</v>
      </c>
      <c r="O104" s="46">
        <f t="shared" si="4"/>
        <v>0.44750000000000001</v>
      </c>
      <c r="P104" s="47">
        <f t="shared" si="5"/>
        <v>1.1933333333333334</v>
      </c>
      <c r="Q104" s="42" t="s">
        <v>55</v>
      </c>
      <c r="R104" s="42" t="s">
        <v>32</v>
      </c>
      <c r="S104" s="42" t="s">
        <v>32</v>
      </c>
      <c r="T104" s="42" t="s">
        <v>60</v>
      </c>
      <c r="U104" s="42" t="s">
        <v>67</v>
      </c>
      <c r="V104" s="42" t="s">
        <v>166</v>
      </c>
      <c r="W104" s="42"/>
    </row>
    <row r="105" spans="1:23" ht="36" x14ac:dyDescent="0.25">
      <c r="A105" s="42" t="s">
        <v>375</v>
      </c>
      <c r="B105" s="42" t="s">
        <v>520</v>
      </c>
      <c r="C105" s="42" t="s">
        <v>532</v>
      </c>
      <c r="D105" s="49" t="s">
        <v>66</v>
      </c>
      <c r="E105" s="42" t="s">
        <v>533</v>
      </c>
      <c r="F105" s="42" t="s">
        <v>461</v>
      </c>
      <c r="G105" s="42" t="s">
        <v>523</v>
      </c>
      <c r="H105" s="42" t="s">
        <v>462</v>
      </c>
      <c r="I105" s="42" t="s">
        <v>524</v>
      </c>
      <c r="J105" s="42">
        <v>16</v>
      </c>
      <c r="K105" s="42">
        <v>2</v>
      </c>
      <c r="L105" s="44">
        <f t="shared" si="3"/>
        <v>2.6666666666666665</v>
      </c>
      <c r="M105" s="45">
        <v>0.1</v>
      </c>
      <c r="N105" s="45">
        <v>0.15</v>
      </c>
      <c r="O105" s="46">
        <f t="shared" si="4"/>
        <v>0.23499999999999999</v>
      </c>
      <c r="P105" s="47">
        <f t="shared" si="5"/>
        <v>0.62666666666666659</v>
      </c>
      <c r="Q105" s="42" t="s">
        <v>66</v>
      </c>
      <c r="R105" s="42" t="s">
        <v>66</v>
      </c>
      <c r="S105" s="42" t="s">
        <v>66</v>
      </c>
      <c r="T105" s="42" t="s">
        <v>463</v>
      </c>
      <c r="U105" s="42" t="s">
        <v>67</v>
      </c>
      <c r="V105" s="42" t="s">
        <v>166</v>
      </c>
      <c r="W105" s="42"/>
    </row>
    <row r="106" spans="1:23" ht="24" x14ac:dyDescent="0.25">
      <c r="A106" s="42" t="s">
        <v>375</v>
      </c>
      <c r="B106" s="42" t="s">
        <v>520</v>
      </c>
      <c r="C106" s="42" t="s">
        <v>534</v>
      </c>
      <c r="D106" s="49" t="s">
        <v>66</v>
      </c>
      <c r="E106" s="42" t="s">
        <v>535</v>
      </c>
      <c r="F106" s="42" t="s">
        <v>468</v>
      </c>
      <c r="G106" s="42" t="s">
        <v>523</v>
      </c>
      <c r="H106" s="42" t="s">
        <v>462</v>
      </c>
      <c r="I106" s="42" t="s">
        <v>524</v>
      </c>
      <c r="J106" s="42">
        <v>16</v>
      </c>
      <c r="K106" s="42">
        <v>2</v>
      </c>
      <c r="L106" s="44">
        <f t="shared" si="3"/>
        <v>2.6666666666666665</v>
      </c>
      <c r="M106" s="45">
        <v>0.1</v>
      </c>
      <c r="N106" s="45">
        <v>0.15</v>
      </c>
      <c r="O106" s="46">
        <f t="shared" si="4"/>
        <v>0.23499999999999999</v>
      </c>
      <c r="P106" s="47">
        <f t="shared" si="5"/>
        <v>0.62666666666666659</v>
      </c>
      <c r="Q106" s="42" t="s">
        <v>67</v>
      </c>
      <c r="R106" s="42" t="s">
        <v>66</v>
      </c>
      <c r="S106" s="42" t="s">
        <v>66</v>
      </c>
      <c r="T106" s="42" t="s">
        <v>469</v>
      </c>
      <c r="U106" s="42" t="s">
        <v>67</v>
      </c>
      <c r="V106" s="42" t="s">
        <v>166</v>
      </c>
      <c r="W106" s="42"/>
    </row>
    <row r="107" spans="1:23" ht="36" x14ac:dyDescent="0.25">
      <c r="A107" s="42" t="s">
        <v>375</v>
      </c>
      <c r="B107" s="42" t="s">
        <v>536</v>
      </c>
      <c r="C107" s="42" t="s">
        <v>537</v>
      </c>
      <c r="D107" s="43" t="s">
        <v>26</v>
      </c>
      <c r="E107" s="42" t="s">
        <v>538</v>
      </c>
      <c r="F107" s="42" t="s">
        <v>492</v>
      </c>
      <c r="G107" s="42" t="s">
        <v>539</v>
      </c>
      <c r="H107" s="42" t="s">
        <v>494</v>
      </c>
      <c r="I107" s="42" t="s">
        <v>108</v>
      </c>
      <c r="J107" s="42">
        <v>5</v>
      </c>
      <c r="K107" s="42">
        <v>1</v>
      </c>
      <c r="L107" s="44">
        <f t="shared" si="3"/>
        <v>0.625</v>
      </c>
      <c r="M107" s="45">
        <v>0.6</v>
      </c>
      <c r="N107" s="45">
        <v>0.15</v>
      </c>
      <c r="O107" s="46">
        <f t="shared" si="4"/>
        <v>0.65999999999999992</v>
      </c>
      <c r="P107" s="47">
        <f t="shared" si="5"/>
        <v>0.41249999999999998</v>
      </c>
      <c r="Q107" s="42" t="s">
        <v>55</v>
      </c>
      <c r="R107" s="42" t="s">
        <v>32</v>
      </c>
      <c r="S107" s="42" t="s">
        <v>33</v>
      </c>
      <c r="T107" s="42" t="s">
        <v>34</v>
      </c>
      <c r="U107" s="42" t="s">
        <v>67</v>
      </c>
      <c r="V107" s="42" t="s">
        <v>166</v>
      </c>
      <c r="W107" s="42"/>
    </row>
    <row r="108" spans="1:23" ht="36" x14ac:dyDescent="0.25">
      <c r="A108" s="42" t="s">
        <v>375</v>
      </c>
      <c r="B108" s="42" t="s">
        <v>536</v>
      </c>
      <c r="C108" s="42" t="s">
        <v>540</v>
      </c>
      <c r="D108" s="48" t="s">
        <v>55</v>
      </c>
      <c r="E108" s="42" t="s">
        <v>541</v>
      </c>
      <c r="F108" s="42" t="s">
        <v>452</v>
      </c>
      <c r="G108" s="42" t="s">
        <v>539</v>
      </c>
      <c r="H108" s="42" t="s">
        <v>449</v>
      </c>
      <c r="I108" s="42" t="s">
        <v>108</v>
      </c>
      <c r="J108" s="42">
        <v>5</v>
      </c>
      <c r="K108" s="42">
        <v>1</v>
      </c>
      <c r="L108" s="44">
        <f t="shared" si="3"/>
        <v>0.625</v>
      </c>
      <c r="M108" s="45">
        <v>0.35</v>
      </c>
      <c r="N108" s="45">
        <v>0.15</v>
      </c>
      <c r="O108" s="46">
        <f t="shared" si="4"/>
        <v>0.44750000000000001</v>
      </c>
      <c r="P108" s="47">
        <f t="shared" si="5"/>
        <v>0.27968749999999998</v>
      </c>
      <c r="Q108" s="42" t="s">
        <v>55</v>
      </c>
      <c r="R108" s="42" t="s">
        <v>32</v>
      </c>
      <c r="S108" s="42" t="s">
        <v>32</v>
      </c>
      <c r="T108" s="42" t="s">
        <v>60</v>
      </c>
      <c r="U108" s="42" t="s">
        <v>67</v>
      </c>
      <c r="V108" s="42" t="s">
        <v>166</v>
      </c>
      <c r="W108" s="42"/>
    </row>
    <row r="109" spans="1:23" ht="36" x14ac:dyDescent="0.25">
      <c r="A109" s="42" t="s">
        <v>375</v>
      </c>
      <c r="B109" s="42" t="s">
        <v>536</v>
      </c>
      <c r="C109" s="42" t="s">
        <v>542</v>
      </c>
      <c r="D109" s="48" t="s">
        <v>55</v>
      </c>
      <c r="E109" s="42" t="s">
        <v>543</v>
      </c>
      <c r="F109" s="42" t="s">
        <v>447</v>
      </c>
      <c r="G109" s="42" t="s">
        <v>539</v>
      </c>
      <c r="H109" s="42" t="s">
        <v>449</v>
      </c>
      <c r="I109" s="42" t="s">
        <v>108</v>
      </c>
      <c r="J109" s="42">
        <v>5</v>
      </c>
      <c r="K109" s="42">
        <v>1</v>
      </c>
      <c r="L109" s="44">
        <f t="shared" si="3"/>
        <v>0.625</v>
      </c>
      <c r="M109" s="45">
        <v>0.35</v>
      </c>
      <c r="N109" s="45">
        <v>0.15</v>
      </c>
      <c r="O109" s="46">
        <f t="shared" si="4"/>
        <v>0.44750000000000001</v>
      </c>
      <c r="P109" s="47">
        <f t="shared" si="5"/>
        <v>0.27968749999999998</v>
      </c>
      <c r="Q109" s="42" t="s">
        <v>55</v>
      </c>
      <c r="R109" s="42" t="s">
        <v>32</v>
      </c>
      <c r="S109" s="42" t="s">
        <v>32</v>
      </c>
      <c r="T109" s="42" t="s">
        <v>60</v>
      </c>
      <c r="U109" s="42" t="s">
        <v>67</v>
      </c>
      <c r="V109" s="42" t="s">
        <v>166</v>
      </c>
      <c r="W109" s="42"/>
    </row>
    <row r="110" spans="1:23" ht="36" x14ac:dyDescent="0.25">
      <c r="A110" s="42" t="s">
        <v>375</v>
      </c>
      <c r="B110" s="42" t="s">
        <v>536</v>
      </c>
      <c r="C110" s="42" t="s">
        <v>544</v>
      </c>
      <c r="D110" s="48" t="s">
        <v>55</v>
      </c>
      <c r="E110" s="42" t="s">
        <v>545</v>
      </c>
      <c r="F110" s="42" t="s">
        <v>452</v>
      </c>
      <c r="G110" s="42" t="s">
        <v>539</v>
      </c>
      <c r="H110" s="42" t="s">
        <v>449</v>
      </c>
      <c r="I110" s="42" t="s">
        <v>108</v>
      </c>
      <c r="J110" s="42">
        <v>5</v>
      </c>
      <c r="K110" s="42">
        <v>1</v>
      </c>
      <c r="L110" s="44">
        <f t="shared" si="3"/>
        <v>0.625</v>
      </c>
      <c r="M110" s="45">
        <v>0.35</v>
      </c>
      <c r="N110" s="45">
        <v>0.15</v>
      </c>
      <c r="O110" s="46">
        <f t="shared" si="4"/>
        <v>0.44750000000000001</v>
      </c>
      <c r="P110" s="47">
        <f t="shared" si="5"/>
        <v>0.27968749999999998</v>
      </c>
      <c r="Q110" s="42" t="s">
        <v>55</v>
      </c>
      <c r="R110" s="42" t="s">
        <v>32</v>
      </c>
      <c r="S110" s="42" t="s">
        <v>32</v>
      </c>
      <c r="T110" s="42" t="s">
        <v>60</v>
      </c>
      <c r="U110" s="42" t="s">
        <v>67</v>
      </c>
      <c r="V110" s="42" t="s">
        <v>166</v>
      </c>
      <c r="W110" s="42"/>
    </row>
    <row r="111" spans="1:23" ht="36" x14ac:dyDescent="0.25">
      <c r="A111" s="42" t="s">
        <v>375</v>
      </c>
      <c r="B111" s="42" t="s">
        <v>536</v>
      </c>
      <c r="C111" s="42" t="s">
        <v>546</v>
      </c>
      <c r="D111" s="48" t="s">
        <v>55</v>
      </c>
      <c r="E111" s="42" t="s">
        <v>547</v>
      </c>
      <c r="F111" s="42" t="s">
        <v>484</v>
      </c>
      <c r="G111" s="42" t="s">
        <v>539</v>
      </c>
      <c r="H111" s="42" t="s">
        <v>449</v>
      </c>
      <c r="I111" s="42" t="s">
        <v>108</v>
      </c>
      <c r="J111" s="42">
        <v>5</v>
      </c>
      <c r="K111" s="42">
        <v>1</v>
      </c>
      <c r="L111" s="44">
        <f t="shared" si="3"/>
        <v>0.625</v>
      </c>
      <c r="M111" s="45">
        <v>0.35</v>
      </c>
      <c r="N111" s="45">
        <v>0.15</v>
      </c>
      <c r="O111" s="46">
        <f t="shared" si="4"/>
        <v>0.44750000000000001</v>
      </c>
      <c r="P111" s="47">
        <f t="shared" si="5"/>
        <v>0.27968749999999998</v>
      </c>
      <c r="Q111" s="42" t="s">
        <v>55</v>
      </c>
      <c r="R111" s="42" t="s">
        <v>32</v>
      </c>
      <c r="S111" s="42" t="s">
        <v>32</v>
      </c>
      <c r="T111" s="42" t="s">
        <v>60</v>
      </c>
      <c r="U111" s="42" t="s">
        <v>67</v>
      </c>
      <c r="V111" s="42" t="s">
        <v>166</v>
      </c>
      <c r="W111" s="42"/>
    </row>
    <row r="112" spans="1:23" ht="36" x14ac:dyDescent="0.25">
      <c r="A112" s="42" t="s">
        <v>375</v>
      </c>
      <c r="B112" s="42" t="s">
        <v>536</v>
      </c>
      <c r="C112" s="42" t="s">
        <v>548</v>
      </c>
      <c r="D112" s="48" t="s">
        <v>55</v>
      </c>
      <c r="E112" s="42" t="s">
        <v>549</v>
      </c>
      <c r="F112" s="42" t="s">
        <v>452</v>
      </c>
      <c r="G112" s="42" t="s">
        <v>539</v>
      </c>
      <c r="H112" s="42" t="s">
        <v>449</v>
      </c>
      <c r="I112" s="42" t="s">
        <v>108</v>
      </c>
      <c r="J112" s="42">
        <v>5</v>
      </c>
      <c r="K112" s="42">
        <v>1</v>
      </c>
      <c r="L112" s="44">
        <f t="shared" si="3"/>
        <v>0.625</v>
      </c>
      <c r="M112" s="45">
        <v>0.35</v>
      </c>
      <c r="N112" s="45">
        <v>0.15</v>
      </c>
      <c r="O112" s="46">
        <f t="shared" si="4"/>
        <v>0.44750000000000001</v>
      </c>
      <c r="P112" s="47">
        <f t="shared" si="5"/>
        <v>0.27968749999999998</v>
      </c>
      <c r="Q112" s="42" t="s">
        <v>55</v>
      </c>
      <c r="R112" s="42" t="s">
        <v>32</v>
      </c>
      <c r="S112" s="42" t="s">
        <v>32</v>
      </c>
      <c r="T112" s="42" t="s">
        <v>60</v>
      </c>
      <c r="U112" s="42" t="s">
        <v>67</v>
      </c>
      <c r="V112" s="42" t="s">
        <v>166</v>
      </c>
      <c r="W112" s="42"/>
    </row>
    <row r="113" spans="1:23" ht="36" x14ac:dyDescent="0.25">
      <c r="A113" s="42" t="s">
        <v>375</v>
      </c>
      <c r="B113" s="42" t="s">
        <v>536</v>
      </c>
      <c r="C113" s="42" t="s">
        <v>550</v>
      </c>
      <c r="D113" s="49" t="s">
        <v>55</v>
      </c>
      <c r="E113" s="42" t="s">
        <v>551</v>
      </c>
      <c r="F113" s="42" t="s">
        <v>461</v>
      </c>
      <c r="G113" s="42" t="s">
        <v>539</v>
      </c>
      <c r="H113" s="42" t="s">
        <v>462</v>
      </c>
      <c r="I113" s="42" t="s">
        <v>108</v>
      </c>
      <c r="J113" s="42">
        <v>5</v>
      </c>
      <c r="K113" s="42">
        <v>1</v>
      </c>
      <c r="L113" s="44">
        <f t="shared" si="3"/>
        <v>0.625</v>
      </c>
      <c r="M113" s="45">
        <v>0.35</v>
      </c>
      <c r="N113" s="45">
        <v>0.15</v>
      </c>
      <c r="O113" s="46">
        <f t="shared" si="4"/>
        <v>0.44750000000000001</v>
      </c>
      <c r="P113" s="47">
        <f t="shared" si="5"/>
        <v>0.27968749999999998</v>
      </c>
      <c r="Q113" s="42" t="s">
        <v>66</v>
      </c>
      <c r="R113" s="42" t="s">
        <v>66</v>
      </c>
      <c r="S113" s="42" t="s">
        <v>66</v>
      </c>
      <c r="T113" s="42" t="s">
        <v>463</v>
      </c>
      <c r="U113" s="42" t="s">
        <v>67</v>
      </c>
      <c r="V113" s="42" t="s">
        <v>166</v>
      </c>
      <c r="W113" s="42"/>
    </row>
    <row r="114" spans="1:23" ht="36" x14ac:dyDescent="0.25">
      <c r="A114" s="42" t="s">
        <v>375</v>
      </c>
      <c r="B114" s="42" t="s">
        <v>536</v>
      </c>
      <c r="C114" s="42" t="s">
        <v>552</v>
      </c>
      <c r="D114" s="49" t="s">
        <v>55</v>
      </c>
      <c r="E114" s="42" t="s">
        <v>553</v>
      </c>
      <c r="F114" s="42" t="s">
        <v>472</v>
      </c>
      <c r="G114" s="42" t="s">
        <v>539</v>
      </c>
      <c r="H114" s="42" t="s">
        <v>462</v>
      </c>
      <c r="I114" s="42" t="s">
        <v>108</v>
      </c>
      <c r="J114" s="42">
        <v>5</v>
      </c>
      <c r="K114" s="42">
        <v>1</v>
      </c>
      <c r="L114" s="44">
        <f t="shared" si="3"/>
        <v>0.625</v>
      </c>
      <c r="M114" s="45">
        <v>0.35</v>
      </c>
      <c r="N114" s="45">
        <v>0.15</v>
      </c>
      <c r="O114" s="46">
        <f t="shared" si="4"/>
        <v>0.44750000000000001</v>
      </c>
      <c r="P114" s="47">
        <f t="shared" si="5"/>
        <v>0.27968749999999998</v>
      </c>
      <c r="Q114" s="42" t="s">
        <v>66</v>
      </c>
      <c r="R114" s="42" t="s">
        <v>66</v>
      </c>
      <c r="S114" s="42" t="s">
        <v>66</v>
      </c>
      <c r="T114" s="42" t="s">
        <v>554</v>
      </c>
      <c r="U114" s="42" t="s">
        <v>67</v>
      </c>
      <c r="V114" s="42" t="s">
        <v>166</v>
      </c>
      <c r="W114" s="42"/>
    </row>
    <row r="115" spans="1:23" ht="36" x14ac:dyDescent="0.25">
      <c r="A115" s="42" t="s">
        <v>375</v>
      </c>
      <c r="B115" s="42" t="s">
        <v>555</v>
      </c>
      <c r="C115" s="42" t="s">
        <v>556</v>
      </c>
      <c r="D115" s="43" t="s">
        <v>26</v>
      </c>
      <c r="E115" s="42" t="s">
        <v>557</v>
      </c>
      <c r="F115" s="42" t="s">
        <v>492</v>
      </c>
      <c r="G115" s="42" t="s">
        <v>558</v>
      </c>
      <c r="H115" s="42" t="s">
        <v>494</v>
      </c>
      <c r="I115" s="42" t="s">
        <v>108</v>
      </c>
      <c r="J115" s="42">
        <v>5</v>
      </c>
      <c r="K115" s="42">
        <v>1</v>
      </c>
      <c r="L115" s="44">
        <f t="shared" si="3"/>
        <v>1</v>
      </c>
      <c r="M115" s="45">
        <v>0.6</v>
      </c>
      <c r="N115" s="45">
        <v>0.15</v>
      </c>
      <c r="O115" s="46">
        <f t="shared" si="4"/>
        <v>0.65999999999999992</v>
      </c>
      <c r="P115" s="47">
        <f t="shared" si="5"/>
        <v>0.65999999999999992</v>
      </c>
      <c r="Q115" s="42" t="s">
        <v>26</v>
      </c>
      <c r="R115" s="42" t="s">
        <v>33</v>
      </c>
      <c r="S115" s="42" t="s">
        <v>33</v>
      </c>
      <c r="T115" s="42" t="s">
        <v>34</v>
      </c>
      <c r="U115" s="42" t="s">
        <v>189</v>
      </c>
      <c r="V115" s="42" t="s">
        <v>166</v>
      </c>
      <c r="W115" s="42"/>
    </row>
    <row r="116" spans="1:23" ht="36" x14ac:dyDescent="0.25">
      <c r="A116" s="42" t="s">
        <v>375</v>
      </c>
      <c r="B116" s="42" t="s">
        <v>555</v>
      </c>
      <c r="C116" s="42" t="s">
        <v>559</v>
      </c>
      <c r="D116" s="48" t="s">
        <v>55</v>
      </c>
      <c r="E116" s="42" t="s">
        <v>560</v>
      </c>
      <c r="F116" s="42" t="s">
        <v>452</v>
      </c>
      <c r="G116" s="42" t="s">
        <v>558</v>
      </c>
      <c r="H116" s="42" t="s">
        <v>449</v>
      </c>
      <c r="I116" s="42" t="s">
        <v>108</v>
      </c>
      <c r="J116" s="42">
        <v>5</v>
      </c>
      <c r="K116" s="42">
        <v>1</v>
      </c>
      <c r="L116" s="44">
        <f t="shared" si="3"/>
        <v>1</v>
      </c>
      <c r="M116" s="45">
        <v>0.35</v>
      </c>
      <c r="N116" s="45">
        <v>0.15</v>
      </c>
      <c r="O116" s="46">
        <f t="shared" si="4"/>
        <v>0.44750000000000001</v>
      </c>
      <c r="P116" s="47">
        <f t="shared" si="5"/>
        <v>0.44750000000000001</v>
      </c>
      <c r="Q116" s="42" t="s">
        <v>55</v>
      </c>
      <c r="R116" s="42" t="s">
        <v>32</v>
      </c>
      <c r="S116" s="42" t="s">
        <v>32</v>
      </c>
      <c r="T116" s="42" t="s">
        <v>60</v>
      </c>
      <c r="U116" s="42" t="s">
        <v>67</v>
      </c>
      <c r="V116" s="42" t="s">
        <v>166</v>
      </c>
      <c r="W116" s="42"/>
    </row>
    <row r="117" spans="1:23" ht="36" x14ac:dyDescent="0.25">
      <c r="A117" s="42" t="s">
        <v>375</v>
      </c>
      <c r="B117" s="42" t="s">
        <v>555</v>
      </c>
      <c r="C117" s="42" t="s">
        <v>561</v>
      </c>
      <c r="D117" s="48" t="s">
        <v>55</v>
      </c>
      <c r="E117" s="42" t="s">
        <v>562</v>
      </c>
      <c r="F117" s="42" t="s">
        <v>447</v>
      </c>
      <c r="G117" s="42" t="s">
        <v>558</v>
      </c>
      <c r="H117" s="42" t="s">
        <v>449</v>
      </c>
      <c r="I117" s="42" t="s">
        <v>108</v>
      </c>
      <c r="J117" s="42">
        <v>5</v>
      </c>
      <c r="K117" s="42">
        <v>1</v>
      </c>
      <c r="L117" s="44">
        <f t="shared" si="3"/>
        <v>1</v>
      </c>
      <c r="M117" s="45">
        <v>0.35</v>
      </c>
      <c r="N117" s="45">
        <v>0.15</v>
      </c>
      <c r="O117" s="46">
        <f t="shared" si="4"/>
        <v>0.44750000000000001</v>
      </c>
      <c r="P117" s="47">
        <f t="shared" si="5"/>
        <v>0.44750000000000001</v>
      </c>
      <c r="Q117" s="42" t="s">
        <v>55</v>
      </c>
      <c r="R117" s="42" t="s">
        <v>32</v>
      </c>
      <c r="S117" s="42" t="s">
        <v>32</v>
      </c>
      <c r="T117" s="42" t="s">
        <v>60</v>
      </c>
      <c r="U117" s="42" t="s">
        <v>67</v>
      </c>
      <c r="V117" s="42" t="s">
        <v>166</v>
      </c>
      <c r="W117" s="42"/>
    </row>
    <row r="118" spans="1:23" ht="36" x14ac:dyDescent="0.25">
      <c r="A118" s="42" t="s">
        <v>375</v>
      </c>
      <c r="B118" s="42" t="s">
        <v>555</v>
      </c>
      <c r="C118" s="42" t="s">
        <v>563</v>
      </c>
      <c r="D118" s="48" t="s">
        <v>55</v>
      </c>
      <c r="E118" s="42" t="s">
        <v>564</v>
      </c>
      <c r="F118" s="42" t="s">
        <v>484</v>
      </c>
      <c r="G118" s="42" t="s">
        <v>558</v>
      </c>
      <c r="H118" s="42" t="s">
        <v>449</v>
      </c>
      <c r="I118" s="42" t="s">
        <v>108</v>
      </c>
      <c r="J118" s="42">
        <v>5</v>
      </c>
      <c r="K118" s="42">
        <v>1</v>
      </c>
      <c r="L118" s="44">
        <f t="shared" si="3"/>
        <v>1</v>
      </c>
      <c r="M118" s="45">
        <v>0.35</v>
      </c>
      <c r="N118" s="45">
        <v>0.15</v>
      </c>
      <c r="O118" s="46">
        <f t="shared" si="4"/>
        <v>0.44750000000000001</v>
      </c>
      <c r="P118" s="47">
        <f t="shared" si="5"/>
        <v>0.44750000000000001</v>
      </c>
      <c r="Q118" s="42" t="s">
        <v>55</v>
      </c>
      <c r="R118" s="42" t="s">
        <v>32</v>
      </c>
      <c r="S118" s="42" t="s">
        <v>32</v>
      </c>
      <c r="T118" s="42" t="s">
        <v>60</v>
      </c>
      <c r="U118" s="42" t="s">
        <v>67</v>
      </c>
      <c r="V118" s="42" t="s">
        <v>166</v>
      </c>
      <c r="W118" s="42"/>
    </row>
    <row r="119" spans="1:23" ht="36" x14ac:dyDescent="0.25">
      <c r="A119" s="42" t="s">
        <v>375</v>
      </c>
      <c r="B119" s="42" t="s">
        <v>555</v>
      </c>
      <c r="C119" s="42" t="s">
        <v>565</v>
      </c>
      <c r="D119" s="49" t="s">
        <v>66</v>
      </c>
      <c r="E119" s="42" t="s">
        <v>566</v>
      </c>
      <c r="F119" s="42" t="s">
        <v>468</v>
      </c>
      <c r="G119" s="42" t="s">
        <v>558</v>
      </c>
      <c r="H119" s="42" t="s">
        <v>462</v>
      </c>
      <c r="I119" s="42" t="s">
        <v>108</v>
      </c>
      <c r="J119" s="42">
        <v>5</v>
      </c>
      <c r="K119" s="42">
        <v>1</v>
      </c>
      <c r="L119" s="44">
        <f t="shared" si="3"/>
        <v>1</v>
      </c>
      <c r="M119" s="45">
        <v>0.1</v>
      </c>
      <c r="N119" s="45">
        <v>0.15</v>
      </c>
      <c r="O119" s="46">
        <f t="shared" si="4"/>
        <v>0.23499999999999999</v>
      </c>
      <c r="P119" s="47">
        <f t="shared" si="5"/>
        <v>0.23499999999999999</v>
      </c>
      <c r="Q119" s="42" t="s">
        <v>66</v>
      </c>
      <c r="R119" s="42" t="s">
        <v>66</v>
      </c>
      <c r="S119" s="42" t="s">
        <v>66</v>
      </c>
      <c r="T119" s="42" t="s">
        <v>469</v>
      </c>
      <c r="U119" s="42" t="s">
        <v>67</v>
      </c>
      <c r="V119" s="42" t="s">
        <v>166</v>
      </c>
      <c r="W119" s="42"/>
    </row>
    <row r="120" spans="1:23" ht="36" x14ac:dyDescent="0.25">
      <c r="A120" s="42" t="s">
        <v>375</v>
      </c>
      <c r="B120" s="42" t="s">
        <v>567</v>
      </c>
      <c r="C120" s="42" t="s">
        <v>568</v>
      </c>
      <c r="D120" s="43" t="s">
        <v>26</v>
      </c>
      <c r="E120" s="42" t="s">
        <v>569</v>
      </c>
      <c r="F120" s="42" t="s">
        <v>509</v>
      </c>
      <c r="G120" s="42" t="s">
        <v>570</v>
      </c>
      <c r="H120" s="42" t="s">
        <v>494</v>
      </c>
      <c r="I120" s="42" t="s">
        <v>108</v>
      </c>
      <c r="J120" s="42">
        <v>3</v>
      </c>
      <c r="K120" s="42">
        <v>1</v>
      </c>
      <c r="L120" s="44">
        <f t="shared" si="3"/>
        <v>0.5</v>
      </c>
      <c r="M120" s="45">
        <v>0.6</v>
      </c>
      <c r="N120" s="45">
        <v>0.1</v>
      </c>
      <c r="O120" s="46">
        <f t="shared" si="4"/>
        <v>0.6399999999999999</v>
      </c>
      <c r="P120" s="47">
        <f t="shared" si="5"/>
        <v>0.31999999999999995</v>
      </c>
      <c r="Q120" s="42" t="s">
        <v>26</v>
      </c>
      <c r="R120" s="42" t="s">
        <v>33</v>
      </c>
      <c r="S120" s="42" t="s">
        <v>33</v>
      </c>
      <c r="T120" s="42" t="s">
        <v>34</v>
      </c>
      <c r="U120" s="42" t="s">
        <v>183</v>
      </c>
      <c r="V120" s="42" t="s">
        <v>36</v>
      </c>
      <c r="W120" s="42"/>
    </row>
    <row r="121" spans="1:23" ht="36" x14ac:dyDescent="0.25">
      <c r="A121" s="42" t="s">
        <v>375</v>
      </c>
      <c r="B121" s="42" t="s">
        <v>567</v>
      </c>
      <c r="C121" s="42" t="s">
        <v>571</v>
      </c>
      <c r="D121" s="43" t="s">
        <v>26</v>
      </c>
      <c r="E121" s="42" t="s">
        <v>572</v>
      </c>
      <c r="F121" s="42" t="s">
        <v>492</v>
      </c>
      <c r="G121" s="42" t="s">
        <v>570</v>
      </c>
      <c r="H121" s="42" t="s">
        <v>494</v>
      </c>
      <c r="I121" s="42" t="s">
        <v>108</v>
      </c>
      <c r="J121" s="42">
        <v>3</v>
      </c>
      <c r="K121" s="42">
        <v>1</v>
      </c>
      <c r="L121" s="44">
        <f t="shared" si="3"/>
        <v>0.5</v>
      </c>
      <c r="M121" s="45">
        <v>0.6</v>
      </c>
      <c r="N121" s="45">
        <v>0.1</v>
      </c>
      <c r="O121" s="46">
        <f t="shared" si="4"/>
        <v>0.6399999999999999</v>
      </c>
      <c r="P121" s="47">
        <f t="shared" si="5"/>
        <v>0.31999999999999995</v>
      </c>
      <c r="Q121" s="42" t="s">
        <v>55</v>
      </c>
      <c r="R121" s="42" t="s">
        <v>32</v>
      </c>
      <c r="S121" s="42" t="s">
        <v>33</v>
      </c>
      <c r="T121" s="42" t="s">
        <v>34</v>
      </c>
      <c r="U121" s="42" t="s">
        <v>183</v>
      </c>
      <c r="V121" s="42" t="s">
        <v>36</v>
      </c>
      <c r="W121" s="42"/>
    </row>
    <row r="122" spans="1:23" ht="36" x14ac:dyDescent="0.25">
      <c r="A122" s="42" t="s">
        <v>375</v>
      </c>
      <c r="B122" s="42" t="s">
        <v>567</v>
      </c>
      <c r="C122" s="42" t="s">
        <v>573</v>
      </c>
      <c r="D122" s="43" t="s">
        <v>26</v>
      </c>
      <c r="E122" s="42" t="s">
        <v>574</v>
      </c>
      <c r="F122" s="42" t="s">
        <v>492</v>
      </c>
      <c r="G122" s="42" t="s">
        <v>570</v>
      </c>
      <c r="H122" s="42" t="s">
        <v>494</v>
      </c>
      <c r="I122" s="42" t="s">
        <v>108</v>
      </c>
      <c r="J122" s="42">
        <v>3</v>
      </c>
      <c r="K122" s="42">
        <v>1</v>
      </c>
      <c r="L122" s="44">
        <f t="shared" si="3"/>
        <v>0.5</v>
      </c>
      <c r="M122" s="45">
        <v>0.6</v>
      </c>
      <c r="N122" s="45">
        <v>0.1</v>
      </c>
      <c r="O122" s="46">
        <f t="shared" si="4"/>
        <v>0.6399999999999999</v>
      </c>
      <c r="P122" s="47">
        <f t="shared" si="5"/>
        <v>0.31999999999999995</v>
      </c>
      <c r="Q122" s="42" t="s">
        <v>26</v>
      </c>
      <c r="R122" s="42" t="s">
        <v>33</v>
      </c>
      <c r="S122" s="42" t="s">
        <v>33</v>
      </c>
      <c r="T122" s="42" t="s">
        <v>34</v>
      </c>
      <c r="U122" s="42" t="s">
        <v>183</v>
      </c>
      <c r="V122" s="42" t="s">
        <v>36</v>
      </c>
      <c r="W122" s="42"/>
    </row>
    <row r="123" spans="1:23" ht="36" x14ac:dyDescent="0.25">
      <c r="A123" s="42" t="s">
        <v>375</v>
      </c>
      <c r="B123" s="42" t="s">
        <v>567</v>
      </c>
      <c r="C123" s="42" t="s">
        <v>575</v>
      </c>
      <c r="D123" s="48" t="s">
        <v>55</v>
      </c>
      <c r="E123" s="42" t="s">
        <v>576</v>
      </c>
      <c r="F123" s="42" t="s">
        <v>447</v>
      </c>
      <c r="G123" s="42" t="s">
        <v>570</v>
      </c>
      <c r="H123" s="42" t="s">
        <v>449</v>
      </c>
      <c r="I123" s="42" t="s">
        <v>108</v>
      </c>
      <c r="J123" s="42">
        <v>3</v>
      </c>
      <c r="K123" s="42">
        <v>1</v>
      </c>
      <c r="L123" s="44">
        <f t="shared" si="3"/>
        <v>0.5</v>
      </c>
      <c r="M123" s="45">
        <v>0.5</v>
      </c>
      <c r="N123" s="45">
        <v>0.1</v>
      </c>
      <c r="O123" s="46">
        <f t="shared" si="4"/>
        <v>0.55000000000000004</v>
      </c>
      <c r="P123" s="47">
        <f t="shared" si="5"/>
        <v>0.27500000000000002</v>
      </c>
      <c r="Q123" s="42" t="s">
        <v>55</v>
      </c>
      <c r="R123" s="42" t="s">
        <v>32</v>
      </c>
      <c r="S123" s="42" t="s">
        <v>32</v>
      </c>
      <c r="T123" s="42" t="s">
        <v>60</v>
      </c>
      <c r="U123" s="42" t="s">
        <v>183</v>
      </c>
      <c r="V123" s="42" t="s">
        <v>36</v>
      </c>
      <c r="W123" s="42"/>
    </row>
    <row r="124" spans="1:23" ht="36" x14ac:dyDescent="0.25">
      <c r="A124" s="42" t="s">
        <v>375</v>
      </c>
      <c r="B124" s="42" t="s">
        <v>567</v>
      </c>
      <c r="C124" s="42" t="s">
        <v>577</v>
      </c>
      <c r="D124" s="48" t="s">
        <v>55</v>
      </c>
      <c r="E124" s="42" t="s">
        <v>578</v>
      </c>
      <c r="F124" s="42" t="s">
        <v>447</v>
      </c>
      <c r="G124" s="42" t="s">
        <v>570</v>
      </c>
      <c r="H124" s="42" t="s">
        <v>449</v>
      </c>
      <c r="I124" s="42" t="s">
        <v>108</v>
      </c>
      <c r="J124" s="42">
        <v>3</v>
      </c>
      <c r="K124" s="42">
        <v>1</v>
      </c>
      <c r="L124" s="44">
        <f t="shared" si="3"/>
        <v>0.5</v>
      </c>
      <c r="M124" s="45">
        <v>0.35</v>
      </c>
      <c r="N124" s="45">
        <v>0.1</v>
      </c>
      <c r="O124" s="46">
        <f t="shared" si="4"/>
        <v>0.41499999999999992</v>
      </c>
      <c r="P124" s="47">
        <f t="shared" si="5"/>
        <v>0.20749999999999996</v>
      </c>
      <c r="Q124" s="42" t="s">
        <v>55</v>
      </c>
      <c r="R124" s="42" t="s">
        <v>32</v>
      </c>
      <c r="S124" s="42" t="s">
        <v>32</v>
      </c>
      <c r="T124" s="42" t="s">
        <v>60</v>
      </c>
      <c r="U124" s="42" t="s">
        <v>183</v>
      </c>
      <c r="V124" s="42" t="s">
        <v>36</v>
      </c>
      <c r="W124" s="42"/>
    </row>
    <row r="125" spans="1:23" ht="36" x14ac:dyDescent="0.25">
      <c r="A125" s="42" t="s">
        <v>375</v>
      </c>
      <c r="B125" s="42" t="s">
        <v>567</v>
      </c>
      <c r="C125" s="42" t="s">
        <v>579</v>
      </c>
      <c r="D125" s="49" t="s">
        <v>66</v>
      </c>
      <c r="E125" s="42" t="s">
        <v>580</v>
      </c>
      <c r="F125" s="42" t="s">
        <v>472</v>
      </c>
      <c r="G125" s="42" t="s">
        <v>570</v>
      </c>
      <c r="H125" s="42" t="s">
        <v>462</v>
      </c>
      <c r="I125" s="42" t="s">
        <v>108</v>
      </c>
      <c r="J125" s="42">
        <v>3</v>
      </c>
      <c r="K125" s="42">
        <v>1</v>
      </c>
      <c r="L125" s="44">
        <f t="shared" si="3"/>
        <v>0.5</v>
      </c>
      <c r="M125" s="45">
        <v>0.1</v>
      </c>
      <c r="N125" s="45">
        <v>0.1</v>
      </c>
      <c r="O125" s="46">
        <f t="shared" si="4"/>
        <v>0.18999999999999995</v>
      </c>
      <c r="P125" s="47">
        <f t="shared" si="5"/>
        <v>9.4999999999999973E-2</v>
      </c>
      <c r="Q125" s="42" t="s">
        <v>66</v>
      </c>
      <c r="R125" s="42" t="s">
        <v>66</v>
      </c>
      <c r="S125" s="42" t="s">
        <v>66</v>
      </c>
      <c r="T125" s="42" t="s">
        <v>554</v>
      </c>
      <c r="U125" s="42" t="s">
        <v>183</v>
      </c>
      <c r="V125" s="42" t="s">
        <v>36</v>
      </c>
      <c r="W125" s="42"/>
    </row>
    <row r="126" spans="1:23" ht="36" x14ac:dyDescent="0.25">
      <c r="A126" s="42" t="s">
        <v>375</v>
      </c>
      <c r="B126" s="42" t="s">
        <v>581</v>
      </c>
      <c r="C126" s="42" t="s">
        <v>582</v>
      </c>
      <c r="D126" s="43" t="s">
        <v>26</v>
      </c>
      <c r="E126" s="42" t="s">
        <v>583</v>
      </c>
      <c r="F126" s="42" t="s">
        <v>584</v>
      </c>
      <c r="G126" s="42" t="s">
        <v>585</v>
      </c>
      <c r="H126" s="42" t="s">
        <v>494</v>
      </c>
      <c r="I126" s="42" t="s">
        <v>108</v>
      </c>
      <c r="J126" s="42">
        <v>3</v>
      </c>
      <c r="K126" s="42">
        <v>1</v>
      </c>
      <c r="L126" s="44">
        <f t="shared" si="3"/>
        <v>0.75</v>
      </c>
      <c r="M126" s="45">
        <v>0.6</v>
      </c>
      <c r="N126" s="45">
        <v>0.1</v>
      </c>
      <c r="O126" s="46">
        <f t="shared" si="4"/>
        <v>0.6399999999999999</v>
      </c>
      <c r="P126" s="47">
        <f t="shared" si="5"/>
        <v>0.47999999999999993</v>
      </c>
      <c r="Q126" s="42" t="s">
        <v>55</v>
      </c>
      <c r="R126" s="42" t="s">
        <v>32</v>
      </c>
      <c r="S126" s="42" t="s">
        <v>33</v>
      </c>
      <c r="T126" s="42" t="s">
        <v>34</v>
      </c>
      <c r="U126" s="42" t="s">
        <v>183</v>
      </c>
      <c r="V126" s="42" t="s">
        <v>166</v>
      </c>
      <c r="W126" s="42"/>
    </row>
    <row r="127" spans="1:23" ht="36" x14ac:dyDescent="0.25">
      <c r="A127" s="42" t="s">
        <v>375</v>
      </c>
      <c r="B127" s="42" t="s">
        <v>581</v>
      </c>
      <c r="C127" s="42" t="s">
        <v>586</v>
      </c>
      <c r="D127" s="48" t="s">
        <v>55</v>
      </c>
      <c r="E127" s="42" t="s">
        <v>587</v>
      </c>
      <c r="F127" s="42" t="s">
        <v>447</v>
      </c>
      <c r="G127" s="42" t="s">
        <v>585</v>
      </c>
      <c r="H127" s="42" t="s">
        <v>449</v>
      </c>
      <c r="I127" s="42" t="s">
        <v>108</v>
      </c>
      <c r="J127" s="42">
        <v>3</v>
      </c>
      <c r="K127" s="42">
        <v>1</v>
      </c>
      <c r="L127" s="44">
        <f t="shared" si="3"/>
        <v>0.75</v>
      </c>
      <c r="M127" s="45">
        <v>0.35</v>
      </c>
      <c r="N127" s="45">
        <v>0.1</v>
      </c>
      <c r="O127" s="46">
        <f t="shared" si="4"/>
        <v>0.41499999999999992</v>
      </c>
      <c r="P127" s="47">
        <f t="shared" si="5"/>
        <v>0.31124999999999992</v>
      </c>
      <c r="Q127" s="42" t="s">
        <v>55</v>
      </c>
      <c r="R127" s="42" t="s">
        <v>32</v>
      </c>
      <c r="S127" s="42" t="s">
        <v>32</v>
      </c>
      <c r="T127" s="42" t="s">
        <v>60</v>
      </c>
      <c r="U127" s="42" t="s">
        <v>67</v>
      </c>
      <c r="V127" s="42" t="s">
        <v>166</v>
      </c>
      <c r="W127" s="42"/>
    </row>
    <row r="128" spans="1:23" ht="24" x14ac:dyDescent="0.25">
      <c r="A128" s="42" t="s">
        <v>375</v>
      </c>
      <c r="B128" s="42" t="s">
        <v>581</v>
      </c>
      <c r="C128" s="42" t="s">
        <v>588</v>
      </c>
      <c r="D128" s="48" t="s">
        <v>55</v>
      </c>
      <c r="E128" s="42" t="s">
        <v>589</v>
      </c>
      <c r="F128" s="42" t="s">
        <v>515</v>
      </c>
      <c r="G128" s="42" t="s">
        <v>585</v>
      </c>
      <c r="H128" s="42" t="s">
        <v>449</v>
      </c>
      <c r="I128" s="42" t="s">
        <v>108</v>
      </c>
      <c r="J128" s="42">
        <v>3</v>
      </c>
      <c r="K128" s="42">
        <v>1</v>
      </c>
      <c r="L128" s="44">
        <f t="shared" si="3"/>
        <v>0.75</v>
      </c>
      <c r="M128" s="45">
        <v>0.35</v>
      </c>
      <c r="N128" s="45">
        <v>0.1</v>
      </c>
      <c r="O128" s="46">
        <f t="shared" si="4"/>
        <v>0.41499999999999992</v>
      </c>
      <c r="P128" s="47">
        <f t="shared" si="5"/>
        <v>0.31124999999999992</v>
      </c>
      <c r="Q128" s="42" t="s">
        <v>55</v>
      </c>
      <c r="R128" s="42" t="s">
        <v>32</v>
      </c>
      <c r="S128" s="42" t="s">
        <v>32</v>
      </c>
      <c r="T128" s="42" t="s">
        <v>60</v>
      </c>
      <c r="U128" s="42" t="s">
        <v>67</v>
      </c>
      <c r="V128" s="42" t="s">
        <v>166</v>
      </c>
      <c r="W128" s="42"/>
    </row>
    <row r="129" spans="1:23" ht="24" x14ac:dyDescent="0.25">
      <c r="A129" s="42" t="s">
        <v>375</v>
      </c>
      <c r="B129" s="42" t="s">
        <v>581</v>
      </c>
      <c r="C129" s="42" t="s">
        <v>590</v>
      </c>
      <c r="D129" s="49" t="s">
        <v>66</v>
      </c>
      <c r="E129" s="42" t="s">
        <v>591</v>
      </c>
      <c r="F129" s="42" t="s">
        <v>461</v>
      </c>
      <c r="G129" s="42" t="s">
        <v>585</v>
      </c>
      <c r="H129" s="42" t="s">
        <v>462</v>
      </c>
      <c r="I129" s="42" t="s">
        <v>108</v>
      </c>
      <c r="J129" s="42">
        <v>3</v>
      </c>
      <c r="K129" s="42">
        <v>1</v>
      </c>
      <c r="L129" s="44">
        <f t="shared" si="3"/>
        <v>0.75</v>
      </c>
      <c r="M129" s="45">
        <v>0.1</v>
      </c>
      <c r="N129" s="45">
        <v>0.1</v>
      </c>
      <c r="O129" s="46">
        <f t="shared" si="4"/>
        <v>0.18999999999999995</v>
      </c>
      <c r="P129" s="47">
        <f t="shared" si="5"/>
        <v>0.14249999999999996</v>
      </c>
      <c r="Q129" s="42" t="s">
        <v>66</v>
      </c>
      <c r="R129" s="42" t="s">
        <v>66</v>
      </c>
      <c r="S129" s="42" t="s">
        <v>66</v>
      </c>
      <c r="T129" s="42" t="s">
        <v>473</v>
      </c>
      <c r="U129" s="42" t="s">
        <v>67</v>
      </c>
      <c r="V129" s="42" t="s">
        <v>166</v>
      </c>
      <c r="W129" s="42"/>
    </row>
    <row r="130" spans="1:23" ht="36" x14ac:dyDescent="0.25">
      <c r="A130" s="42" t="s">
        <v>375</v>
      </c>
      <c r="B130" s="42" t="s">
        <v>592</v>
      </c>
      <c r="C130" s="42" t="s">
        <v>593</v>
      </c>
      <c r="D130" s="43" t="s">
        <v>26</v>
      </c>
      <c r="E130" s="42" t="s">
        <v>594</v>
      </c>
      <c r="F130" s="42" t="s">
        <v>584</v>
      </c>
      <c r="G130" s="42" t="s">
        <v>595</v>
      </c>
      <c r="H130" s="42" t="s">
        <v>494</v>
      </c>
      <c r="I130" s="42" t="s">
        <v>108</v>
      </c>
      <c r="J130" s="42">
        <v>3</v>
      </c>
      <c r="K130" s="42">
        <v>1</v>
      </c>
      <c r="L130" s="44">
        <f t="shared" ref="L130:L193" si="6">J130/COUNTIF($B:$B,B130)</f>
        <v>0.6</v>
      </c>
      <c r="M130" s="45">
        <v>0.6</v>
      </c>
      <c r="N130" s="45">
        <v>0.1</v>
      </c>
      <c r="O130" s="46">
        <f t="shared" ref="O130:O193" si="7">1-(1-M130)*(1-N130)</f>
        <v>0.6399999999999999</v>
      </c>
      <c r="P130" s="47">
        <f t="shared" ref="P130:P193" si="8">L130*O130</f>
        <v>0.38399999999999995</v>
      </c>
      <c r="Q130" s="42" t="s">
        <v>55</v>
      </c>
      <c r="R130" s="42" t="s">
        <v>32</v>
      </c>
      <c r="S130" s="42" t="s">
        <v>33</v>
      </c>
      <c r="T130" s="42" t="s">
        <v>34</v>
      </c>
      <c r="U130" s="42" t="s">
        <v>67</v>
      </c>
      <c r="V130" s="42" t="s">
        <v>596</v>
      </c>
      <c r="W130" s="42"/>
    </row>
    <row r="131" spans="1:23" ht="36" x14ac:dyDescent="0.25">
      <c r="A131" s="42" t="s">
        <v>375</v>
      </c>
      <c r="B131" s="42" t="s">
        <v>592</v>
      </c>
      <c r="C131" s="42" t="s">
        <v>597</v>
      </c>
      <c r="D131" s="43" t="s">
        <v>26</v>
      </c>
      <c r="E131" s="42" t="s">
        <v>598</v>
      </c>
      <c r="F131" s="42" t="s">
        <v>492</v>
      </c>
      <c r="G131" s="42" t="s">
        <v>595</v>
      </c>
      <c r="H131" s="42" t="s">
        <v>494</v>
      </c>
      <c r="I131" s="42" t="s">
        <v>108</v>
      </c>
      <c r="J131" s="42">
        <v>3</v>
      </c>
      <c r="K131" s="42">
        <v>1</v>
      </c>
      <c r="L131" s="44">
        <f t="shared" si="6"/>
        <v>0.6</v>
      </c>
      <c r="M131" s="45">
        <v>0.6</v>
      </c>
      <c r="N131" s="45">
        <v>0.1</v>
      </c>
      <c r="O131" s="46">
        <f t="shared" si="7"/>
        <v>0.6399999999999999</v>
      </c>
      <c r="P131" s="47">
        <f t="shared" si="8"/>
        <v>0.38399999999999995</v>
      </c>
      <c r="Q131" s="42" t="s">
        <v>55</v>
      </c>
      <c r="R131" s="42" t="s">
        <v>32</v>
      </c>
      <c r="S131" s="42" t="s">
        <v>33</v>
      </c>
      <c r="T131" s="42" t="s">
        <v>34</v>
      </c>
      <c r="U131" s="42" t="s">
        <v>67</v>
      </c>
      <c r="V131" s="42" t="s">
        <v>596</v>
      </c>
      <c r="W131" s="42"/>
    </row>
    <row r="132" spans="1:23" ht="24" x14ac:dyDescent="0.25">
      <c r="A132" s="42" t="s">
        <v>375</v>
      </c>
      <c r="B132" s="42" t="s">
        <v>592</v>
      </c>
      <c r="C132" s="42" t="s">
        <v>599</v>
      </c>
      <c r="D132" s="48" t="s">
        <v>55</v>
      </c>
      <c r="E132" s="42" t="s">
        <v>600</v>
      </c>
      <c r="F132" s="42" t="s">
        <v>515</v>
      </c>
      <c r="G132" s="42" t="s">
        <v>595</v>
      </c>
      <c r="H132" s="42" t="s">
        <v>449</v>
      </c>
      <c r="I132" s="42" t="s">
        <v>108</v>
      </c>
      <c r="J132" s="42">
        <v>3</v>
      </c>
      <c r="K132" s="42">
        <v>1</v>
      </c>
      <c r="L132" s="44">
        <f t="shared" si="6"/>
        <v>0.6</v>
      </c>
      <c r="M132" s="45">
        <v>0.35</v>
      </c>
      <c r="N132" s="45">
        <v>0.1</v>
      </c>
      <c r="O132" s="46">
        <f t="shared" si="7"/>
        <v>0.41499999999999992</v>
      </c>
      <c r="P132" s="47">
        <f t="shared" si="8"/>
        <v>0.24899999999999994</v>
      </c>
      <c r="Q132" s="42" t="s">
        <v>55</v>
      </c>
      <c r="R132" s="42" t="s">
        <v>32</v>
      </c>
      <c r="S132" s="42" t="s">
        <v>32</v>
      </c>
      <c r="T132" s="42" t="s">
        <v>60</v>
      </c>
      <c r="U132" s="42" t="s">
        <v>67</v>
      </c>
      <c r="V132" s="42" t="s">
        <v>596</v>
      </c>
      <c r="W132" s="42"/>
    </row>
    <row r="133" spans="1:23" ht="24" x14ac:dyDescent="0.25">
      <c r="A133" s="42" t="s">
        <v>375</v>
      </c>
      <c r="B133" s="42" t="s">
        <v>592</v>
      </c>
      <c r="C133" s="42" t="s">
        <v>601</v>
      </c>
      <c r="D133" s="48" t="s">
        <v>55</v>
      </c>
      <c r="E133" s="42" t="s">
        <v>602</v>
      </c>
      <c r="F133" s="42" t="s">
        <v>497</v>
      </c>
      <c r="G133" s="42" t="s">
        <v>595</v>
      </c>
      <c r="H133" s="42" t="s">
        <v>449</v>
      </c>
      <c r="I133" s="42" t="s">
        <v>108</v>
      </c>
      <c r="J133" s="42">
        <v>3</v>
      </c>
      <c r="K133" s="42">
        <v>1</v>
      </c>
      <c r="L133" s="44">
        <f t="shared" si="6"/>
        <v>0.6</v>
      </c>
      <c r="M133" s="45">
        <v>0.35</v>
      </c>
      <c r="N133" s="45">
        <v>0.1</v>
      </c>
      <c r="O133" s="46">
        <f t="shared" si="7"/>
        <v>0.41499999999999992</v>
      </c>
      <c r="P133" s="47">
        <f t="shared" si="8"/>
        <v>0.24899999999999994</v>
      </c>
      <c r="Q133" s="42" t="s">
        <v>55</v>
      </c>
      <c r="R133" s="42" t="s">
        <v>32</v>
      </c>
      <c r="S133" s="42" t="s">
        <v>32</v>
      </c>
      <c r="T133" s="42" t="s">
        <v>60</v>
      </c>
      <c r="U133" s="42" t="s">
        <v>67</v>
      </c>
      <c r="V133" s="42" t="s">
        <v>596</v>
      </c>
      <c r="W133" s="42"/>
    </row>
    <row r="134" spans="1:23" ht="36" x14ac:dyDescent="0.25">
      <c r="A134" s="42" t="s">
        <v>375</v>
      </c>
      <c r="B134" s="42" t="s">
        <v>592</v>
      </c>
      <c r="C134" s="42" t="s">
        <v>603</v>
      </c>
      <c r="D134" s="49" t="s">
        <v>66</v>
      </c>
      <c r="E134" s="42" t="s">
        <v>604</v>
      </c>
      <c r="F134" s="42" t="s">
        <v>472</v>
      </c>
      <c r="G134" s="42" t="s">
        <v>595</v>
      </c>
      <c r="H134" s="42" t="s">
        <v>462</v>
      </c>
      <c r="I134" s="42" t="s">
        <v>108</v>
      </c>
      <c r="J134" s="42">
        <v>3</v>
      </c>
      <c r="K134" s="42">
        <v>1</v>
      </c>
      <c r="L134" s="44">
        <f t="shared" si="6"/>
        <v>0.6</v>
      </c>
      <c r="M134" s="45">
        <v>0.1</v>
      </c>
      <c r="N134" s="45">
        <v>0.1</v>
      </c>
      <c r="O134" s="46">
        <f t="shared" si="7"/>
        <v>0.18999999999999995</v>
      </c>
      <c r="P134" s="47">
        <f t="shared" si="8"/>
        <v>0.11399999999999996</v>
      </c>
      <c r="Q134" s="42" t="s">
        <v>67</v>
      </c>
      <c r="R134" s="42" t="s">
        <v>66</v>
      </c>
      <c r="S134" s="42" t="s">
        <v>66</v>
      </c>
      <c r="T134" s="42" t="s">
        <v>473</v>
      </c>
      <c r="U134" s="42" t="s">
        <v>67</v>
      </c>
      <c r="V134" s="42" t="s">
        <v>596</v>
      </c>
      <c r="W134" s="42"/>
    </row>
    <row r="135" spans="1:23" ht="36" x14ac:dyDescent="0.25">
      <c r="A135" s="42" t="s">
        <v>605</v>
      </c>
      <c r="B135" s="42" t="s">
        <v>606</v>
      </c>
      <c r="C135" s="42" t="s">
        <v>607</v>
      </c>
      <c r="D135" s="43" t="s">
        <v>26</v>
      </c>
      <c r="E135" s="42" t="s">
        <v>608</v>
      </c>
      <c r="F135" s="42" t="s">
        <v>492</v>
      </c>
      <c r="G135" s="42" t="s">
        <v>609</v>
      </c>
      <c r="H135" s="42" t="s">
        <v>494</v>
      </c>
      <c r="I135" s="42" t="s">
        <v>95</v>
      </c>
      <c r="J135" s="42">
        <v>8</v>
      </c>
      <c r="K135" s="42">
        <v>1</v>
      </c>
      <c r="L135" s="44">
        <f t="shared" si="6"/>
        <v>1.1428571428571428</v>
      </c>
      <c r="M135" s="45">
        <v>0.6</v>
      </c>
      <c r="N135" s="45">
        <v>0.15</v>
      </c>
      <c r="O135" s="46">
        <f t="shared" si="7"/>
        <v>0.65999999999999992</v>
      </c>
      <c r="P135" s="47">
        <f t="shared" si="8"/>
        <v>0.75428571428571412</v>
      </c>
      <c r="Q135" s="42" t="s">
        <v>55</v>
      </c>
      <c r="R135" s="42" t="s">
        <v>32</v>
      </c>
      <c r="S135" s="42" t="s">
        <v>33</v>
      </c>
      <c r="T135" s="42" t="s">
        <v>34</v>
      </c>
      <c r="U135" s="42" t="s">
        <v>96</v>
      </c>
      <c r="V135" s="42" t="s">
        <v>610</v>
      </c>
      <c r="W135" s="42"/>
    </row>
    <row r="136" spans="1:23" ht="36" x14ac:dyDescent="0.25">
      <c r="A136" s="42" t="s">
        <v>605</v>
      </c>
      <c r="B136" s="42" t="s">
        <v>606</v>
      </c>
      <c r="C136" s="42" t="s">
        <v>611</v>
      </c>
      <c r="D136" s="43" t="s">
        <v>26</v>
      </c>
      <c r="E136" s="42" t="s">
        <v>612</v>
      </c>
      <c r="F136" s="42" t="s">
        <v>492</v>
      </c>
      <c r="G136" s="42" t="s">
        <v>609</v>
      </c>
      <c r="H136" s="42" t="s">
        <v>494</v>
      </c>
      <c r="I136" s="42" t="s">
        <v>95</v>
      </c>
      <c r="J136" s="42">
        <v>8</v>
      </c>
      <c r="K136" s="42">
        <v>1</v>
      </c>
      <c r="L136" s="44">
        <f t="shared" si="6"/>
        <v>1.1428571428571428</v>
      </c>
      <c r="M136" s="45">
        <v>0.6</v>
      </c>
      <c r="N136" s="45">
        <v>0.15</v>
      </c>
      <c r="O136" s="46">
        <f t="shared" si="7"/>
        <v>0.65999999999999992</v>
      </c>
      <c r="P136" s="47">
        <f t="shared" si="8"/>
        <v>0.75428571428571412</v>
      </c>
      <c r="Q136" s="42" t="s">
        <v>55</v>
      </c>
      <c r="R136" s="42" t="s">
        <v>32</v>
      </c>
      <c r="S136" s="42" t="s">
        <v>33</v>
      </c>
      <c r="T136" s="42" t="s">
        <v>34</v>
      </c>
      <c r="U136" s="42" t="s">
        <v>96</v>
      </c>
      <c r="V136" s="42" t="s">
        <v>610</v>
      </c>
      <c r="W136" s="42"/>
    </row>
    <row r="137" spans="1:23" ht="36" x14ac:dyDescent="0.25">
      <c r="A137" s="42" t="s">
        <v>605</v>
      </c>
      <c r="B137" s="42" t="s">
        <v>606</v>
      </c>
      <c r="C137" s="42" t="s">
        <v>613</v>
      </c>
      <c r="D137" s="48" t="s">
        <v>55</v>
      </c>
      <c r="E137" s="42" t="s">
        <v>614</v>
      </c>
      <c r="F137" s="42" t="s">
        <v>484</v>
      </c>
      <c r="G137" s="42" t="s">
        <v>609</v>
      </c>
      <c r="H137" s="42" t="s">
        <v>449</v>
      </c>
      <c r="I137" s="42" t="s">
        <v>95</v>
      </c>
      <c r="J137" s="42">
        <v>8</v>
      </c>
      <c r="K137" s="42">
        <v>1</v>
      </c>
      <c r="L137" s="44">
        <f t="shared" si="6"/>
        <v>1.1428571428571428</v>
      </c>
      <c r="M137" s="45">
        <v>0.35</v>
      </c>
      <c r="N137" s="45">
        <v>0.15</v>
      </c>
      <c r="O137" s="46">
        <f t="shared" si="7"/>
        <v>0.44750000000000001</v>
      </c>
      <c r="P137" s="47">
        <f t="shared" si="8"/>
        <v>0.51142857142857145</v>
      </c>
      <c r="Q137" s="42" t="s">
        <v>55</v>
      </c>
      <c r="R137" s="42" t="s">
        <v>32</v>
      </c>
      <c r="S137" s="42" t="s">
        <v>32</v>
      </c>
      <c r="T137" s="42" t="s">
        <v>60</v>
      </c>
      <c r="U137" s="42" t="s">
        <v>96</v>
      </c>
      <c r="V137" s="42" t="s">
        <v>610</v>
      </c>
      <c r="W137" s="42"/>
    </row>
    <row r="138" spans="1:23" ht="24" x14ac:dyDescent="0.25">
      <c r="A138" s="42" t="s">
        <v>605</v>
      </c>
      <c r="B138" s="42" t="s">
        <v>606</v>
      </c>
      <c r="C138" s="42" t="s">
        <v>615</v>
      </c>
      <c r="D138" s="48" t="s">
        <v>55</v>
      </c>
      <c r="E138" s="42" t="s">
        <v>616</v>
      </c>
      <c r="F138" s="42" t="s">
        <v>447</v>
      </c>
      <c r="G138" s="42" t="s">
        <v>609</v>
      </c>
      <c r="H138" s="42" t="s">
        <v>449</v>
      </c>
      <c r="I138" s="42" t="s">
        <v>95</v>
      </c>
      <c r="J138" s="42">
        <v>8</v>
      </c>
      <c r="K138" s="42">
        <v>1</v>
      </c>
      <c r="L138" s="44">
        <f t="shared" si="6"/>
        <v>1.1428571428571428</v>
      </c>
      <c r="M138" s="45">
        <v>0.35</v>
      </c>
      <c r="N138" s="45">
        <v>0.15</v>
      </c>
      <c r="O138" s="46">
        <f t="shared" si="7"/>
        <v>0.44750000000000001</v>
      </c>
      <c r="P138" s="47">
        <f t="shared" si="8"/>
        <v>0.51142857142857145</v>
      </c>
      <c r="Q138" s="42" t="s">
        <v>55</v>
      </c>
      <c r="R138" s="42" t="s">
        <v>32</v>
      </c>
      <c r="S138" s="42" t="s">
        <v>32</v>
      </c>
      <c r="T138" s="42" t="s">
        <v>60</v>
      </c>
      <c r="U138" s="42" t="s">
        <v>67</v>
      </c>
      <c r="V138" s="42" t="s">
        <v>610</v>
      </c>
      <c r="W138" s="42"/>
    </row>
    <row r="139" spans="1:23" ht="36" x14ac:dyDescent="0.25">
      <c r="A139" s="42" t="s">
        <v>605</v>
      </c>
      <c r="B139" s="42" t="s">
        <v>606</v>
      </c>
      <c r="C139" s="42" t="s">
        <v>617</v>
      </c>
      <c r="D139" s="48" t="s">
        <v>55</v>
      </c>
      <c r="E139" s="42" t="s">
        <v>618</v>
      </c>
      <c r="F139" s="42" t="s">
        <v>484</v>
      </c>
      <c r="G139" s="42" t="s">
        <v>609</v>
      </c>
      <c r="H139" s="42" t="s">
        <v>449</v>
      </c>
      <c r="I139" s="42" t="s">
        <v>95</v>
      </c>
      <c r="J139" s="42">
        <v>8</v>
      </c>
      <c r="K139" s="42">
        <v>1</v>
      </c>
      <c r="L139" s="44">
        <f t="shared" si="6"/>
        <v>1.1428571428571428</v>
      </c>
      <c r="M139" s="45">
        <v>0.35</v>
      </c>
      <c r="N139" s="45">
        <v>0.15</v>
      </c>
      <c r="O139" s="46">
        <f t="shared" si="7"/>
        <v>0.44750000000000001</v>
      </c>
      <c r="P139" s="47">
        <f t="shared" si="8"/>
        <v>0.51142857142857145</v>
      </c>
      <c r="Q139" s="42" t="s">
        <v>55</v>
      </c>
      <c r="R139" s="42" t="s">
        <v>32</v>
      </c>
      <c r="S139" s="42" t="s">
        <v>32</v>
      </c>
      <c r="T139" s="42" t="s">
        <v>60</v>
      </c>
      <c r="U139" s="42" t="s">
        <v>67</v>
      </c>
      <c r="V139" s="42" t="s">
        <v>610</v>
      </c>
      <c r="W139" s="42"/>
    </row>
    <row r="140" spans="1:23" ht="36" x14ac:dyDescent="0.25">
      <c r="A140" s="42" t="s">
        <v>605</v>
      </c>
      <c r="B140" s="42" t="s">
        <v>606</v>
      </c>
      <c r="C140" s="42" t="s">
        <v>619</v>
      </c>
      <c r="D140" s="48" t="s">
        <v>55</v>
      </c>
      <c r="E140" s="42" t="s">
        <v>620</v>
      </c>
      <c r="F140" s="42" t="s">
        <v>447</v>
      </c>
      <c r="G140" s="42" t="s">
        <v>609</v>
      </c>
      <c r="H140" s="42" t="s">
        <v>449</v>
      </c>
      <c r="I140" s="42" t="s">
        <v>95</v>
      </c>
      <c r="J140" s="42">
        <v>8</v>
      </c>
      <c r="K140" s="42">
        <v>1</v>
      </c>
      <c r="L140" s="44">
        <f t="shared" si="6"/>
        <v>1.1428571428571428</v>
      </c>
      <c r="M140" s="45">
        <v>0.35</v>
      </c>
      <c r="N140" s="45">
        <v>0.15</v>
      </c>
      <c r="O140" s="46">
        <f t="shared" si="7"/>
        <v>0.44750000000000001</v>
      </c>
      <c r="P140" s="47">
        <f t="shared" si="8"/>
        <v>0.51142857142857145</v>
      </c>
      <c r="Q140" s="42" t="s">
        <v>55</v>
      </c>
      <c r="R140" s="42" t="s">
        <v>32</v>
      </c>
      <c r="S140" s="42" t="s">
        <v>32</v>
      </c>
      <c r="T140" s="42" t="s">
        <v>60</v>
      </c>
      <c r="U140" s="42" t="s">
        <v>67</v>
      </c>
      <c r="V140" s="42" t="s">
        <v>610</v>
      </c>
      <c r="W140" s="42"/>
    </row>
    <row r="141" spans="1:23" ht="36" x14ac:dyDescent="0.25">
      <c r="A141" s="42" t="s">
        <v>605</v>
      </c>
      <c r="B141" s="42" t="s">
        <v>606</v>
      </c>
      <c r="C141" s="42" t="s">
        <v>621</v>
      </c>
      <c r="D141" s="49" t="s">
        <v>66</v>
      </c>
      <c r="E141" s="42" t="s">
        <v>622</v>
      </c>
      <c r="F141" s="42" t="s">
        <v>472</v>
      </c>
      <c r="G141" s="42" t="s">
        <v>609</v>
      </c>
      <c r="H141" s="42" t="s">
        <v>462</v>
      </c>
      <c r="I141" s="42" t="s">
        <v>95</v>
      </c>
      <c r="J141" s="42">
        <v>8</v>
      </c>
      <c r="K141" s="42">
        <v>1</v>
      </c>
      <c r="L141" s="44">
        <f t="shared" si="6"/>
        <v>1.1428571428571428</v>
      </c>
      <c r="M141" s="45">
        <v>0.1</v>
      </c>
      <c r="N141" s="45">
        <v>0.15</v>
      </c>
      <c r="O141" s="46">
        <f t="shared" si="7"/>
        <v>0.23499999999999999</v>
      </c>
      <c r="P141" s="47">
        <f t="shared" si="8"/>
        <v>0.26857142857142852</v>
      </c>
      <c r="Q141" s="42" t="s">
        <v>67</v>
      </c>
      <c r="R141" s="42" t="s">
        <v>66</v>
      </c>
      <c r="S141" s="42" t="s">
        <v>66</v>
      </c>
      <c r="T141" s="42" t="s">
        <v>473</v>
      </c>
      <c r="U141" s="42" t="s">
        <v>96</v>
      </c>
      <c r="V141" s="42" t="s">
        <v>610</v>
      </c>
      <c r="W141" s="42"/>
    </row>
    <row r="142" spans="1:23" ht="36" x14ac:dyDescent="0.25">
      <c r="A142" s="42" t="s">
        <v>605</v>
      </c>
      <c r="B142" s="42" t="s">
        <v>623</v>
      </c>
      <c r="C142" s="42" t="s">
        <v>624</v>
      </c>
      <c r="D142" s="43" t="s">
        <v>26</v>
      </c>
      <c r="E142" s="42" t="s">
        <v>625</v>
      </c>
      <c r="F142" s="42" t="s">
        <v>492</v>
      </c>
      <c r="G142" s="42" t="s">
        <v>626</v>
      </c>
      <c r="H142" s="42" t="s">
        <v>494</v>
      </c>
      <c r="I142" s="42" t="s">
        <v>95</v>
      </c>
      <c r="J142" s="42">
        <v>3</v>
      </c>
      <c r="K142" s="42">
        <v>1</v>
      </c>
      <c r="L142" s="44">
        <f t="shared" si="6"/>
        <v>0.5</v>
      </c>
      <c r="M142" s="45">
        <v>0.6</v>
      </c>
      <c r="N142" s="50">
        <v>0.25</v>
      </c>
      <c r="O142" s="46">
        <f t="shared" si="7"/>
        <v>0.7</v>
      </c>
      <c r="P142" s="47">
        <f t="shared" si="8"/>
        <v>0.35</v>
      </c>
      <c r="Q142" s="42" t="s">
        <v>55</v>
      </c>
      <c r="R142" s="42" t="s">
        <v>32</v>
      </c>
      <c r="S142" s="42" t="s">
        <v>33</v>
      </c>
      <c r="T142" s="42" t="s">
        <v>34</v>
      </c>
      <c r="U142" s="42" t="s">
        <v>67</v>
      </c>
      <c r="V142" s="42" t="s">
        <v>610</v>
      </c>
      <c r="W142" s="42"/>
    </row>
    <row r="143" spans="1:23" ht="36" x14ac:dyDescent="0.25">
      <c r="A143" s="42" t="s">
        <v>605</v>
      </c>
      <c r="B143" s="42" t="s">
        <v>623</v>
      </c>
      <c r="C143" s="42" t="s">
        <v>627</v>
      </c>
      <c r="D143" s="43" t="s">
        <v>26</v>
      </c>
      <c r="E143" s="42" t="s">
        <v>628</v>
      </c>
      <c r="F143" s="42" t="s">
        <v>492</v>
      </c>
      <c r="G143" s="42" t="s">
        <v>626</v>
      </c>
      <c r="H143" s="42" t="s">
        <v>494</v>
      </c>
      <c r="I143" s="42" t="s">
        <v>95</v>
      </c>
      <c r="J143" s="42">
        <v>3</v>
      </c>
      <c r="K143" s="42">
        <v>1</v>
      </c>
      <c r="L143" s="44">
        <f t="shared" si="6"/>
        <v>0.5</v>
      </c>
      <c r="M143" s="45">
        <v>0.6</v>
      </c>
      <c r="N143" s="50">
        <v>0.25</v>
      </c>
      <c r="O143" s="46">
        <f t="shared" si="7"/>
        <v>0.7</v>
      </c>
      <c r="P143" s="47">
        <f t="shared" si="8"/>
        <v>0.35</v>
      </c>
      <c r="Q143" s="42" t="s">
        <v>55</v>
      </c>
      <c r="R143" s="42" t="s">
        <v>32</v>
      </c>
      <c r="S143" s="42" t="s">
        <v>33</v>
      </c>
      <c r="T143" s="42" t="s">
        <v>34</v>
      </c>
      <c r="U143" s="42" t="s">
        <v>96</v>
      </c>
      <c r="V143" s="42" t="s">
        <v>610</v>
      </c>
      <c r="W143" s="42"/>
    </row>
    <row r="144" spans="1:23" ht="36" x14ac:dyDescent="0.25">
      <c r="A144" s="42" t="s">
        <v>605</v>
      </c>
      <c r="B144" s="42" t="s">
        <v>623</v>
      </c>
      <c r="C144" s="42" t="s">
        <v>629</v>
      </c>
      <c r="D144" s="48" t="s">
        <v>55</v>
      </c>
      <c r="E144" s="42" t="s">
        <v>630</v>
      </c>
      <c r="F144" s="42" t="s">
        <v>515</v>
      </c>
      <c r="G144" s="42" t="s">
        <v>626</v>
      </c>
      <c r="H144" s="42" t="s">
        <v>449</v>
      </c>
      <c r="I144" s="42" t="s">
        <v>95</v>
      </c>
      <c r="J144" s="42">
        <v>3</v>
      </c>
      <c r="K144" s="42">
        <v>1</v>
      </c>
      <c r="L144" s="44">
        <f t="shared" si="6"/>
        <v>0.5</v>
      </c>
      <c r="M144" s="45">
        <v>0.35</v>
      </c>
      <c r="N144" s="50">
        <v>0.25</v>
      </c>
      <c r="O144" s="46">
        <f t="shared" si="7"/>
        <v>0.51249999999999996</v>
      </c>
      <c r="P144" s="47">
        <f t="shared" si="8"/>
        <v>0.25624999999999998</v>
      </c>
      <c r="Q144" s="42" t="s">
        <v>55</v>
      </c>
      <c r="R144" s="42" t="s">
        <v>32</v>
      </c>
      <c r="S144" s="42" t="s">
        <v>32</v>
      </c>
      <c r="T144" s="42" t="s">
        <v>60</v>
      </c>
      <c r="U144" s="42" t="s">
        <v>96</v>
      </c>
      <c r="V144" s="42" t="s">
        <v>610</v>
      </c>
      <c r="W144" s="42"/>
    </row>
    <row r="145" spans="1:23" ht="36" x14ac:dyDescent="0.25">
      <c r="A145" s="42" t="s">
        <v>605</v>
      </c>
      <c r="B145" s="42" t="s">
        <v>623</v>
      </c>
      <c r="C145" s="42" t="s">
        <v>631</v>
      </c>
      <c r="D145" s="48" t="s">
        <v>55</v>
      </c>
      <c r="E145" s="42" t="s">
        <v>632</v>
      </c>
      <c r="F145" s="42" t="s">
        <v>515</v>
      </c>
      <c r="G145" s="42" t="s">
        <v>626</v>
      </c>
      <c r="H145" s="42" t="s">
        <v>449</v>
      </c>
      <c r="I145" s="42" t="s">
        <v>95</v>
      </c>
      <c r="J145" s="42">
        <v>3</v>
      </c>
      <c r="K145" s="42">
        <v>1</v>
      </c>
      <c r="L145" s="44">
        <f t="shared" si="6"/>
        <v>0.5</v>
      </c>
      <c r="M145" s="45">
        <v>0.35</v>
      </c>
      <c r="N145" s="50">
        <v>0.25</v>
      </c>
      <c r="O145" s="46">
        <f t="shared" si="7"/>
        <v>0.51249999999999996</v>
      </c>
      <c r="P145" s="47">
        <f t="shared" si="8"/>
        <v>0.25624999999999998</v>
      </c>
      <c r="Q145" s="42" t="s">
        <v>55</v>
      </c>
      <c r="R145" s="42" t="s">
        <v>32</v>
      </c>
      <c r="S145" s="42" t="s">
        <v>32</v>
      </c>
      <c r="T145" s="42" t="s">
        <v>60</v>
      </c>
      <c r="U145" s="42" t="s">
        <v>96</v>
      </c>
      <c r="V145" s="42" t="s">
        <v>610</v>
      </c>
      <c r="W145" s="42"/>
    </row>
    <row r="146" spans="1:23" ht="24" x14ac:dyDescent="0.25">
      <c r="A146" s="42" t="s">
        <v>605</v>
      </c>
      <c r="B146" s="42" t="s">
        <v>623</v>
      </c>
      <c r="C146" s="42" t="s">
        <v>633</v>
      </c>
      <c r="D146" s="48" t="s">
        <v>55</v>
      </c>
      <c r="E146" s="42" t="s">
        <v>634</v>
      </c>
      <c r="F146" s="42" t="s">
        <v>447</v>
      </c>
      <c r="G146" s="42" t="s">
        <v>626</v>
      </c>
      <c r="H146" s="42" t="s">
        <v>449</v>
      </c>
      <c r="I146" s="42" t="s">
        <v>95</v>
      </c>
      <c r="J146" s="42">
        <v>3</v>
      </c>
      <c r="K146" s="42">
        <v>1</v>
      </c>
      <c r="L146" s="44">
        <f t="shared" si="6"/>
        <v>0.5</v>
      </c>
      <c r="M146" s="45">
        <v>0.35</v>
      </c>
      <c r="N146" s="50">
        <v>0.25</v>
      </c>
      <c r="O146" s="46">
        <f t="shared" si="7"/>
        <v>0.51249999999999996</v>
      </c>
      <c r="P146" s="47">
        <f t="shared" si="8"/>
        <v>0.25624999999999998</v>
      </c>
      <c r="Q146" s="42" t="s">
        <v>55</v>
      </c>
      <c r="R146" s="42" t="s">
        <v>32</v>
      </c>
      <c r="S146" s="42" t="s">
        <v>32</v>
      </c>
      <c r="T146" s="42" t="s">
        <v>60</v>
      </c>
      <c r="U146" s="42" t="s">
        <v>96</v>
      </c>
      <c r="V146" s="42" t="s">
        <v>610</v>
      </c>
      <c r="W146" s="42"/>
    </row>
    <row r="147" spans="1:23" ht="36" x14ac:dyDescent="0.25">
      <c r="A147" s="42" t="s">
        <v>605</v>
      </c>
      <c r="B147" s="42" t="s">
        <v>623</v>
      </c>
      <c r="C147" s="42" t="s">
        <v>635</v>
      </c>
      <c r="D147" s="49" t="s">
        <v>66</v>
      </c>
      <c r="E147" s="42" t="s">
        <v>636</v>
      </c>
      <c r="F147" s="42" t="s">
        <v>472</v>
      </c>
      <c r="G147" s="42" t="s">
        <v>626</v>
      </c>
      <c r="H147" s="42" t="s">
        <v>462</v>
      </c>
      <c r="I147" s="42" t="s">
        <v>95</v>
      </c>
      <c r="J147" s="42">
        <v>3</v>
      </c>
      <c r="K147" s="42">
        <v>1</v>
      </c>
      <c r="L147" s="44">
        <f t="shared" si="6"/>
        <v>0.5</v>
      </c>
      <c r="M147" s="45">
        <v>0.1</v>
      </c>
      <c r="N147" s="50">
        <v>0.25</v>
      </c>
      <c r="O147" s="46">
        <f t="shared" si="7"/>
        <v>0.32499999999999996</v>
      </c>
      <c r="P147" s="47">
        <f t="shared" si="8"/>
        <v>0.16249999999999998</v>
      </c>
      <c r="Q147" s="42" t="s">
        <v>67</v>
      </c>
      <c r="R147" s="42" t="s">
        <v>66</v>
      </c>
      <c r="S147" s="42" t="s">
        <v>66</v>
      </c>
      <c r="T147" s="42" t="s">
        <v>473</v>
      </c>
      <c r="U147" s="42" t="s">
        <v>96</v>
      </c>
      <c r="V147" s="42" t="s">
        <v>610</v>
      </c>
      <c r="W147" s="42"/>
    </row>
    <row r="148" spans="1:23" ht="36" x14ac:dyDescent="0.25">
      <c r="A148" s="42" t="s">
        <v>605</v>
      </c>
      <c r="B148" s="42" t="s">
        <v>637</v>
      </c>
      <c r="C148" s="42" t="s">
        <v>638</v>
      </c>
      <c r="D148" s="43" t="s">
        <v>26</v>
      </c>
      <c r="E148" s="42" t="s">
        <v>639</v>
      </c>
      <c r="F148" s="42" t="s">
        <v>492</v>
      </c>
      <c r="G148" s="42" t="s">
        <v>640</v>
      </c>
      <c r="H148" s="42" t="s">
        <v>494</v>
      </c>
      <c r="I148" s="42" t="s">
        <v>95</v>
      </c>
      <c r="J148" s="42">
        <v>5</v>
      </c>
      <c r="K148" s="42">
        <v>1</v>
      </c>
      <c r="L148" s="44">
        <f t="shared" si="6"/>
        <v>0.83333333333333337</v>
      </c>
      <c r="M148" s="45">
        <v>0.6</v>
      </c>
      <c r="N148" s="45">
        <v>0.15</v>
      </c>
      <c r="O148" s="46">
        <f t="shared" si="7"/>
        <v>0.65999999999999992</v>
      </c>
      <c r="P148" s="47">
        <f t="shared" si="8"/>
        <v>0.54999999999999993</v>
      </c>
      <c r="Q148" s="42" t="s">
        <v>55</v>
      </c>
      <c r="R148" s="42" t="s">
        <v>32</v>
      </c>
      <c r="S148" s="42" t="s">
        <v>33</v>
      </c>
      <c r="T148" s="42" t="s">
        <v>34</v>
      </c>
      <c r="U148" s="42" t="s">
        <v>67</v>
      </c>
      <c r="V148" s="42" t="s">
        <v>166</v>
      </c>
      <c r="W148" s="42"/>
    </row>
    <row r="149" spans="1:23" ht="36" x14ac:dyDescent="0.25">
      <c r="A149" s="42" t="s">
        <v>605</v>
      </c>
      <c r="B149" s="42" t="s">
        <v>637</v>
      </c>
      <c r="C149" s="42" t="s">
        <v>641</v>
      </c>
      <c r="D149" s="48" t="s">
        <v>55</v>
      </c>
      <c r="E149" s="42" t="s">
        <v>642</v>
      </c>
      <c r="F149" s="42" t="s">
        <v>484</v>
      </c>
      <c r="G149" s="42" t="s">
        <v>640</v>
      </c>
      <c r="H149" s="42" t="s">
        <v>449</v>
      </c>
      <c r="I149" s="42" t="s">
        <v>95</v>
      </c>
      <c r="J149" s="42">
        <v>5</v>
      </c>
      <c r="K149" s="42">
        <v>1</v>
      </c>
      <c r="L149" s="44">
        <f t="shared" si="6"/>
        <v>0.83333333333333337</v>
      </c>
      <c r="M149" s="45">
        <v>0.35</v>
      </c>
      <c r="N149" s="45">
        <v>0.15</v>
      </c>
      <c r="O149" s="46">
        <f t="shared" si="7"/>
        <v>0.44750000000000001</v>
      </c>
      <c r="P149" s="47">
        <f t="shared" si="8"/>
        <v>0.37291666666666667</v>
      </c>
      <c r="Q149" s="42" t="s">
        <v>55</v>
      </c>
      <c r="R149" s="42" t="s">
        <v>32</v>
      </c>
      <c r="S149" s="42" t="s">
        <v>32</v>
      </c>
      <c r="T149" s="42" t="s">
        <v>60</v>
      </c>
      <c r="U149" s="42" t="s">
        <v>67</v>
      </c>
      <c r="V149" s="42" t="s">
        <v>166</v>
      </c>
      <c r="W149" s="42"/>
    </row>
    <row r="150" spans="1:23" ht="36" x14ac:dyDescent="0.25">
      <c r="A150" s="42" t="s">
        <v>605</v>
      </c>
      <c r="B150" s="42" t="s">
        <v>637</v>
      </c>
      <c r="C150" s="42" t="s">
        <v>643</v>
      </c>
      <c r="D150" s="48" t="s">
        <v>55</v>
      </c>
      <c r="E150" s="42" t="s">
        <v>644</v>
      </c>
      <c r="F150" s="42" t="s">
        <v>515</v>
      </c>
      <c r="G150" s="42" t="s">
        <v>640</v>
      </c>
      <c r="H150" s="42" t="s">
        <v>449</v>
      </c>
      <c r="I150" s="42" t="s">
        <v>95</v>
      </c>
      <c r="J150" s="42">
        <v>5</v>
      </c>
      <c r="K150" s="42">
        <v>1</v>
      </c>
      <c r="L150" s="44">
        <f t="shared" si="6"/>
        <v>0.83333333333333337</v>
      </c>
      <c r="M150" s="45">
        <v>0.35</v>
      </c>
      <c r="N150" s="45">
        <v>0.15</v>
      </c>
      <c r="O150" s="46">
        <f t="shared" si="7"/>
        <v>0.44750000000000001</v>
      </c>
      <c r="P150" s="47">
        <f t="shared" si="8"/>
        <v>0.37291666666666667</v>
      </c>
      <c r="Q150" s="42" t="s">
        <v>55</v>
      </c>
      <c r="R150" s="42" t="s">
        <v>32</v>
      </c>
      <c r="S150" s="42" t="s">
        <v>32</v>
      </c>
      <c r="T150" s="42" t="s">
        <v>60</v>
      </c>
      <c r="U150" s="42" t="s">
        <v>67</v>
      </c>
      <c r="V150" s="42" t="s">
        <v>166</v>
      </c>
      <c r="W150" s="42"/>
    </row>
    <row r="151" spans="1:23" ht="36" x14ac:dyDescent="0.25">
      <c r="A151" s="42" t="s">
        <v>605</v>
      </c>
      <c r="B151" s="42" t="s">
        <v>637</v>
      </c>
      <c r="C151" s="42" t="s">
        <v>645</v>
      </c>
      <c r="D151" s="48" t="s">
        <v>55</v>
      </c>
      <c r="E151" s="42" t="s">
        <v>646</v>
      </c>
      <c r="F151" s="42" t="s">
        <v>447</v>
      </c>
      <c r="G151" s="42" t="s">
        <v>640</v>
      </c>
      <c r="H151" s="42" t="s">
        <v>449</v>
      </c>
      <c r="I151" s="42" t="s">
        <v>95</v>
      </c>
      <c r="J151" s="42">
        <v>5</v>
      </c>
      <c r="K151" s="42">
        <v>1</v>
      </c>
      <c r="L151" s="44">
        <f t="shared" si="6"/>
        <v>0.83333333333333337</v>
      </c>
      <c r="M151" s="45">
        <v>0.35</v>
      </c>
      <c r="N151" s="45">
        <v>0.15</v>
      </c>
      <c r="O151" s="46">
        <f t="shared" si="7"/>
        <v>0.44750000000000001</v>
      </c>
      <c r="P151" s="47">
        <f t="shared" si="8"/>
        <v>0.37291666666666667</v>
      </c>
      <c r="Q151" s="42" t="s">
        <v>55</v>
      </c>
      <c r="R151" s="42" t="s">
        <v>32</v>
      </c>
      <c r="S151" s="42" t="s">
        <v>32</v>
      </c>
      <c r="T151" s="42" t="s">
        <v>60</v>
      </c>
      <c r="U151" s="42" t="s">
        <v>67</v>
      </c>
      <c r="V151" s="42" t="s">
        <v>166</v>
      </c>
      <c r="W151" s="42"/>
    </row>
    <row r="152" spans="1:23" ht="36" x14ac:dyDescent="0.25">
      <c r="A152" s="42" t="s">
        <v>605</v>
      </c>
      <c r="B152" s="42" t="s">
        <v>637</v>
      </c>
      <c r="C152" s="42" t="s">
        <v>647</v>
      </c>
      <c r="D152" s="49" t="s">
        <v>66</v>
      </c>
      <c r="E152" s="42" t="s">
        <v>648</v>
      </c>
      <c r="F152" s="42" t="s">
        <v>472</v>
      </c>
      <c r="G152" s="42" t="s">
        <v>640</v>
      </c>
      <c r="H152" s="42" t="s">
        <v>462</v>
      </c>
      <c r="I152" s="42" t="s">
        <v>95</v>
      </c>
      <c r="J152" s="42">
        <v>5</v>
      </c>
      <c r="K152" s="42">
        <v>1</v>
      </c>
      <c r="L152" s="44">
        <f t="shared" si="6"/>
        <v>0.83333333333333337</v>
      </c>
      <c r="M152" s="45">
        <v>0.35</v>
      </c>
      <c r="N152" s="45">
        <v>0.15</v>
      </c>
      <c r="O152" s="46">
        <f t="shared" si="7"/>
        <v>0.44750000000000001</v>
      </c>
      <c r="P152" s="47">
        <f t="shared" si="8"/>
        <v>0.37291666666666667</v>
      </c>
      <c r="Q152" s="42" t="s">
        <v>67</v>
      </c>
      <c r="R152" s="42" t="s">
        <v>66</v>
      </c>
      <c r="S152" s="42" t="s">
        <v>66</v>
      </c>
      <c r="T152" s="42" t="s">
        <v>473</v>
      </c>
      <c r="U152" s="42" t="s">
        <v>96</v>
      </c>
      <c r="V152" s="42" t="s">
        <v>166</v>
      </c>
      <c r="W152" s="42"/>
    </row>
    <row r="153" spans="1:23" ht="36" x14ac:dyDescent="0.25">
      <c r="A153" s="42" t="s">
        <v>605</v>
      </c>
      <c r="B153" s="42" t="s">
        <v>637</v>
      </c>
      <c r="C153" s="42" t="s">
        <v>649</v>
      </c>
      <c r="D153" s="49" t="s">
        <v>66</v>
      </c>
      <c r="E153" s="42" t="s">
        <v>650</v>
      </c>
      <c r="F153" s="42" t="s">
        <v>472</v>
      </c>
      <c r="G153" s="42" t="s">
        <v>640</v>
      </c>
      <c r="H153" s="42" t="s">
        <v>462</v>
      </c>
      <c r="I153" s="42" t="s">
        <v>95</v>
      </c>
      <c r="J153" s="42">
        <v>5</v>
      </c>
      <c r="K153" s="42">
        <v>1</v>
      </c>
      <c r="L153" s="44">
        <f t="shared" si="6"/>
        <v>0.83333333333333337</v>
      </c>
      <c r="M153" s="45">
        <v>0.1</v>
      </c>
      <c r="N153" s="45">
        <v>0.15</v>
      </c>
      <c r="O153" s="46">
        <f t="shared" si="7"/>
        <v>0.23499999999999999</v>
      </c>
      <c r="P153" s="47">
        <f t="shared" si="8"/>
        <v>0.19583333333333333</v>
      </c>
      <c r="Q153" s="42" t="s">
        <v>66</v>
      </c>
      <c r="R153" s="42" t="s">
        <v>66</v>
      </c>
      <c r="S153" s="42" t="s">
        <v>66</v>
      </c>
      <c r="T153" s="42" t="s">
        <v>554</v>
      </c>
      <c r="U153" s="42" t="s">
        <v>96</v>
      </c>
      <c r="V153" s="42" t="s">
        <v>166</v>
      </c>
      <c r="W153" s="42"/>
    </row>
    <row r="154" spans="1:23" ht="36" x14ac:dyDescent="0.25">
      <c r="A154" s="42" t="s">
        <v>605</v>
      </c>
      <c r="B154" s="42" t="s">
        <v>651</v>
      </c>
      <c r="C154" s="42" t="s">
        <v>652</v>
      </c>
      <c r="D154" s="48" t="s">
        <v>55</v>
      </c>
      <c r="E154" s="42" t="s">
        <v>653</v>
      </c>
      <c r="F154" s="42" t="s">
        <v>452</v>
      </c>
      <c r="G154" s="42" t="s">
        <v>654</v>
      </c>
      <c r="H154" s="42" t="s">
        <v>449</v>
      </c>
      <c r="I154" s="42" t="s">
        <v>95</v>
      </c>
      <c r="J154" s="42">
        <v>5</v>
      </c>
      <c r="K154" s="42">
        <v>1</v>
      </c>
      <c r="L154" s="44">
        <f t="shared" si="6"/>
        <v>0.83333333333333337</v>
      </c>
      <c r="M154" s="45">
        <v>0.35</v>
      </c>
      <c r="N154" s="45">
        <v>0.15</v>
      </c>
      <c r="O154" s="46">
        <f t="shared" si="7"/>
        <v>0.44750000000000001</v>
      </c>
      <c r="P154" s="47">
        <f t="shared" si="8"/>
        <v>0.37291666666666667</v>
      </c>
      <c r="Q154" s="42" t="s">
        <v>55</v>
      </c>
      <c r="R154" s="42" t="s">
        <v>32</v>
      </c>
      <c r="S154" s="42" t="s">
        <v>32</v>
      </c>
      <c r="T154" s="42" t="s">
        <v>60</v>
      </c>
      <c r="U154" s="42" t="s">
        <v>96</v>
      </c>
      <c r="V154" s="42" t="s">
        <v>166</v>
      </c>
      <c r="W154" s="42"/>
    </row>
    <row r="155" spans="1:23" ht="36" x14ac:dyDescent="0.25">
      <c r="A155" s="42" t="s">
        <v>605</v>
      </c>
      <c r="B155" s="42" t="s">
        <v>651</v>
      </c>
      <c r="C155" s="42" t="s">
        <v>655</v>
      </c>
      <c r="D155" s="48" t="s">
        <v>55</v>
      </c>
      <c r="E155" s="42" t="s">
        <v>656</v>
      </c>
      <c r="F155" s="42" t="s">
        <v>452</v>
      </c>
      <c r="G155" s="42" t="s">
        <v>654</v>
      </c>
      <c r="H155" s="42" t="s">
        <v>449</v>
      </c>
      <c r="I155" s="42" t="s">
        <v>95</v>
      </c>
      <c r="J155" s="42">
        <v>5</v>
      </c>
      <c r="K155" s="42">
        <v>1</v>
      </c>
      <c r="L155" s="44">
        <f t="shared" si="6"/>
        <v>0.83333333333333337</v>
      </c>
      <c r="M155" s="45">
        <v>0.35</v>
      </c>
      <c r="N155" s="45">
        <v>0.15</v>
      </c>
      <c r="O155" s="46">
        <f t="shared" si="7"/>
        <v>0.44750000000000001</v>
      </c>
      <c r="P155" s="47">
        <f t="shared" si="8"/>
        <v>0.37291666666666667</v>
      </c>
      <c r="Q155" s="42" t="s">
        <v>55</v>
      </c>
      <c r="R155" s="42" t="s">
        <v>32</v>
      </c>
      <c r="S155" s="42" t="s">
        <v>32</v>
      </c>
      <c r="T155" s="42" t="s">
        <v>60</v>
      </c>
      <c r="U155" s="42" t="s">
        <v>189</v>
      </c>
      <c r="V155" s="42" t="s">
        <v>166</v>
      </c>
      <c r="W155" s="42"/>
    </row>
    <row r="156" spans="1:23" ht="36" x14ac:dyDescent="0.25">
      <c r="A156" s="42" t="s">
        <v>605</v>
      </c>
      <c r="B156" s="42" t="s">
        <v>651</v>
      </c>
      <c r="C156" s="42" t="s">
        <v>657</v>
      </c>
      <c r="D156" s="48" t="s">
        <v>55</v>
      </c>
      <c r="E156" s="42" t="s">
        <v>658</v>
      </c>
      <c r="F156" s="42" t="s">
        <v>452</v>
      </c>
      <c r="G156" s="42" t="s">
        <v>654</v>
      </c>
      <c r="H156" s="42" t="s">
        <v>449</v>
      </c>
      <c r="I156" s="42" t="s">
        <v>95</v>
      </c>
      <c r="J156" s="42">
        <v>5</v>
      </c>
      <c r="K156" s="42">
        <v>1</v>
      </c>
      <c r="L156" s="44">
        <f t="shared" si="6"/>
        <v>0.83333333333333337</v>
      </c>
      <c r="M156" s="45">
        <v>0.35</v>
      </c>
      <c r="N156" s="45">
        <v>0.15</v>
      </c>
      <c r="O156" s="46">
        <f t="shared" si="7"/>
        <v>0.44750000000000001</v>
      </c>
      <c r="P156" s="47">
        <f t="shared" si="8"/>
        <v>0.37291666666666667</v>
      </c>
      <c r="Q156" s="42" t="s">
        <v>55</v>
      </c>
      <c r="R156" s="42" t="s">
        <v>32</v>
      </c>
      <c r="S156" s="42" t="s">
        <v>32</v>
      </c>
      <c r="T156" s="42" t="s">
        <v>60</v>
      </c>
      <c r="U156" s="42" t="s">
        <v>96</v>
      </c>
      <c r="V156" s="42" t="s">
        <v>166</v>
      </c>
      <c r="W156" s="42"/>
    </row>
    <row r="157" spans="1:23" ht="36" x14ac:dyDescent="0.25">
      <c r="A157" s="42" t="s">
        <v>605</v>
      </c>
      <c r="B157" s="42" t="s">
        <v>651</v>
      </c>
      <c r="C157" s="42" t="s">
        <v>659</v>
      </c>
      <c r="D157" s="48" t="s">
        <v>55</v>
      </c>
      <c r="E157" s="42" t="s">
        <v>660</v>
      </c>
      <c r="F157" s="42" t="s">
        <v>452</v>
      </c>
      <c r="G157" s="42" t="s">
        <v>654</v>
      </c>
      <c r="H157" s="42" t="s">
        <v>449</v>
      </c>
      <c r="I157" s="42" t="s">
        <v>95</v>
      </c>
      <c r="J157" s="42">
        <v>5</v>
      </c>
      <c r="K157" s="42">
        <v>1</v>
      </c>
      <c r="L157" s="44">
        <f t="shared" si="6"/>
        <v>0.83333333333333337</v>
      </c>
      <c r="M157" s="45">
        <v>0.35</v>
      </c>
      <c r="N157" s="45">
        <v>0.15</v>
      </c>
      <c r="O157" s="46">
        <f t="shared" si="7"/>
        <v>0.44750000000000001</v>
      </c>
      <c r="P157" s="47">
        <f t="shared" si="8"/>
        <v>0.37291666666666667</v>
      </c>
      <c r="Q157" s="42" t="s">
        <v>55</v>
      </c>
      <c r="R157" s="42" t="s">
        <v>32</v>
      </c>
      <c r="S157" s="42" t="s">
        <v>32</v>
      </c>
      <c r="T157" s="42" t="s">
        <v>60</v>
      </c>
      <c r="U157" s="42" t="s">
        <v>67</v>
      </c>
      <c r="V157" s="42" t="s">
        <v>166</v>
      </c>
      <c r="W157" s="42"/>
    </row>
    <row r="158" spans="1:23" ht="36" x14ac:dyDescent="0.25">
      <c r="A158" s="42" t="s">
        <v>605</v>
      </c>
      <c r="B158" s="42" t="s">
        <v>651</v>
      </c>
      <c r="C158" s="42" t="s">
        <v>661</v>
      </c>
      <c r="D158" s="49" t="s">
        <v>66</v>
      </c>
      <c r="E158" s="42" t="s">
        <v>662</v>
      </c>
      <c r="F158" s="42" t="s">
        <v>461</v>
      </c>
      <c r="G158" s="42" t="s">
        <v>654</v>
      </c>
      <c r="H158" s="42" t="s">
        <v>462</v>
      </c>
      <c r="I158" s="42" t="s">
        <v>95</v>
      </c>
      <c r="J158" s="42">
        <v>5</v>
      </c>
      <c r="K158" s="42">
        <v>1</v>
      </c>
      <c r="L158" s="44">
        <f t="shared" si="6"/>
        <v>0.83333333333333337</v>
      </c>
      <c r="M158" s="45">
        <v>0.1</v>
      </c>
      <c r="N158" s="45">
        <v>0.15</v>
      </c>
      <c r="O158" s="46">
        <f t="shared" si="7"/>
        <v>0.23499999999999999</v>
      </c>
      <c r="P158" s="47">
        <f t="shared" si="8"/>
        <v>0.19583333333333333</v>
      </c>
      <c r="Q158" s="42" t="s">
        <v>66</v>
      </c>
      <c r="R158" s="42" t="s">
        <v>66</v>
      </c>
      <c r="S158" s="42" t="s">
        <v>66</v>
      </c>
      <c r="T158" s="42" t="s">
        <v>463</v>
      </c>
      <c r="U158" s="42" t="s">
        <v>96</v>
      </c>
      <c r="V158" s="42" t="s">
        <v>166</v>
      </c>
      <c r="W158" s="42"/>
    </row>
    <row r="159" spans="1:23" ht="36" x14ac:dyDescent="0.25">
      <c r="A159" s="42" t="s">
        <v>605</v>
      </c>
      <c r="B159" s="42" t="s">
        <v>651</v>
      </c>
      <c r="C159" s="42" t="s">
        <v>663</v>
      </c>
      <c r="D159" s="49" t="s">
        <v>66</v>
      </c>
      <c r="E159" s="42" t="s">
        <v>664</v>
      </c>
      <c r="F159" s="42" t="s">
        <v>472</v>
      </c>
      <c r="G159" s="42" t="s">
        <v>654</v>
      </c>
      <c r="H159" s="42" t="s">
        <v>462</v>
      </c>
      <c r="I159" s="42" t="s">
        <v>95</v>
      </c>
      <c r="J159" s="42">
        <v>5</v>
      </c>
      <c r="K159" s="42">
        <v>1</v>
      </c>
      <c r="L159" s="44">
        <f t="shared" si="6"/>
        <v>0.83333333333333337</v>
      </c>
      <c r="M159" s="45">
        <v>0.1</v>
      </c>
      <c r="N159" s="45">
        <v>0.15</v>
      </c>
      <c r="O159" s="46">
        <f t="shared" si="7"/>
        <v>0.23499999999999999</v>
      </c>
      <c r="P159" s="47">
        <f t="shared" si="8"/>
        <v>0.19583333333333333</v>
      </c>
      <c r="Q159" s="42" t="s">
        <v>66</v>
      </c>
      <c r="R159" s="42" t="s">
        <v>66</v>
      </c>
      <c r="S159" s="42" t="s">
        <v>66</v>
      </c>
      <c r="T159" s="42" t="s">
        <v>554</v>
      </c>
      <c r="U159" s="42" t="s">
        <v>189</v>
      </c>
      <c r="V159" s="42" t="s">
        <v>166</v>
      </c>
      <c r="W159" s="42"/>
    </row>
    <row r="160" spans="1:23" ht="36" x14ac:dyDescent="0.25">
      <c r="A160" s="42" t="s">
        <v>605</v>
      </c>
      <c r="B160" s="42" t="s">
        <v>665</v>
      </c>
      <c r="C160" s="42" t="s">
        <v>666</v>
      </c>
      <c r="D160" s="43" t="s">
        <v>26</v>
      </c>
      <c r="E160" s="42" t="s">
        <v>667</v>
      </c>
      <c r="F160" s="42" t="s">
        <v>492</v>
      </c>
      <c r="G160" s="42" t="s">
        <v>668</v>
      </c>
      <c r="H160" s="42" t="s">
        <v>494</v>
      </c>
      <c r="I160" s="42" t="s">
        <v>95</v>
      </c>
      <c r="J160" s="42">
        <v>3</v>
      </c>
      <c r="K160" s="42">
        <v>1</v>
      </c>
      <c r="L160" s="44">
        <f t="shared" si="6"/>
        <v>0.6</v>
      </c>
      <c r="M160" s="45">
        <v>0.6</v>
      </c>
      <c r="N160" s="45">
        <v>0.15</v>
      </c>
      <c r="O160" s="46">
        <f t="shared" si="7"/>
        <v>0.65999999999999992</v>
      </c>
      <c r="P160" s="47">
        <f t="shared" si="8"/>
        <v>0.39599999999999996</v>
      </c>
      <c r="Q160" s="42" t="s">
        <v>26</v>
      </c>
      <c r="R160" s="42" t="s">
        <v>33</v>
      </c>
      <c r="S160" s="42" t="s">
        <v>33</v>
      </c>
      <c r="T160" s="42" t="s">
        <v>34</v>
      </c>
      <c r="U160" s="42" t="s">
        <v>67</v>
      </c>
      <c r="V160" s="42" t="s">
        <v>610</v>
      </c>
      <c r="W160" s="42"/>
    </row>
    <row r="161" spans="1:23" ht="36" x14ac:dyDescent="0.25">
      <c r="A161" s="42" t="s">
        <v>605</v>
      </c>
      <c r="B161" s="42" t="s">
        <v>665</v>
      </c>
      <c r="C161" s="42" t="s">
        <v>669</v>
      </c>
      <c r="D161" s="43" t="s">
        <v>26</v>
      </c>
      <c r="E161" s="42" t="s">
        <v>670</v>
      </c>
      <c r="F161" s="42" t="s">
        <v>492</v>
      </c>
      <c r="G161" s="42" t="s">
        <v>668</v>
      </c>
      <c r="H161" s="42" t="s">
        <v>494</v>
      </c>
      <c r="I161" s="42" t="s">
        <v>95</v>
      </c>
      <c r="J161" s="42">
        <v>3</v>
      </c>
      <c r="K161" s="42">
        <v>1</v>
      </c>
      <c r="L161" s="44">
        <f t="shared" si="6"/>
        <v>0.6</v>
      </c>
      <c r="M161" s="45">
        <v>0.6</v>
      </c>
      <c r="N161" s="45">
        <v>0.15</v>
      </c>
      <c r="O161" s="46">
        <f t="shared" si="7"/>
        <v>0.65999999999999992</v>
      </c>
      <c r="P161" s="47">
        <f t="shared" si="8"/>
        <v>0.39599999999999996</v>
      </c>
      <c r="Q161" s="42" t="s">
        <v>55</v>
      </c>
      <c r="R161" s="42" t="s">
        <v>32</v>
      </c>
      <c r="S161" s="42" t="s">
        <v>33</v>
      </c>
      <c r="T161" s="42" t="s">
        <v>34</v>
      </c>
      <c r="U161" s="42" t="s">
        <v>67</v>
      </c>
      <c r="V161" s="42" t="s">
        <v>610</v>
      </c>
      <c r="W161" s="42"/>
    </row>
    <row r="162" spans="1:23" ht="36" x14ac:dyDescent="0.25">
      <c r="A162" s="42" t="s">
        <v>605</v>
      </c>
      <c r="B162" s="42" t="s">
        <v>665</v>
      </c>
      <c r="C162" s="42" t="s">
        <v>671</v>
      </c>
      <c r="D162" s="43" t="s">
        <v>26</v>
      </c>
      <c r="E162" s="42" t="s">
        <v>672</v>
      </c>
      <c r="F162" s="42" t="s">
        <v>492</v>
      </c>
      <c r="G162" s="42" t="s">
        <v>668</v>
      </c>
      <c r="H162" s="42" t="s">
        <v>494</v>
      </c>
      <c r="I162" s="42" t="s">
        <v>95</v>
      </c>
      <c r="J162" s="42">
        <v>3</v>
      </c>
      <c r="K162" s="42">
        <v>1</v>
      </c>
      <c r="L162" s="44">
        <f t="shared" si="6"/>
        <v>0.6</v>
      </c>
      <c r="M162" s="45">
        <v>0.6</v>
      </c>
      <c r="N162" s="45">
        <v>0.15</v>
      </c>
      <c r="O162" s="46">
        <f t="shared" si="7"/>
        <v>0.65999999999999992</v>
      </c>
      <c r="P162" s="47">
        <f t="shared" si="8"/>
        <v>0.39599999999999996</v>
      </c>
      <c r="Q162" s="42" t="s">
        <v>55</v>
      </c>
      <c r="R162" s="42" t="s">
        <v>32</v>
      </c>
      <c r="S162" s="42" t="s">
        <v>33</v>
      </c>
      <c r="T162" s="42" t="s">
        <v>34</v>
      </c>
      <c r="U162" s="42" t="s">
        <v>96</v>
      </c>
      <c r="V162" s="42" t="s">
        <v>610</v>
      </c>
      <c r="W162" s="42"/>
    </row>
    <row r="163" spans="1:23" ht="36" x14ac:dyDescent="0.25">
      <c r="A163" s="42" t="s">
        <v>605</v>
      </c>
      <c r="B163" s="42" t="s">
        <v>665</v>
      </c>
      <c r="C163" s="42" t="s">
        <v>673</v>
      </c>
      <c r="D163" s="48" t="s">
        <v>55</v>
      </c>
      <c r="E163" s="42" t="s">
        <v>674</v>
      </c>
      <c r="F163" s="42" t="s">
        <v>484</v>
      </c>
      <c r="G163" s="42" t="s">
        <v>668</v>
      </c>
      <c r="H163" s="42" t="s">
        <v>449</v>
      </c>
      <c r="I163" s="42" t="s">
        <v>95</v>
      </c>
      <c r="J163" s="42">
        <v>3</v>
      </c>
      <c r="K163" s="42">
        <v>1</v>
      </c>
      <c r="L163" s="44">
        <f t="shared" si="6"/>
        <v>0.6</v>
      </c>
      <c r="M163" s="45">
        <v>0.35</v>
      </c>
      <c r="N163" s="45">
        <v>0.15</v>
      </c>
      <c r="O163" s="46">
        <f t="shared" si="7"/>
        <v>0.44750000000000001</v>
      </c>
      <c r="P163" s="47">
        <f t="shared" si="8"/>
        <v>0.26850000000000002</v>
      </c>
      <c r="Q163" s="42" t="s">
        <v>55</v>
      </c>
      <c r="R163" s="42" t="s">
        <v>32</v>
      </c>
      <c r="S163" s="42" t="s">
        <v>32</v>
      </c>
      <c r="T163" s="42" t="s">
        <v>60</v>
      </c>
      <c r="U163" s="42" t="s">
        <v>96</v>
      </c>
      <c r="V163" s="42" t="s">
        <v>610</v>
      </c>
      <c r="W163" s="42"/>
    </row>
    <row r="164" spans="1:23" ht="36" x14ac:dyDescent="0.25">
      <c r="A164" s="42" t="s">
        <v>605</v>
      </c>
      <c r="B164" s="42" t="s">
        <v>665</v>
      </c>
      <c r="C164" s="42" t="s">
        <v>675</v>
      </c>
      <c r="D164" s="49" t="s">
        <v>66</v>
      </c>
      <c r="E164" s="42" t="s">
        <v>676</v>
      </c>
      <c r="F164" s="42" t="s">
        <v>468</v>
      </c>
      <c r="G164" s="42" t="s">
        <v>668</v>
      </c>
      <c r="H164" s="42" t="s">
        <v>462</v>
      </c>
      <c r="I164" s="42" t="s">
        <v>95</v>
      </c>
      <c r="J164" s="42">
        <v>3</v>
      </c>
      <c r="K164" s="42">
        <v>1</v>
      </c>
      <c r="L164" s="44">
        <f t="shared" si="6"/>
        <v>0.6</v>
      </c>
      <c r="M164" s="45">
        <v>0.1</v>
      </c>
      <c r="N164" s="45">
        <v>0.15</v>
      </c>
      <c r="O164" s="46">
        <f t="shared" si="7"/>
        <v>0.23499999999999999</v>
      </c>
      <c r="P164" s="47">
        <f t="shared" si="8"/>
        <v>0.14099999999999999</v>
      </c>
      <c r="Q164" s="42" t="s">
        <v>66</v>
      </c>
      <c r="R164" s="42" t="s">
        <v>66</v>
      </c>
      <c r="S164" s="42" t="s">
        <v>66</v>
      </c>
      <c r="T164" s="42" t="s">
        <v>469</v>
      </c>
      <c r="U164" s="42" t="s">
        <v>67</v>
      </c>
      <c r="V164" s="42" t="s">
        <v>610</v>
      </c>
      <c r="W164" s="42"/>
    </row>
    <row r="165" spans="1:23" ht="36" x14ac:dyDescent="0.25">
      <c r="A165" s="42" t="s">
        <v>605</v>
      </c>
      <c r="B165" s="42" t="s">
        <v>677</v>
      </c>
      <c r="C165" s="42" t="s">
        <v>678</v>
      </c>
      <c r="D165" s="43" t="s">
        <v>26</v>
      </c>
      <c r="E165" s="42" t="s">
        <v>679</v>
      </c>
      <c r="F165" s="42" t="s">
        <v>492</v>
      </c>
      <c r="G165" s="42" t="s">
        <v>680</v>
      </c>
      <c r="H165" s="42" t="s">
        <v>494</v>
      </c>
      <c r="I165" s="42" t="s">
        <v>95</v>
      </c>
      <c r="J165" s="42">
        <v>5</v>
      </c>
      <c r="K165" s="42">
        <v>1</v>
      </c>
      <c r="L165" s="44">
        <f t="shared" si="6"/>
        <v>1.25</v>
      </c>
      <c r="M165" s="45">
        <v>0.6</v>
      </c>
      <c r="N165" s="45">
        <v>0.15</v>
      </c>
      <c r="O165" s="46">
        <f t="shared" si="7"/>
        <v>0.65999999999999992</v>
      </c>
      <c r="P165" s="47">
        <f t="shared" si="8"/>
        <v>0.82499999999999996</v>
      </c>
      <c r="Q165" s="42" t="s">
        <v>26</v>
      </c>
      <c r="R165" s="42" t="s">
        <v>33</v>
      </c>
      <c r="S165" s="42" t="s">
        <v>33</v>
      </c>
      <c r="T165" s="42" t="s">
        <v>34</v>
      </c>
      <c r="U165" s="42" t="s">
        <v>96</v>
      </c>
      <c r="V165" s="42" t="s">
        <v>166</v>
      </c>
      <c r="W165" s="42"/>
    </row>
    <row r="166" spans="1:23" ht="36" x14ac:dyDescent="0.25">
      <c r="A166" s="42" t="s">
        <v>605</v>
      </c>
      <c r="B166" s="42" t="s">
        <v>677</v>
      </c>
      <c r="C166" s="42" t="s">
        <v>681</v>
      </c>
      <c r="D166" s="48" t="s">
        <v>55</v>
      </c>
      <c r="E166" s="42" t="s">
        <v>682</v>
      </c>
      <c r="F166" s="42" t="s">
        <v>484</v>
      </c>
      <c r="G166" s="42" t="s">
        <v>680</v>
      </c>
      <c r="H166" s="42" t="s">
        <v>449</v>
      </c>
      <c r="I166" s="42" t="s">
        <v>95</v>
      </c>
      <c r="J166" s="42">
        <v>5</v>
      </c>
      <c r="K166" s="42">
        <v>1</v>
      </c>
      <c r="L166" s="44">
        <f t="shared" si="6"/>
        <v>1.25</v>
      </c>
      <c r="M166" s="45">
        <v>0.35</v>
      </c>
      <c r="N166" s="45">
        <v>0.15</v>
      </c>
      <c r="O166" s="46">
        <f t="shared" si="7"/>
        <v>0.44750000000000001</v>
      </c>
      <c r="P166" s="47">
        <f t="shared" si="8"/>
        <v>0.55937499999999996</v>
      </c>
      <c r="Q166" s="42" t="s">
        <v>55</v>
      </c>
      <c r="R166" s="42" t="s">
        <v>32</v>
      </c>
      <c r="S166" s="42" t="s">
        <v>32</v>
      </c>
      <c r="T166" s="42" t="s">
        <v>60</v>
      </c>
      <c r="U166" s="42" t="s">
        <v>189</v>
      </c>
      <c r="V166" s="42" t="s">
        <v>166</v>
      </c>
      <c r="W166" s="42"/>
    </row>
    <row r="167" spans="1:23" ht="36" x14ac:dyDescent="0.25">
      <c r="A167" s="42" t="s">
        <v>605</v>
      </c>
      <c r="B167" s="42" t="s">
        <v>677</v>
      </c>
      <c r="C167" s="42" t="s">
        <v>683</v>
      </c>
      <c r="D167" s="48" t="s">
        <v>55</v>
      </c>
      <c r="E167" s="42" t="s">
        <v>684</v>
      </c>
      <c r="F167" s="42" t="s">
        <v>484</v>
      </c>
      <c r="G167" s="42" t="s">
        <v>680</v>
      </c>
      <c r="H167" s="42" t="s">
        <v>449</v>
      </c>
      <c r="I167" s="42" t="s">
        <v>95</v>
      </c>
      <c r="J167" s="42">
        <v>5</v>
      </c>
      <c r="K167" s="42">
        <v>1</v>
      </c>
      <c r="L167" s="44">
        <f t="shared" si="6"/>
        <v>1.25</v>
      </c>
      <c r="M167" s="45">
        <v>0.35</v>
      </c>
      <c r="N167" s="45">
        <v>0.15</v>
      </c>
      <c r="O167" s="46">
        <f t="shared" si="7"/>
        <v>0.44750000000000001</v>
      </c>
      <c r="P167" s="47">
        <f t="shared" si="8"/>
        <v>0.55937499999999996</v>
      </c>
      <c r="Q167" s="42" t="s">
        <v>55</v>
      </c>
      <c r="R167" s="42" t="s">
        <v>32</v>
      </c>
      <c r="S167" s="42" t="s">
        <v>32</v>
      </c>
      <c r="T167" s="42" t="s">
        <v>60</v>
      </c>
      <c r="U167" s="42" t="s">
        <v>189</v>
      </c>
      <c r="V167" s="42" t="s">
        <v>166</v>
      </c>
      <c r="W167" s="42"/>
    </row>
    <row r="168" spans="1:23" ht="36" x14ac:dyDescent="0.25">
      <c r="A168" s="42" t="s">
        <v>605</v>
      </c>
      <c r="B168" s="42" t="s">
        <v>677</v>
      </c>
      <c r="C168" s="42" t="s">
        <v>685</v>
      </c>
      <c r="D168" s="49" t="s">
        <v>66</v>
      </c>
      <c r="E168" s="42" t="s">
        <v>686</v>
      </c>
      <c r="F168" s="42" t="s">
        <v>461</v>
      </c>
      <c r="G168" s="42" t="s">
        <v>680</v>
      </c>
      <c r="H168" s="42" t="s">
        <v>462</v>
      </c>
      <c r="I168" s="42" t="s">
        <v>95</v>
      </c>
      <c r="J168" s="42">
        <v>5</v>
      </c>
      <c r="K168" s="42">
        <v>1</v>
      </c>
      <c r="L168" s="44">
        <f t="shared" si="6"/>
        <v>1.25</v>
      </c>
      <c r="M168" s="45">
        <v>0.1</v>
      </c>
      <c r="N168" s="45">
        <v>0.15</v>
      </c>
      <c r="O168" s="46">
        <f t="shared" si="7"/>
        <v>0.23499999999999999</v>
      </c>
      <c r="P168" s="47">
        <f t="shared" si="8"/>
        <v>0.29374999999999996</v>
      </c>
      <c r="Q168" s="42" t="s">
        <v>66</v>
      </c>
      <c r="R168" s="42" t="s">
        <v>66</v>
      </c>
      <c r="S168" s="42" t="s">
        <v>66</v>
      </c>
      <c r="T168" s="42" t="s">
        <v>473</v>
      </c>
      <c r="U168" s="42" t="s">
        <v>67</v>
      </c>
      <c r="V168" s="42" t="s">
        <v>166</v>
      </c>
      <c r="W168" s="42"/>
    </row>
    <row r="169" spans="1:23" ht="36" x14ac:dyDescent="0.25">
      <c r="A169" s="42" t="s">
        <v>605</v>
      </c>
      <c r="B169" s="42" t="s">
        <v>687</v>
      </c>
      <c r="C169" s="42" t="s">
        <v>688</v>
      </c>
      <c r="D169" s="43" t="s">
        <v>26</v>
      </c>
      <c r="E169" s="42" t="s">
        <v>689</v>
      </c>
      <c r="F169" s="42" t="s">
        <v>690</v>
      </c>
      <c r="G169" s="42" t="s">
        <v>691</v>
      </c>
      <c r="H169" s="42" t="s">
        <v>494</v>
      </c>
      <c r="I169" s="42" t="s">
        <v>95</v>
      </c>
      <c r="J169" s="42">
        <v>3</v>
      </c>
      <c r="K169" s="42">
        <v>1</v>
      </c>
      <c r="L169" s="44">
        <f t="shared" si="6"/>
        <v>0.6</v>
      </c>
      <c r="M169" s="45">
        <v>0.6</v>
      </c>
      <c r="N169" s="45">
        <v>0.1</v>
      </c>
      <c r="O169" s="46">
        <f t="shared" si="7"/>
        <v>0.6399999999999999</v>
      </c>
      <c r="P169" s="47">
        <f t="shared" si="8"/>
        <v>0.38399999999999995</v>
      </c>
      <c r="Q169" s="42" t="s">
        <v>55</v>
      </c>
      <c r="R169" s="42" t="s">
        <v>32</v>
      </c>
      <c r="S169" s="42" t="s">
        <v>33</v>
      </c>
      <c r="T169" s="42" t="s">
        <v>34</v>
      </c>
      <c r="U169" s="42" t="s">
        <v>67</v>
      </c>
      <c r="V169" s="42" t="s">
        <v>596</v>
      </c>
      <c r="W169" s="42"/>
    </row>
    <row r="170" spans="1:23" ht="36" x14ac:dyDescent="0.25">
      <c r="A170" s="42" t="s">
        <v>605</v>
      </c>
      <c r="B170" s="42" t="s">
        <v>687</v>
      </c>
      <c r="C170" s="42" t="s">
        <v>692</v>
      </c>
      <c r="D170" s="43" t="s">
        <v>26</v>
      </c>
      <c r="E170" s="42" t="s">
        <v>693</v>
      </c>
      <c r="F170" s="42" t="s">
        <v>492</v>
      </c>
      <c r="G170" s="42" t="s">
        <v>691</v>
      </c>
      <c r="H170" s="42" t="s">
        <v>494</v>
      </c>
      <c r="I170" s="42" t="s">
        <v>95</v>
      </c>
      <c r="J170" s="42">
        <v>3</v>
      </c>
      <c r="K170" s="42">
        <v>1</v>
      </c>
      <c r="L170" s="44">
        <f t="shared" si="6"/>
        <v>0.6</v>
      </c>
      <c r="M170" s="45">
        <v>0.6</v>
      </c>
      <c r="N170" s="45">
        <v>0.1</v>
      </c>
      <c r="O170" s="46">
        <f t="shared" si="7"/>
        <v>0.6399999999999999</v>
      </c>
      <c r="P170" s="47">
        <f t="shared" si="8"/>
        <v>0.38399999999999995</v>
      </c>
      <c r="Q170" s="42" t="s">
        <v>55</v>
      </c>
      <c r="R170" s="42" t="s">
        <v>32</v>
      </c>
      <c r="S170" s="42" t="s">
        <v>33</v>
      </c>
      <c r="T170" s="42" t="s">
        <v>34</v>
      </c>
      <c r="U170" s="42" t="s">
        <v>48</v>
      </c>
      <c r="V170" s="42" t="s">
        <v>596</v>
      </c>
      <c r="W170" s="42"/>
    </row>
    <row r="171" spans="1:23" ht="24" x14ac:dyDescent="0.25">
      <c r="A171" s="42" t="s">
        <v>605</v>
      </c>
      <c r="B171" s="42" t="s">
        <v>687</v>
      </c>
      <c r="C171" s="42" t="s">
        <v>694</v>
      </c>
      <c r="D171" s="48" t="s">
        <v>55</v>
      </c>
      <c r="E171" s="42" t="s">
        <v>695</v>
      </c>
      <c r="F171" s="42" t="s">
        <v>515</v>
      </c>
      <c r="G171" s="42" t="s">
        <v>691</v>
      </c>
      <c r="H171" s="42" t="s">
        <v>449</v>
      </c>
      <c r="I171" s="42" t="s">
        <v>95</v>
      </c>
      <c r="J171" s="42">
        <v>3</v>
      </c>
      <c r="K171" s="42">
        <v>1</v>
      </c>
      <c r="L171" s="44">
        <f t="shared" si="6"/>
        <v>0.6</v>
      </c>
      <c r="M171" s="45">
        <v>0.35</v>
      </c>
      <c r="N171" s="45">
        <v>0.1</v>
      </c>
      <c r="O171" s="46">
        <f t="shared" si="7"/>
        <v>0.41499999999999992</v>
      </c>
      <c r="P171" s="47">
        <f t="shared" si="8"/>
        <v>0.24899999999999994</v>
      </c>
      <c r="Q171" s="42" t="s">
        <v>55</v>
      </c>
      <c r="R171" s="42" t="s">
        <v>32</v>
      </c>
      <c r="S171" s="42" t="s">
        <v>32</v>
      </c>
      <c r="T171" s="42" t="s">
        <v>60</v>
      </c>
      <c r="U171" s="42" t="s">
        <v>67</v>
      </c>
      <c r="V171" s="42" t="s">
        <v>596</v>
      </c>
      <c r="W171" s="42"/>
    </row>
    <row r="172" spans="1:23" ht="36" x14ac:dyDescent="0.25">
      <c r="A172" s="42" t="s">
        <v>605</v>
      </c>
      <c r="B172" s="42" t="s">
        <v>687</v>
      </c>
      <c r="C172" s="42" t="s">
        <v>696</v>
      </c>
      <c r="D172" s="48" t="s">
        <v>55</v>
      </c>
      <c r="E172" s="42" t="s">
        <v>697</v>
      </c>
      <c r="F172" s="42" t="s">
        <v>497</v>
      </c>
      <c r="G172" s="42" t="s">
        <v>691</v>
      </c>
      <c r="H172" s="42" t="s">
        <v>449</v>
      </c>
      <c r="I172" s="42" t="s">
        <v>95</v>
      </c>
      <c r="J172" s="42">
        <v>3</v>
      </c>
      <c r="K172" s="42">
        <v>1</v>
      </c>
      <c r="L172" s="44">
        <f t="shared" si="6"/>
        <v>0.6</v>
      </c>
      <c r="M172" s="45">
        <v>0.35</v>
      </c>
      <c r="N172" s="45">
        <v>0.1</v>
      </c>
      <c r="O172" s="46">
        <f t="shared" si="7"/>
        <v>0.41499999999999992</v>
      </c>
      <c r="P172" s="47">
        <f t="shared" si="8"/>
        <v>0.24899999999999994</v>
      </c>
      <c r="Q172" s="42" t="s">
        <v>55</v>
      </c>
      <c r="R172" s="42" t="s">
        <v>32</v>
      </c>
      <c r="S172" s="42" t="s">
        <v>32</v>
      </c>
      <c r="T172" s="42" t="s">
        <v>60</v>
      </c>
      <c r="U172" s="42" t="s">
        <v>96</v>
      </c>
      <c r="V172" s="42" t="s">
        <v>596</v>
      </c>
      <c r="W172" s="42"/>
    </row>
    <row r="173" spans="1:23" ht="24" x14ac:dyDescent="0.25">
      <c r="A173" s="42" t="s">
        <v>605</v>
      </c>
      <c r="B173" s="42" t="s">
        <v>687</v>
      </c>
      <c r="C173" s="42" t="s">
        <v>698</v>
      </c>
      <c r="D173" s="49" t="s">
        <v>66</v>
      </c>
      <c r="E173" s="42" t="s">
        <v>699</v>
      </c>
      <c r="F173" s="42" t="s">
        <v>472</v>
      </c>
      <c r="G173" s="42" t="s">
        <v>691</v>
      </c>
      <c r="H173" s="42" t="s">
        <v>462</v>
      </c>
      <c r="I173" s="42" t="s">
        <v>95</v>
      </c>
      <c r="J173" s="42">
        <v>3</v>
      </c>
      <c r="K173" s="42">
        <v>1</v>
      </c>
      <c r="L173" s="44">
        <f t="shared" si="6"/>
        <v>0.6</v>
      </c>
      <c r="M173" s="45">
        <v>0.1</v>
      </c>
      <c r="N173" s="45">
        <v>0.1</v>
      </c>
      <c r="O173" s="46">
        <f t="shared" si="7"/>
        <v>0.18999999999999995</v>
      </c>
      <c r="P173" s="47">
        <f t="shared" si="8"/>
        <v>0.11399999999999996</v>
      </c>
      <c r="Q173" s="42" t="s">
        <v>66</v>
      </c>
      <c r="R173" s="42" t="s">
        <v>66</v>
      </c>
      <c r="S173" s="42" t="s">
        <v>66</v>
      </c>
      <c r="T173" s="42" t="s">
        <v>554</v>
      </c>
      <c r="U173" s="42" t="s">
        <v>67</v>
      </c>
      <c r="V173" s="42" t="s">
        <v>596</v>
      </c>
      <c r="W173" s="42"/>
    </row>
    <row r="174" spans="1:23" ht="36" x14ac:dyDescent="0.25">
      <c r="A174" s="42" t="s">
        <v>700</v>
      </c>
      <c r="B174" s="42" t="s">
        <v>701</v>
      </c>
      <c r="C174" s="42" t="s">
        <v>702</v>
      </c>
      <c r="D174" s="43" t="s">
        <v>26</v>
      </c>
      <c r="E174" s="42" t="s">
        <v>703</v>
      </c>
      <c r="F174" s="42" t="s">
        <v>492</v>
      </c>
      <c r="G174" s="42" t="s">
        <v>704</v>
      </c>
      <c r="H174" s="42" t="s">
        <v>494</v>
      </c>
      <c r="I174" s="42" t="s">
        <v>705</v>
      </c>
      <c r="J174" s="42">
        <v>8</v>
      </c>
      <c r="K174" s="42">
        <v>1</v>
      </c>
      <c r="L174" s="44">
        <f t="shared" si="6"/>
        <v>2</v>
      </c>
      <c r="M174" s="45">
        <v>0.6</v>
      </c>
      <c r="N174" s="45">
        <v>0.1</v>
      </c>
      <c r="O174" s="46">
        <f t="shared" si="7"/>
        <v>0.6399999999999999</v>
      </c>
      <c r="P174" s="47">
        <f t="shared" si="8"/>
        <v>1.2799999999999998</v>
      </c>
      <c r="Q174" s="42" t="s">
        <v>55</v>
      </c>
      <c r="R174" s="42" t="s">
        <v>32</v>
      </c>
      <c r="S174" s="42" t="s">
        <v>33</v>
      </c>
      <c r="T174" s="42" t="s">
        <v>34</v>
      </c>
      <c r="U174" s="42" t="s">
        <v>67</v>
      </c>
      <c r="V174" s="42" t="s">
        <v>208</v>
      </c>
      <c r="W174" s="42"/>
    </row>
    <row r="175" spans="1:23" ht="36" x14ac:dyDescent="0.25">
      <c r="A175" s="42" t="s">
        <v>700</v>
      </c>
      <c r="B175" s="42" t="s">
        <v>701</v>
      </c>
      <c r="C175" s="42" t="s">
        <v>706</v>
      </c>
      <c r="D175" s="43" t="s">
        <v>26</v>
      </c>
      <c r="E175" s="42" t="s">
        <v>707</v>
      </c>
      <c r="F175" s="42" t="s">
        <v>492</v>
      </c>
      <c r="G175" s="42" t="s">
        <v>704</v>
      </c>
      <c r="H175" s="42" t="s">
        <v>494</v>
      </c>
      <c r="I175" s="42" t="s">
        <v>705</v>
      </c>
      <c r="J175" s="42">
        <v>8</v>
      </c>
      <c r="K175" s="42">
        <v>1</v>
      </c>
      <c r="L175" s="44">
        <f t="shared" si="6"/>
        <v>2</v>
      </c>
      <c r="M175" s="45">
        <v>0.6</v>
      </c>
      <c r="N175" s="45">
        <v>0.1</v>
      </c>
      <c r="O175" s="46">
        <f t="shared" si="7"/>
        <v>0.6399999999999999</v>
      </c>
      <c r="P175" s="47">
        <f t="shared" si="8"/>
        <v>1.2799999999999998</v>
      </c>
      <c r="Q175" s="42" t="s">
        <v>55</v>
      </c>
      <c r="R175" s="42" t="s">
        <v>32</v>
      </c>
      <c r="S175" s="42" t="s">
        <v>33</v>
      </c>
      <c r="T175" s="42" t="s">
        <v>34</v>
      </c>
      <c r="U175" s="42" t="s">
        <v>67</v>
      </c>
      <c r="V175" s="42" t="s">
        <v>208</v>
      </c>
      <c r="W175" s="42"/>
    </row>
    <row r="176" spans="1:23" ht="24" x14ac:dyDescent="0.25">
      <c r="A176" s="42" t="s">
        <v>700</v>
      </c>
      <c r="B176" s="42" t="s">
        <v>701</v>
      </c>
      <c r="C176" s="42" t="s">
        <v>708</v>
      </c>
      <c r="D176" s="48" t="s">
        <v>55</v>
      </c>
      <c r="E176" s="42" t="s">
        <v>709</v>
      </c>
      <c r="F176" s="42" t="s">
        <v>447</v>
      </c>
      <c r="G176" s="42" t="s">
        <v>704</v>
      </c>
      <c r="H176" s="42" t="s">
        <v>449</v>
      </c>
      <c r="I176" s="42" t="s">
        <v>705</v>
      </c>
      <c r="J176" s="42">
        <v>8</v>
      </c>
      <c r="K176" s="42">
        <v>1</v>
      </c>
      <c r="L176" s="44">
        <f t="shared" si="6"/>
        <v>2</v>
      </c>
      <c r="M176" s="45">
        <v>0.35</v>
      </c>
      <c r="N176" s="45">
        <v>0.1</v>
      </c>
      <c r="O176" s="46">
        <f t="shared" si="7"/>
        <v>0.41499999999999992</v>
      </c>
      <c r="P176" s="47">
        <f t="shared" si="8"/>
        <v>0.82999999999999985</v>
      </c>
      <c r="Q176" s="42" t="s">
        <v>55</v>
      </c>
      <c r="R176" s="42" t="s">
        <v>32</v>
      </c>
      <c r="S176" s="42" t="s">
        <v>32</v>
      </c>
      <c r="T176" s="42" t="s">
        <v>60</v>
      </c>
      <c r="U176" s="42" t="s">
        <v>67</v>
      </c>
      <c r="V176" s="42" t="s">
        <v>208</v>
      </c>
      <c r="W176" s="42"/>
    </row>
    <row r="177" spans="1:23" ht="36" x14ac:dyDescent="0.25">
      <c r="A177" s="42" t="s">
        <v>700</v>
      </c>
      <c r="B177" s="42" t="s">
        <v>701</v>
      </c>
      <c r="C177" s="42" t="s">
        <v>710</v>
      </c>
      <c r="D177" s="49" t="s">
        <v>66</v>
      </c>
      <c r="E177" s="42" t="s">
        <v>711</v>
      </c>
      <c r="F177" s="42" t="s">
        <v>461</v>
      </c>
      <c r="G177" s="42" t="s">
        <v>704</v>
      </c>
      <c r="H177" s="42" t="s">
        <v>462</v>
      </c>
      <c r="I177" s="42" t="s">
        <v>705</v>
      </c>
      <c r="J177" s="42">
        <v>8</v>
      </c>
      <c r="K177" s="42">
        <v>1</v>
      </c>
      <c r="L177" s="44">
        <f t="shared" si="6"/>
        <v>2</v>
      </c>
      <c r="M177" s="45">
        <v>0.1</v>
      </c>
      <c r="N177" s="45">
        <v>0.1</v>
      </c>
      <c r="O177" s="46">
        <f t="shared" si="7"/>
        <v>0.18999999999999995</v>
      </c>
      <c r="P177" s="47">
        <f t="shared" si="8"/>
        <v>0.37999999999999989</v>
      </c>
      <c r="Q177" s="42" t="s">
        <v>66</v>
      </c>
      <c r="R177" s="42" t="s">
        <v>66</v>
      </c>
      <c r="S177" s="42" t="s">
        <v>66</v>
      </c>
      <c r="T177" s="42" t="s">
        <v>463</v>
      </c>
      <c r="U177" s="42" t="s">
        <v>67</v>
      </c>
      <c r="V177" s="42" t="s">
        <v>208</v>
      </c>
      <c r="W177" s="42"/>
    </row>
    <row r="178" spans="1:23" ht="36" x14ac:dyDescent="0.25">
      <c r="A178" s="42" t="s">
        <v>700</v>
      </c>
      <c r="B178" s="42" t="s">
        <v>712</v>
      </c>
      <c r="C178" s="42" t="s">
        <v>713</v>
      </c>
      <c r="D178" s="43" t="s">
        <v>26</v>
      </c>
      <c r="E178" s="42" t="s">
        <v>714</v>
      </c>
      <c r="F178" s="42" t="s">
        <v>509</v>
      </c>
      <c r="G178" s="42" t="s">
        <v>715</v>
      </c>
      <c r="H178" s="42" t="s">
        <v>494</v>
      </c>
      <c r="I178" s="42" t="s">
        <v>705</v>
      </c>
      <c r="J178" s="42">
        <v>3</v>
      </c>
      <c r="K178" s="42">
        <v>1</v>
      </c>
      <c r="L178" s="44">
        <f t="shared" si="6"/>
        <v>1</v>
      </c>
      <c r="M178" s="45">
        <v>0.6</v>
      </c>
      <c r="N178" s="45">
        <v>0.1</v>
      </c>
      <c r="O178" s="46">
        <f t="shared" si="7"/>
        <v>0.6399999999999999</v>
      </c>
      <c r="P178" s="47">
        <f t="shared" si="8"/>
        <v>0.6399999999999999</v>
      </c>
      <c r="Q178" s="42" t="s">
        <v>26</v>
      </c>
      <c r="R178" s="42" t="s">
        <v>33</v>
      </c>
      <c r="S178" s="42" t="s">
        <v>33</v>
      </c>
      <c r="T178" s="42" t="s">
        <v>34</v>
      </c>
      <c r="U178" s="42" t="s">
        <v>67</v>
      </c>
      <c r="V178" s="42" t="s">
        <v>166</v>
      </c>
      <c r="W178" s="42"/>
    </row>
    <row r="179" spans="1:23" ht="24" x14ac:dyDescent="0.25">
      <c r="A179" s="42" t="s">
        <v>700</v>
      </c>
      <c r="B179" s="42" t="s">
        <v>712</v>
      </c>
      <c r="C179" s="42" t="s">
        <v>716</v>
      </c>
      <c r="D179" s="48" t="s">
        <v>55</v>
      </c>
      <c r="E179" s="42" t="s">
        <v>717</v>
      </c>
      <c r="F179" s="42" t="s">
        <v>515</v>
      </c>
      <c r="G179" s="42" t="s">
        <v>715</v>
      </c>
      <c r="H179" s="42" t="s">
        <v>449</v>
      </c>
      <c r="I179" s="42" t="s">
        <v>705</v>
      </c>
      <c r="J179" s="42">
        <v>3</v>
      </c>
      <c r="K179" s="42">
        <v>1</v>
      </c>
      <c r="L179" s="44">
        <f t="shared" si="6"/>
        <v>1</v>
      </c>
      <c r="M179" s="45">
        <v>0.35</v>
      </c>
      <c r="N179" s="45">
        <v>0.1</v>
      </c>
      <c r="O179" s="46">
        <f t="shared" si="7"/>
        <v>0.41499999999999992</v>
      </c>
      <c r="P179" s="47">
        <f t="shared" si="8"/>
        <v>0.41499999999999992</v>
      </c>
      <c r="Q179" s="42" t="s">
        <v>55</v>
      </c>
      <c r="R179" s="42" t="s">
        <v>32</v>
      </c>
      <c r="S179" s="42" t="s">
        <v>32</v>
      </c>
      <c r="T179" s="42" t="s">
        <v>60</v>
      </c>
      <c r="U179" s="42" t="s">
        <v>67</v>
      </c>
      <c r="V179" s="42" t="s">
        <v>166</v>
      </c>
      <c r="W179" s="42"/>
    </row>
    <row r="180" spans="1:23" ht="36" x14ac:dyDescent="0.25">
      <c r="A180" s="42" t="s">
        <v>700</v>
      </c>
      <c r="B180" s="42" t="s">
        <v>712</v>
      </c>
      <c r="C180" s="42" t="s">
        <v>718</v>
      </c>
      <c r="D180" s="48" t="s">
        <v>55</v>
      </c>
      <c r="E180" s="42" t="s">
        <v>719</v>
      </c>
      <c r="F180" s="42" t="s">
        <v>497</v>
      </c>
      <c r="G180" s="42" t="s">
        <v>715</v>
      </c>
      <c r="H180" s="42" t="s">
        <v>449</v>
      </c>
      <c r="I180" s="42" t="s">
        <v>705</v>
      </c>
      <c r="J180" s="42">
        <v>3</v>
      </c>
      <c r="K180" s="42">
        <v>1</v>
      </c>
      <c r="L180" s="44">
        <f t="shared" si="6"/>
        <v>1</v>
      </c>
      <c r="M180" s="45">
        <v>0.35</v>
      </c>
      <c r="N180" s="45">
        <v>0.1</v>
      </c>
      <c r="O180" s="46">
        <f t="shared" si="7"/>
        <v>0.41499999999999992</v>
      </c>
      <c r="P180" s="47">
        <f t="shared" si="8"/>
        <v>0.41499999999999992</v>
      </c>
      <c r="Q180" s="42" t="s">
        <v>55</v>
      </c>
      <c r="R180" s="42" t="s">
        <v>32</v>
      </c>
      <c r="S180" s="42" t="s">
        <v>32</v>
      </c>
      <c r="T180" s="42" t="s">
        <v>60</v>
      </c>
      <c r="U180" s="42" t="s">
        <v>67</v>
      </c>
      <c r="V180" s="42" t="s">
        <v>166</v>
      </c>
      <c r="W180" s="42"/>
    </row>
    <row r="181" spans="1:23" ht="36" x14ac:dyDescent="0.25">
      <c r="A181" s="42" t="s">
        <v>700</v>
      </c>
      <c r="B181" s="42" t="s">
        <v>720</v>
      </c>
      <c r="C181" s="42" t="s">
        <v>721</v>
      </c>
      <c r="D181" s="43" t="s">
        <v>26</v>
      </c>
      <c r="E181" s="42" t="s">
        <v>722</v>
      </c>
      <c r="F181" s="42" t="s">
        <v>492</v>
      </c>
      <c r="G181" s="42" t="s">
        <v>723</v>
      </c>
      <c r="H181" s="42" t="s">
        <v>494</v>
      </c>
      <c r="I181" s="42" t="s">
        <v>705</v>
      </c>
      <c r="J181" s="42">
        <v>3</v>
      </c>
      <c r="K181" s="42">
        <v>1</v>
      </c>
      <c r="L181" s="44">
        <f t="shared" si="6"/>
        <v>1</v>
      </c>
      <c r="M181" s="45">
        <v>0.6</v>
      </c>
      <c r="N181" s="45">
        <v>0.1</v>
      </c>
      <c r="O181" s="46">
        <f t="shared" si="7"/>
        <v>0.6399999999999999</v>
      </c>
      <c r="P181" s="47">
        <f t="shared" si="8"/>
        <v>0.6399999999999999</v>
      </c>
      <c r="Q181" s="42" t="s">
        <v>55</v>
      </c>
      <c r="R181" s="42" t="s">
        <v>32</v>
      </c>
      <c r="S181" s="42" t="s">
        <v>33</v>
      </c>
      <c r="T181" s="42" t="s">
        <v>34</v>
      </c>
      <c r="U181" s="42" t="s">
        <v>67</v>
      </c>
      <c r="V181" s="42" t="s">
        <v>166</v>
      </c>
      <c r="W181" s="42"/>
    </row>
    <row r="182" spans="1:23" ht="24" x14ac:dyDescent="0.25">
      <c r="A182" s="42" t="s">
        <v>700</v>
      </c>
      <c r="B182" s="42" t="s">
        <v>720</v>
      </c>
      <c r="C182" s="42" t="s">
        <v>724</v>
      </c>
      <c r="D182" s="48" t="s">
        <v>55</v>
      </c>
      <c r="E182" s="42" t="s">
        <v>725</v>
      </c>
      <c r="F182" s="42" t="s">
        <v>515</v>
      </c>
      <c r="G182" s="42" t="s">
        <v>723</v>
      </c>
      <c r="H182" s="42" t="s">
        <v>449</v>
      </c>
      <c r="I182" s="42" t="s">
        <v>705</v>
      </c>
      <c r="J182" s="42">
        <v>3</v>
      </c>
      <c r="K182" s="42">
        <v>1</v>
      </c>
      <c r="L182" s="44">
        <f t="shared" si="6"/>
        <v>1</v>
      </c>
      <c r="M182" s="45">
        <v>0.35</v>
      </c>
      <c r="N182" s="45">
        <v>0.1</v>
      </c>
      <c r="O182" s="46">
        <f t="shared" si="7"/>
        <v>0.41499999999999992</v>
      </c>
      <c r="P182" s="47">
        <f t="shared" si="8"/>
        <v>0.41499999999999992</v>
      </c>
      <c r="Q182" s="42" t="s">
        <v>55</v>
      </c>
      <c r="R182" s="42" t="s">
        <v>32</v>
      </c>
      <c r="S182" s="42" t="s">
        <v>32</v>
      </c>
      <c r="T182" s="42" t="s">
        <v>60</v>
      </c>
      <c r="U182" s="42" t="s">
        <v>67</v>
      </c>
      <c r="V182" s="42" t="s">
        <v>166</v>
      </c>
      <c r="W182" s="42"/>
    </row>
    <row r="183" spans="1:23" ht="36" x14ac:dyDescent="0.25">
      <c r="A183" s="42" t="s">
        <v>700</v>
      </c>
      <c r="B183" s="42" t="s">
        <v>720</v>
      </c>
      <c r="C183" s="42" t="s">
        <v>726</v>
      </c>
      <c r="D183" s="49" t="s">
        <v>66</v>
      </c>
      <c r="E183" s="42" t="s">
        <v>727</v>
      </c>
      <c r="F183" s="42" t="s">
        <v>472</v>
      </c>
      <c r="G183" s="42" t="s">
        <v>723</v>
      </c>
      <c r="H183" s="42" t="s">
        <v>462</v>
      </c>
      <c r="I183" s="42" t="s">
        <v>705</v>
      </c>
      <c r="J183" s="42">
        <v>3</v>
      </c>
      <c r="K183" s="42">
        <v>1</v>
      </c>
      <c r="L183" s="44">
        <f t="shared" si="6"/>
        <v>1</v>
      </c>
      <c r="M183" s="45">
        <v>0.1</v>
      </c>
      <c r="N183" s="45">
        <v>0.1</v>
      </c>
      <c r="O183" s="46">
        <f t="shared" si="7"/>
        <v>0.18999999999999995</v>
      </c>
      <c r="P183" s="47">
        <f t="shared" si="8"/>
        <v>0.18999999999999995</v>
      </c>
      <c r="Q183" s="42" t="s">
        <v>67</v>
      </c>
      <c r="R183" s="42" t="s">
        <v>66</v>
      </c>
      <c r="S183" s="42" t="s">
        <v>66</v>
      </c>
      <c r="T183" s="42" t="s">
        <v>473</v>
      </c>
      <c r="U183" s="42" t="s">
        <v>67</v>
      </c>
      <c r="V183" s="42" t="s">
        <v>166</v>
      </c>
      <c r="W183" s="42"/>
    </row>
    <row r="184" spans="1:23" ht="36" x14ac:dyDescent="0.25">
      <c r="A184" s="42" t="s">
        <v>700</v>
      </c>
      <c r="B184" s="42" t="s">
        <v>728</v>
      </c>
      <c r="C184" s="42" t="s">
        <v>729</v>
      </c>
      <c r="D184" s="48" t="s">
        <v>55</v>
      </c>
      <c r="E184" s="42" t="s">
        <v>730</v>
      </c>
      <c r="F184" s="42" t="s">
        <v>515</v>
      </c>
      <c r="G184" s="42" t="s">
        <v>731</v>
      </c>
      <c r="H184" s="42" t="s">
        <v>449</v>
      </c>
      <c r="I184" s="42" t="s">
        <v>705</v>
      </c>
      <c r="J184" s="42">
        <v>5</v>
      </c>
      <c r="K184" s="42">
        <v>1</v>
      </c>
      <c r="L184" s="44">
        <f t="shared" si="6"/>
        <v>1.6666666666666667</v>
      </c>
      <c r="M184" s="45">
        <v>0.35</v>
      </c>
      <c r="N184" s="45">
        <v>0.1</v>
      </c>
      <c r="O184" s="46">
        <f t="shared" si="7"/>
        <v>0.41499999999999992</v>
      </c>
      <c r="P184" s="47">
        <f t="shared" si="8"/>
        <v>0.69166666666666654</v>
      </c>
      <c r="Q184" s="42" t="s">
        <v>55</v>
      </c>
      <c r="R184" s="42" t="s">
        <v>32</v>
      </c>
      <c r="S184" s="42" t="s">
        <v>32</v>
      </c>
      <c r="T184" s="42" t="s">
        <v>60</v>
      </c>
      <c r="U184" s="42" t="s">
        <v>67</v>
      </c>
      <c r="V184" s="42" t="s">
        <v>166</v>
      </c>
      <c r="W184" s="42"/>
    </row>
    <row r="185" spans="1:23" ht="36" x14ac:dyDescent="0.25">
      <c r="A185" s="42" t="s">
        <v>700</v>
      </c>
      <c r="B185" s="42" t="s">
        <v>728</v>
      </c>
      <c r="C185" s="42" t="s">
        <v>732</v>
      </c>
      <c r="D185" s="48" t="s">
        <v>55</v>
      </c>
      <c r="E185" s="42" t="s">
        <v>733</v>
      </c>
      <c r="F185" s="42" t="s">
        <v>515</v>
      </c>
      <c r="G185" s="42" t="s">
        <v>731</v>
      </c>
      <c r="H185" s="42" t="s">
        <v>449</v>
      </c>
      <c r="I185" s="42" t="s">
        <v>705</v>
      </c>
      <c r="J185" s="42">
        <v>5</v>
      </c>
      <c r="K185" s="42">
        <v>1</v>
      </c>
      <c r="L185" s="44">
        <f t="shared" si="6"/>
        <v>1.6666666666666667</v>
      </c>
      <c r="M185" s="45">
        <v>0.35</v>
      </c>
      <c r="N185" s="45">
        <v>0.1</v>
      </c>
      <c r="O185" s="46">
        <f t="shared" si="7"/>
        <v>0.41499999999999992</v>
      </c>
      <c r="P185" s="47">
        <f t="shared" si="8"/>
        <v>0.69166666666666654</v>
      </c>
      <c r="Q185" s="42" t="s">
        <v>55</v>
      </c>
      <c r="R185" s="42" t="s">
        <v>32</v>
      </c>
      <c r="S185" s="42" t="s">
        <v>32</v>
      </c>
      <c r="T185" s="42" t="s">
        <v>60</v>
      </c>
      <c r="U185" s="42" t="s">
        <v>67</v>
      </c>
      <c r="V185" s="42" t="s">
        <v>166</v>
      </c>
      <c r="W185" s="42"/>
    </row>
    <row r="186" spans="1:23" ht="24" x14ac:dyDescent="0.25">
      <c r="A186" s="42" t="s">
        <v>700</v>
      </c>
      <c r="B186" s="42" t="s">
        <v>728</v>
      </c>
      <c r="C186" s="42" t="s">
        <v>734</v>
      </c>
      <c r="D186" s="49" t="s">
        <v>66</v>
      </c>
      <c r="E186" s="42" t="s">
        <v>735</v>
      </c>
      <c r="F186" s="42" t="s">
        <v>461</v>
      </c>
      <c r="G186" s="42" t="s">
        <v>731</v>
      </c>
      <c r="H186" s="42" t="s">
        <v>462</v>
      </c>
      <c r="I186" s="42" t="s">
        <v>705</v>
      </c>
      <c r="J186" s="42">
        <v>5</v>
      </c>
      <c r="K186" s="42">
        <v>1</v>
      </c>
      <c r="L186" s="44">
        <f t="shared" si="6"/>
        <v>1.6666666666666667</v>
      </c>
      <c r="M186" s="45">
        <v>0.1</v>
      </c>
      <c r="N186" s="45">
        <v>0.1</v>
      </c>
      <c r="O186" s="46">
        <f t="shared" si="7"/>
        <v>0.18999999999999995</v>
      </c>
      <c r="P186" s="47">
        <f t="shared" si="8"/>
        <v>0.3166666666666666</v>
      </c>
      <c r="Q186" s="42" t="s">
        <v>66</v>
      </c>
      <c r="R186" s="42" t="s">
        <v>66</v>
      </c>
      <c r="S186" s="42" t="s">
        <v>66</v>
      </c>
      <c r="T186" s="42" t="s">
        <v>463</v>
      </c>
      <c r="U186" s="42" t="s">
        <v>67</v>
      </c>
      <c r="V186" s="42" t="s">
        <v>166</v>
      </c>
      <c r="W186" s="42"/>
    </row>
    <row r="187" spans="1:23" ht="48" x14ac:dyDescent="0.25">
      <c r="A187" s="42" t="s">
        <v>700</v>
      </c>
      <c r="B187" s="42" t="s">
        <v>736</v>
      </c>
      <c r="C187" s="42" t="s">
        <v>737</v>
      </c>
      <c r="D187" s="43" t="s">
        <v>26</v>
      </c>
      <c r="E187" s="42" t="s">
        <v>738</v>
      </c>
      <c r="F187" s="42" t="s">
        <v>492</v>
      </c>
      <c r="G187" s="42" t="s">
        <v>739</v>
      </c>
      <c r="H187" s="42" t="s">
        <v>494</v>
      </c>
      <c r="I187" s="42" t="s">
        <v>705</v>
      </c>
      <c r="J187" s="42">
        <v>5</v>
      </c>
      <c r="K187" s="42">
        <v>1</v>
      </c>
      <c r="L187" s="44">
        <f t="shared" si="6"/>
        <v>1.6666666666666667</v>
      </c>
      <c r="M187" s="45">
        <v>0.6</v>
      </c>
      <c r="N187" s="45">
        <v>0.1</v>
      </c>
      <c r="O187" s="46">
        <f t="shared" si="7"/>
        <v>0.6399999999999999</v>
      </c>
      <c r="P187" s="47">
        <f t="shared" si="8"/>
        <v>1.0666666666666667</v>
      </c>
      <c r="Q187" s="42" t="s">
        <v>55</v>
      </c>
      <c r="R187" s="42" t="s">
        <v>32</v>
      </c>
      <c r="S187" s="42" t="s">
        <v>33</v>
      </c>
      <c r="T187" s="42" t="s">
        <v>34</v>
      </c>
      <c r="U187" s="42" t="s">
        <v>67</v>
      </c>
      <c r="V187" s="42" t="s">
        <v>166</v>
      </c>
      <c r="W187" s="42"/>
    </row>
    <row r="188" spans="1:23" ht="36" x14ac:dyDescent="0.25">
      <c r="A188" s="42" t="s">
        <v>700</v>
      </c>
      <c r="B188" s="42" t="s">
        <v>736</v>
      </c>
      <c r="C188" s="42" t="s">
        <v>740</v>
      </c>
      <c r="D188" s="48" t="s">
        <v>55</v>
      </c>
      <c r="E188" s="42" t="s">
        <v>741</v>
      </c>
      <c r="F188" s="42" t="s">
        <v>515</v>
      </c>
      <c r="G188" s="42" t="s">
        <v>739</v>
      </c>
      <c r="H188" s="42" t="s">
        <v>449</v>
      </c>
      <c r="I188" s="42" t="s">
        <v>705</v>
      </c>
      <c r="J188" s="42">
        <v>5</v>
      </c>
      <c r="K188" s="42">
        <v>1</v>
      </c>
      <c r="L188" s="44">
        <f t="shared" si="6"/>
        <v>1.6666666666666667</v>
      </c>
      <c r="M188" s="45">
        <v>0.35</v>
      </c>
      <c r="N188" s="45">
        <v>0.1</v>
      </c>
      <c r="O188" s="46">
        <f t="shared" si="7"/>
        <v>0.41499999999999992</v>
      </c>
      <c r="P188" s="47">
        <f t="shared" si="8"/>
        <v>0.69166666666666654</v>
      </c>
      <c r="Q188" s="42" t="s">
        <v>55</v>
      </c>
      <c r="R188" s="42" t="s">
        <v>32</v>
      </c>
      <c r="S188" s="42" t="s">
        <v>32</v>
      </c>
      <c r="T188" s="42" t="s">
        <v>60</v>
      </c>
      <c r="U188" s="42" t="s">
        <v>67</v>
      </c>
      <c r="V188" s="42" t="s">
        <v>166</v>
      </c>
      <c r="W188" s="42"/>
    </row>
    <row r="189" spans="1:23" ht="24" x14ac:dyDescent="0.25">
      <c r="A189" s="42" t="s">
        <v>700</v>
      </c>
      <c r="B189" s="42" t="s">
        <v>736</v>
      </c>
      <c r="C189" s="42" t="s">
        <v>742</v>
      </c>
      <c r="D189" s="49" t="s">
        <v>66</v>
      </c>
      <c r="E189" s="42" t="s">
        <v>743</v>
      </c>
      <c r="F189" s="42" t="s">
        <v>461</v>
      </c>
      <c r="G189" s="42" t="s">
        <v>739</v>
      </c>
      <c r="H189" s="42" t="s">
        <v>462</v>
      </c>
      <c r="I189" s="42" t="s">
        <v>705</v>
      </c>
      <c r="J189" s="42">
        <v>5</v>
      </c>
      <c r="K189" s="42">
        <v>1</v>
      </c>
      <c r="L189" s="44">
        <f t="shared" si="6"/>
        <v>1.6666666666666667</v>
      </c>
      <c r="M189" s="45">
        <v>0.1</v>
      </c>
      <c r="N189" s="45">
        <v>0.1</v>
      </c>
      <c r="O189" s="46">
        <f t="shared" si="7"/>
        <v>0.18999999999999995</v>
      </c>
      <c r="P189" s="47">
        <f t="shared" si="8"/>
        <v>0.3166666666666666</v>
      </c>
      <c r="Q189" s="42" t="s">
        <v>66</v>
      </c>
      <c r="R189" s="42" t="s">
        <v>66</v>
      </c>
      <c r="S189" s="42" t="s">
        <v>66</v>
      </c>
      <c r="T189" s="42" t="s">
        <v>463</v>
      </c>
      <c r="U189" s="42" t="s">
        <v>67</v>
      </c>
      <c r="V189" s="42" t="s">
        <v>166</v>
      </c>
      <c r="W189" s="42"/>
    </row>
    <row r="190" spans="1:23" ht="36" x14ac:dyDescent="0.25">
      <c r="A190" s="42" t="s">
        <v>700</v>
      </c>
      <c r="B190" s="42" t="s">
        <v>744</v>
      </c>
      <c r="C190" s="42" t="s">
        <v>745</v>
      </c>
      <c r="D190" s="43" t="s">
        <v>26</v>
      </c>
      <c r="E190" s="42" t="s">
        <v>746</v>
      </c>
      <c r="F190" s="42" t="s">
        <v>492</v>
      </c>
      <c r="G190" s="42" t="s">
        <v>747</v>
      </c>
      <c r="H190" s="42" t="s">
        <v>494</v>
      </c>
      <c r="I190" s="42" t="s">
        <v>705</v>
      </c>
      <c r="J190" s="42">
        <v>5</v>
      </c>
      <c r="K190" s="42">
        <v>1</v>
      </c>
      <c r="L190" s="44">
        <f t="shared" si="6"/>
        <v>1.6666666666666667</v>
      </c>
      <c r="M190" s="45">
        <v>0.6</v>
      </c>
      <c r="N190" s="45">
        <v>0.1</v>
      </c>
      <c r="O190" s="46">
        <f t="shared" si="7"/>
        <v>0.6399999999999999</v>
      </c>
      <c r="P190" s="47">
        <f t="shared" si="8"/>
        <v>1.0666666666666667</v>
      </c>
      <c r="Q190" s="42" t="s">
        <v>55</v>
      </c>
      <c r="R190" s="42" t="s">
        <v>32</v>
      </c>
      <c r="S190" s="42" t="s">
        <v>33</v>
      </c>
      <c r="T190" s="42" t="s">
        <v>34</v>
      </c>
      <c r="U190" s="42" t="s">
        <v>67</v>
      </c>
      <c r="V190" s="42" t="s">
        <v>166</v>
      </c>
      <c r="W190" s="42"/>
    </row>
    <row r="191" spans="1:23" ht="36" x14ac:dyDescent="0.25">
      <c r="A191" s="42" t="s">
        <v>700</v>
      </c>
      <c r="B191" s="42" t="s">
        <v>744</v>
      </c>
      <c r="C191" s="42" t="s">
        <v>748</v>
      </c>
      <c r="D191" s="48" t="s">
        <v>55</v>
      </c>
      <c r="E191" s="42" t="s">
        <v>749</v>
      </c>
      <c r="F191" s="42" t="s">
        <v>447</v>
      </c>
      <c r="G191" s="42" t="s">
        <v>747</v>
      </c>
      <c r="H191" s="42" t="s">
        <v>449</v>
      </c>
      <c r="I191" s="42" t="s">
        <v>705</v>
      </c>
      <c r="J191" s="42">
        <v>5</v>
      </c>
      <c r="K191" s="42">
        <v>1</v>
      </c>
      <c r="L191" s="44">
        <f t="shared" si="6"/>
        <v>1.6666666666666667</v>
      </c>
      <c r="M191" s="45">
        <v>0.35</v>
      </c>
      <c r="N191" s="45">
        <v>0.1</v>
      </c>
      <c r="O191" s="46">
        <f t="shared" si="7"/>
        <v>0.41499999999999992</v>
      </c>
      <c r="P191" s="47">
        <f t="shared" si="8"/>
        <v>0.69166666666666654</v>
      </c>
      <c r="Q191" s="42" t="s">
        <v>55</v>
      </c>
      <c r="R191" s="42" t="s">
        <v>32</v>
      </c>
      <c r="S191" s="42" t="s">
        <v>32</v>
      </c>
      <c r="T191" s="42" t="s">
        <v>60</v>
      </c>
      <c r="U191" s="42" t="s">
        <v>67</v>
      </c>
      <c r="V191" s="42" t="s">
        <v>166</v>
      </c>
      <c r="W191" s="42"/>
    </row>
    <row r="192" spans="1:23" ht="24" x14ac:dyDescent="0.25">
      <c r="A192" s="42" t="s">
        <v>700</v>
      </c>
      <c r="B192" s="42" t="s">
        <v>744</v>
      </c>
      <c r="C192" s="42" t="s">
        <v>750</v>
      </c>
      <c r="D192" s="49" t="s">
        <v>66</v>
      </c>
      <c r="E192" s="42" t="s">
        <v>751</v>
      </c>
      <c r="F192" s="42" t="s">
        <v>472</v>
      </c>
      <c r="G192" s="42" t="s">
        <v>747</v>
      </c>
      <c r="H192" s="42" t="s">
        <v>462</v>
      </c>
      <c r="I192" s="42" t="s">
        <v>705</v>
      </c>
      <c r="J192" s="42">
        <v>5</v>
      </c>
      <c r="K192" s="42">
        <v>1</v>
      </c>
      <c r="L192" s="44">
        <f t="shared" si="6"/>
        <v>1.6666666666666667</v>
      </c>
      <c r="M192" s="45">
        <v>0.1</v>
      </c>
      <c r="N192" s="45">
        <v>0.1</v>
      </c>
      <c r="O192" s="46">
        <f t="shared" si="7"/>
        <v>0.18999999999999995</v>
      </c>
      <c r="P192" s="47">
        <f t="shared" si="8"/>
        <v>0.3166666666666666</v>
      </c>
      <c r="Q192" s="42" t="s">
        <v>66</v>
      </c>
      <c r="R192" s="42" t="s">
        <v>66</v>
      </c>
      <c r="S192" s="42" t="s">
        <v>66</v>
      </c>
      <c r="T192" s="42" t="s">
        <v>554</v>
      </c>
      <c r="U192" s="42" t="s">
        <v>67</v>
      </c>
      <c r="V192" s="42" t="s">
        <v>166</v>
      </c>
      <c r="W192" s="42"/>
    </row>
    <row r="193" spans="1:23" ht="36" x14ac:dyDescent="0.25">
      <c r="A193" s="42" t="s">
        <v>752</v>
      </c>
      <c r="B193" s="42" t="s">
        <v>753</v>
      </c>
      <c r="C193" s="42" t="s">
        <v>754</v>
      </c>
      <c r="D193" s="43" t="s">
        <v>26</v>
      </c>
      <c r="E193" s="42" t="s">
        <v>755</v>
      </c>
      <c r="F193" s="42" t="s">
        <v>492</v>
      </c>
      <c r="G193" s="42" t="s">
        <v>756</v>
      </c>
      <c r="H193" s="42" t="s">
        <v>494</v>
      </c>
      <c r="I193" s="42" t="s">
        <v>524</v>
      </c>
      <c r="J193" s="42">
        <v>8</v>
      </c>
      <c r="K193" s="42">
        <v>1</v>
      </c>
      <c r="L193" s="44">
        <f t="shared" si="6"/>
        <v>2</v>
      </c>
      <c r="M193" s="45">
        <v>0.6</v>
      </c>
      <c r="N193" s="45">
        <v>0.15</v>
      </c>
      <c r="O193" s="46">
        <f t="shared" si="7"/>
        <v>0.65999999999999992</v>
      </c>
      <c r="P193" s="47">
        <f t="shared" si="8"/>
        <v>1.3199999999999998</v>
      </c>
      <c r="Q193" s="42" t="s">
        <v>55</v>
      </c>
      <c r="R193" s="42" t="s">
        <v>32</v>
      </c>
      <c r="S193" s="42" t="s">
        <v>33</v>
      </c>
      <c r="T193" s="42" t="s">
        <v>34</v>
      </c>
      <c r="U193" s="42" t="s">
        <v>67</v>
      </c>
      <c r="V193" s="42" t="s">
        <v>166</v>
      </c>
      <c r="W193" s="42"/>
    </row>
    <row r="194" spans="1:23" ht="48" x14ac:dyDescent="0.25">
      <c r="A194" s="42" t="s">
        <v>752</v>
      </c>
      <c r="B194" s="42" t="s">
        <v>753</v>
      </c>
      <c r="C194" s="42" t="s">
        <v>757</v>
      </c>
      <c r="D194" s="48" t="s">
        <v>55</v>
      </c>
      <c r="E194" s="42" t="s">
        <v>758</v>
      </c>
      <c r="F194" s="42" t="s">
        <v>527</v>
      </c>
      <c r="G194" s="42" t="s">
        <v>756</v>
      </c>
      <c r="H194" s="42" t="s">
        <v>449</v>
      </c>
      <c r="I194" s="42" t="s">
        <v>524</v>
      </c>
      <c r="J194" s="42">
        <v>8</v>
      </c>
      <c r="K194" s="42">
        <v>1</v>
      </c>
      <c r="L194" s="44">
        <f t="shared" ref="L194:L257" si="9">J194/COUNTIF($B:$B,B194)</f>
        <v>2</v>
      </c>
      <c r="M194" s="45">
        <v>0.35</v>
      </c>
      <c r="N194" s="45">
        <v>0.15</v>
      </c>
      <c r="O194" s="46">
        <f t="shared" ref="O194:O257" si="10">1-(1-M194)*(1-N194)</f>
        <v>0.44750000000000001</v>
      </c>
      <c r="P194" s="47">
        <f t="shared" ref="P194:P257" si="11">L194*O194</f>
        <v>0.89500000000000002</v>
      </c>
      <c r="Q194" s="42" t="s">
        <v>55</v>
      </c>
      <c r="R194" s="42" t="s">
        <v>32</v>
      </c>
      <c r="S194" s="42" t="s">
        <v>32</v>
      </c>
      <c r="T194" s="42" t="s">
        <v>60</v>
      </c>
      <c r="U194" s="42" t="s">
        <v>67</v>
      </c>
      <c r="V194" s="42" t="s">
        <v>166</v>
      </c>
      <c r="W194" s="42"/>
    </row>
    <row r="195" spans="1:23" ht="36" x14ac:dyDescent="0.25">
      <c r="A195" s="42" t="s">
        <v>752</v>
      </c>
      <c r="B195" s="42" t="s">
        <v>753</v>
      </c>
      <c r="C195" s="42" t="s">
        <v>759</v>
      </c>
      <c r="D195" s="48" t="s">
        <v>55</v>
      </c>
      <c r="E195" s="42" t="s">
        <v>760</v>
      </c>
      <c r="F195" s="42" t="s">
        <v>447</v>
      </c>
      <c r="G195" s="42" t="s">
        <v>756</v>
      </c>
      <c r="H195" s="42" t="s">
        <v>449</v>
      </c>
      <c r="I195" s="42" t="s">
        <v>524</v>
      </c>
      <c r="J195" s="42">
        <v>8</v>
      </c>
      <c r="K195" s="42">
        <v>1</v>
      </c>
      <c r="L195" s="44">
        <f t="shared" si="9"/>
        <v>2</v>
      </c>
      <c r="M195" s="45">
        <v>0.35</v>
      </c>
      <c r="N195" s="45">
        <v>0.15</v>
      </c>
      <c r="O195" s="46">
        <f t="shared" si="10"/>
        <v>0.44750000000000001</v>
      </c>
      <c r="P195" s="47">
        <f t="shared" si="11"/>
        <v>0.89500000000000002</v>
      </c>
      <c r="Q195" s="42" t="s">
        <v>55</v>
      </c>
      <c r="R195" s="42" t="s">
        <v>32</v>
      </c>
      <c r="S195" s="42" t="s">
        <v>32</v>
      </c>
      <c r="T195" s="42" t="s">
        <v>60</v>
      </c>
      <c r="U195" s="42" t="s">
        <v>67</v>
      </c>
      <c r="V195" s="42" t="s">
        <v>166</v>
      </c>
      <c r="W195" s="42"/>
    </row>
    <row r="196" spans="1:23" ht="24" x14ac:dyDescent="0.25">
      <c r="A196" s="42" t="s">
        <v>752</v>
      </c>
      <c r="B196" s="42" t="s">
        <v>753</v>
      </c>
      <c r="C196" s="42" t="s">
        <v>761</v>
      </c>
      <c r="D196" s="49" t="s">
        <v>66</v>
      </c>
      <c r="E196" s="42" t="s">
        <v>762</v>
      </c>
      <c r="F196" s="42" t="s">
        <v>461</v>
      </c>
      <c r="G196" s="42" t="s">
        <v>756</v>
      </c>
      <c r="H196" s="42" t="s">
        <v>462</v>
      </c>
      <c r="I196" s="42" t="s">
        <v>524</v>
      </c>
      <c r="J196" s="42">
        <v>8</v>
      </c>
      <c r="K196" s="42">
        <v>1</v>
      </c>
      <c r="L196" s="44">
        <f t="shared" si="9"/>
        <v>2</v>
      </c>
      <c r="M196" s="45">
        <v>0.1</v>
      </c>
      <c r="N196" s="45">
        <v>0.15</v>
      </c>
      <c r="O196" s="46">
        <f t="shared" si="10"/>
        <v>0.23499999999999999</v>
      </c>
      <c r="P196" s="47">
        <f t="shared" si="11"/>
        <v>0.47</v>
      </c>
      <c r="Q196" s="42" t="s">
        <v>66</v>
      </c>
      <c r="R196" s="42" t="s">
        <v>66</v>
      </c>
      <c r="S196" s="42" t="s">
        <v>66</v>
      </c>
      <c r="T196" s="42" t="s">
        <v>463</v>
      </c>
      <c r="U196" s="42" t="s">
        <v>67</v>
      </c>
      <c r="V196" s="42" t="s">
        <v>166</v>
      </c>
      <c r="W196" s="42"/>
    </row>
    <row r="197" spans="1:23" ht="36" x14ac:dyDescent="0.25">
      <c r="A197" s="42" t="s">
        <v>752</v>
      </c>
      <c r="B197" s="42" t="s">
        <v>763</v>
      </c>
      <c r="C197" s="42" t="s">
        <v>764</v>
      </c>
      <c r="D197" s="48" t="s">
        <v>55</v>
      </c>
      <c r="E197" s="42" t="s">
        <v>765</v>
      </c>
      <c r="F197" s="42" t="s">
        <v>497</v>
      </c>
      <c r="G197" s="42" t="s">
        <v>766</v>
      </c>
      <c r="H197" s="42" t="s">
        <v>449</v>
      </c>
      <c r="I197" s="42" t="s">
        <v>524</v>
      </c>
      <c r="J197" s="42">
        <v>5</v>
      </c>
      <c r="K197" s="42">
        <v>1</v>
      </c>
      <c r="L197" s="44">
        <f t="shared" si="9"/>
        <v>1.25</v>
      </c>
      <c r="M197" s="45">
        <v>0.35</v>
      </c>
      <c r="N197" s="50">
        <v>0.2</v>
      </c>
      <c r="O197" s="46">
        <f t="shared" si="10"/>
        <v>0.48</v>
      </c>
      <c r="P197" s="47">
        <f t="shared" si="11"/>
        <v>0.6</v>
      </c>
      <c r="Q197" s="42" t="s">
        <v>55</v>
      </c>
      <c r="R197" s="42" t="s">
        <v>32</v>
      </c>
      <c r="S197" s="42" t="s">
        <v>32</v>
      </c>
      <c r="T197" s="42" t="s">
        <v>60</v>
      </c>
      <c r="U197" s="42" t="s">
        <v>67</v>
      </c>
      <c r="V197" s="42" t="s">
        <v>166</v>
      </c>
      <c r="W197" s="42"/>
    </row>
    <row r="198" spans="1:23" ht="36" x14ac:dyDescent="0.25">
      <c r="A198" s="42" t="s">
        <v>752</v>
      </c>
      <c r="B198" s="42" t="s">
        <v>763</v>
      </c>
      <c r="C198" s="42" t="s">
        <v>767</v>
      </c>
      <c r="D198" s="48" t="s">
        <v>55</v>
      </c>
      <c r="E198" s="42" t="s">
        <v>768</v>
      </c>
      <c r="F198" s="42" t="s">
        <v>452</v>
      </c>
      <c r="G198" s="42" t="s">
        <v>766</v>
      </c>
      <c r="H198" s="42" t="s">
        <v>449</v>
      </c>
      <c r="I198" s="42" t="s">
        <v>524</v>
      </c>
      <c r="J198" s="42">
        <v>5</v>
      </c>
      <c r="K198" s="42">
        <v>1</v>
      </c>
      <c r="L198" s="44">
        <f t="shared" si="9"/>
        <v>1.25</v>
      </c>
      <c r="M198" s="45">
        <v>0.35</v>
      </c>
      <c r="N198" s="50">
        <v>0.2</v>
      </c>
      <c r="O198" s="46">
        <f t="shared" si="10"/>
        <v>0.48</v>
      </c>
      <c r="P198" s="47">
        <f t="shared" si="11"/>
        <v>0.6</v>
      </c>
      <c r="Q198" s="42" t="s">
        <v>55</v>
      </c>
      <c r="R198" s="42" t="s">
        <v>32</v>
      </c>
      <c r="S198" s="42" t="s">
        <v>32</v>
      </c>
      <c r="T198" s="42" t="s">
        <v>60</v>
      </c>
      <c r="U198" s="42" t="s">
        <v>67</v>
      </c>
      <c r="V198" s="42" t="s">
        <v>166</v>
      </c>
      <c r="W198" s="42"/>
    </row>
    <row r="199" spans="1:23" ht="36" x14ac:dyDescent="0.25">
      <c r="A199" s="42" t="s">
        <v>752</v>
      </c>
      <c r="B199" s="42" t="s">
        <v>763</v>
      </c>
      <c r="C199" s="42" t="s">
        <v>769</v>
      </c>
      <c r="D199" s="48" t="s">
        <v>55</v>
      </c>
      <c r="E199" s="42" t="s">
        <v>770</v>
      </c>
      <c r="F199" s="42" t="s">
        <v>515</v>
      </c>
      <c r="G199" s="42" t="s">
        <v>766</v>
      </c>
      <c r="H199" s="42" t="s">
        <v>449</v>
      </c>
      <c r="I199" s="42" t="s">
        <v>524</v>
      </c>
      <c r="J199" s="42">
        <v>5</v>
      </c>
      <c r="K199" s="42">
        <v>1</v>
      </c>
      <c r="L199" s="44">
        <f t="shared" si="9"/>
        <v>1.25</v>
      </c>
      <c r="M199" s="45">
        <v>0.35</v>
      </c>
      <c r="N199" s="50">
        <v>0.2</v>
      </c>
      <c r="O199" s="46">
        <f t="shared" si="10"/>
        <v>0.48</v>
      </c>
      <c r="P199" s="47">
        <f t="shared" si="11"/>
        <v>0.6</v>
      </c>
      <c r="Q199" s="42" t="s">
        <v>55</v>
      </c>
      <c r="R199" s="42" t="s">
        <v>32</v>
      </c>
      <c r="S199" s="42" t="s">
        <v>32</v>
      </c>
      <c r="T199" s="42" t="s">
        <v>60</v>
      </c>
      <c r="U199" s="42" t="s">
        <v>67</v>
      </c>
      <c r="V199" s="42" t="s">
        <v>166</v>
      </c>
      <c r="W199" s="42"/>
    </row>
    <row r="200" spans="1:23" ht="24" x14ac:dyDescent="0.25">
      <c r="A200" s="42" t="s">
        <v>752</v>
      </c>
      <c r="B200" s="42" t="s">
        <v>763</v>
      </c>
      <c r="C200" s="42" t="s">
        <v>771</v>
      </c>
      <c r="D200" s="49" t="s">
        <v>66</v>
      </c>
      <c r="E200" s="42" t="s">
        <v>772</v>
      </c>
      <c r="F200" s="42" t="s">
        <v>472</v>
      </c>
      <c r="G200" s="42" t="s">
        <v>766</v>
      </c>
      <c r="H200" s="42" t="s">
        <v>462</v>
      </c>
      <c r="I200" s="42" t="s">
        <v>524</v>
      </c>
      <c r="J200" s="42">
        <v>5</v>
      </c>
      <c r="K200" s="42">
        <v>1</v>
      </c>
      <c r="L200" s="44">
        <f t="shared" si="9"/>
        <v>1.25</v>
      </c>
      <c r="M200" s="45">
        <v>0.1</v>
      </c>
      <c r="N200" s="50">
        <v>0.2</v>
      </c>
      <c r="O200" s="46">
        <f t="shared" si="10"/>
        <v>0.27999999999999992</v>
      </c>
      <c r="P200" s="47">
        <f t="shared" si="11"/>
        <v>0.34999999999999987</v>
      </c>
      <c r="Q200" s="42" t="s">
        <v>66</v>
      </c>
      <c r="R200" s="42" t="s">
        <v>66</v>
      </c>
      <c r="S200" s="42" t="s">
        <v>66</v>
      </c>
      <c r="T200" s="42" t="s">
        <v>554</v>
      </c>
      <c r="U200" s="42" t="s">
        <v>67</v>
      </c>
      <c r="V200" s="42" t="s">
        <v>166</v>
      </c>
      <c r="W200" s="42"/>
    </row>
    <row r="201" spans="1:23" ht="36" x14ac:dyDescent="0.25">
      <c r="A201" s="42" t="s">
        <v>752</v>
      </c>
      <c r="B201" s="42" t="s">
        <v>773</v>
      </c>
      <c r="C201" s="42" t="s">
        <v>774</v>
      </c>
      <c r="D201" s="43" t="s">
        <v>26</v>
      </c>
      <c r="E201" s="42" t="s">
        <v>775</v>
      </c>
      <c r="F201" s="42" t="s">
        <v>492</v>
      </c>
      <c r="G201" s="42" t="s">
        <v>776</v>
      </c>
      <c r="H201" s="42" t="s">
        <v>494</v>
      </c>
      <c r="I201" s="42" t="s">
        <v>524</v>
      </c>
      <c r="J201" s="42">
        <v>5</v>
      </c>
      <c r="K201" s="42">
        <v>1</v>
      </c>
      <c r="L201" s="44">
        <f t="shared" si="9"/>
        <v>1.6666666666666667</v>
      </c>
      <c r="M201" s="45">
        <v>0.6</v>
      </c>
      <c r="N201" s="50">
        <v>0.2</v>
      </c>
      <c r="O201" s="46">
        <f t="shared" si="10"/>
        <v>0.67999999999999994</v>
      </c>
      <c r="P201" s="47">
        <f t="shared" si="11"/>
        <v>1.1333333333333333</v>
      </c>
      <c r="Q201" s="42" t="s">
        <v>55</v>
      </c>
      <c r="R201" s="42" t="s">
        <v>32</v>
      </c>
      <c r="S201" s="42" t="s">
        <v>33</v>
      </c>
      <c r="T201" s="42" t="s">
        <v>34</v>
      </c>
      <c r="U201" s="42" t="s">
        <v>67</v>
      </c>
      <c r="V201" s="42" t="s">
        <v>166</v>
      </c>
      <c r="W201" s="42"/>
    </row>
    <row r="202" spans="1:23" ht="24" x14ac:dyDescent="0.25">
      <c r="A202" s="42" t="s">
        <v>752</v>
      </c>
      <c r="B202" s="42" t="s">
        <v>773</v>
      </c>
      <c r="C202" s="42" t="s">
        <v>777</v>
      </c>
      <c r="D202" s="48" t="s">
        <v>55</v>
      </c>
      <c r="E202" s="42" t="s">
        <v>778</v>
      </c>
      <c r="F202" s="42" t="s">
        <v>452</v>
      </c>
      <c r="G202" s="42" t="s">
        <v>776</v>
      </c>
      <c r="H202" s="42" t="s">
        <v>449</v>
      </c>
      <c r="I202" s="42" t="s">
        <v>524</v>
      </c>
      <c r="J202" s="42">
        <v>5</v>
      </c>
      <c r="K202" s="42">
        <v>1</v>
      </c>
      <c r="L202" s="44">
        <f t="shared" si="9"/>
        <v>1.6666666666666667</v>
      </c>
      <c r="M202" s="45">
        <v>0.35</v>
      </c>
      <c r="N202" s="50">
        <v>0.2</v>
      </c>
      <c r="O202" s="46">
        <f t="shared" si="10"/>
        <v>0.48</v>
      </c>
      <c r="P202" s="47">
        <f t="shared" si="11"/>
        <v>0.8</v>
      </c>
      <c r="Q202" s="42" t="s">
        <v>55</v>
      </c>
      <c r="R202" s="42" t="s">
        <v>32</v>
      </c>
      <c r="S202" s="42" t="s">
        <v>32</v>
      </c>
      <c r="T202" s="42" t="s">
        <v>60</v>
      </c>
      <c r="U202" s="42" t="s">
        <v>67</v>
      </c>
      <c r="V202" s="42" t="s">
        <v>166</v>
      </c>
      <c r="W202" s="42"/>
    </row>
    <row r="203" spans="1:23" ht="36" x14ac:dyDescent="0.25">
      <c r="A203" s="42" t="s">
        <v>752</v>
      </c>
      <c r="B203" s="42" t="s">
        <v>773</v>
      </c>
      <c r="C203" s="42" t="s">
        <v>779</v>
      </c>
      <c r="D203" s="49" t="s">
        <v>66</v>
      </c>
      <c r="E203" s="42" t="s">
        <v>780</v>
      </c>
      <c r="F203" s="42" t="s">
        <v>461</v>
      </c>
      <c r="G203" s="42" t="s">
        <v>776</v>
      </c>
      <c r="H203" s="42" t="s">
        <v>462</v>
      </c>
      <c r="I203" s="42" t="s">
        <v>524</v>
      </c>
      <c r="J203" s="42">
        <v>5</v>
      </c>
      <c r="K203" s="42">
        <v>1</v>
      </c>
      <c r="L203" s="44">
        <f t="shared" si="9"/>
        <v>1.6666666666666667</v>
      </c>
      <c r="M203" s="45">
        <v>0.1</v>
      </c>
      <c r="N203" s="50">
        <v>0.2</v>
      </c>
      <c r="O203" s="46">
        <f t="shared" si="10"/>
        <v>0.27999999999999992</v>
      </c>
      <c r="P203" s="47">
        <f t="shared" si="11"/>
        <v>0.46666666666666656</v>
      </c>
      <c r="Q203" s="42" t="s">
        <v>66</v>
      </c>
      <c r="R203" s="42" t="s">
        <v>66</v>
      </c>
      <c r="S203" s="42" t="s">
        <v>66</v>
      </c>
      <c r="T203" s="42" t="s">
        <v>463</v>
      </c>
      <c r="U203" s="42" t="s">
        <v>67</v>
      </c>
      <c r="V203" s="42" t="s">
        <v>166</v>
      </c>
      <c r="W203" s="42"/>
    </row>
    <row r="204" spans="1:23" ht="48" x14ac:dyDescent="0.25">
      <c r="A204" s="42" t="s">
        <v>752</v>
      </c>
      <c r="B204" s="42" t="s">
        <v>781</v>
      </c>
      <c r="C204" s="42" t="s">
        <v>782</v>
      </c>
      <c r="D204" s="48" t="s">
        <v>55</v>
      </c>
      <c r="E204" s="42" t="s">
        <v>783</v>
      </c>
      <c r="F204" s="42" t="s">
        <v>497</v>
      </c>
      <c r="G204" s="42" t="s">
        <v>784</v>
      </c>
      <c r="H204" s="42" t="s">
        <v>449</v>
      </c>
      <c r="I204" s="42" t="s">
        <v>524</v>
      </c>
      <c r="J204" s="42">
        <v>3</v>
      </c>
      <c r="K204" s="42">
        <v>1</v>
      </c>
      <c r="L204" s="44">
        <f t="shared" si="9"/>
        <v>1</v>
      </c>
      <c r="M204" s="45">
        <v>0.35</v>
      </c>
      <c r="N204" s="50">
        <v>0.2</v>
      </c>
      <c r="O204" s="46">
        <f t="shared" si="10"/>
        <v>0.48</v>
      </c>
      <c r="P204" s="47">
        <f t="shared" si="11"/>
        <v>0.48</v>
      </c>
      <c r="Q204" s="42" t="s">
        <v>55</v>
      </c>
      <c r="R204" s="42" t="s">
        <v>32</v>
      </c>
      <c r="S204" s="42" t="s">
        <v>32</v>
      </c>
      <c r="T204" s="42" t="s">
        <v>60</v>
      </c>
      <c r="U204" s="42" t="s">
        <v>67</v>
      </c>
      <c r="V204" s="42" t="s">
        <v>166</v>
      </c>
      <c r="W204" s="42"/>
    </row>
    <row r="205" spans="1:23" ht="36" x14ac:dyDescent="0.25">
      <c r="A205" s="42" t="s">
        <v>752</v>
      </c>
      <c r="B205" s="42" t="s">
        <v>781</v>
      </c>
      <c r="C205" s="42" t="s">
        <v>785</v>
      </c>
      <c r="D205" s="48" t="s">
        <v>55</v>
      </c>
      <c r="E205" s="42" t="s">
        <v>786</v>
      </c>
      <c r="F205" s="42" t="s">
        <v>527</v>
      </c>
      <c r="G205" s="42" t="s">
        <v>784</v>
      </c>
      <c r="H205" s="42" t="s">
        <v>449</v>
      </c>
      <c r="I205" s="42" t="s">
        <v>524</v>
      </c>
      <c r="J205" s="42">
        <v>3</v>
      </c>
      <c r="K205" s="42">
        <v>1</v>
      </c>
      <c r="L205" s="44">
        <f t="shared" si="9"/>
        <v>1</v>
      </c>
      <c r="M205" s="45">
        <v>0.35</v>
      </c>
      <c r="N205" s="50">
        <v>0.2</v>
      </c>
      <c r="O205" s="46">
        <f t="shared" si="10"/>
        <v>0.48</v>
      </c>
      <c r="P205" s="47">
        <f t="shared" si="11"/>
        <v>0.48</v>
      </c>
      <c r="Q205" s="42" t="s">
        <v>55</v>
      </c>
      <c r="R205" s="42" t="s">
        <v>32</v>
      </c>
      <c r="S205" s="42" t="s">
        <v>32</v>
      </c>
      <c r="T205" s="42" t="s">
        <v>60</v>
      </c>
      <c r="U205" s="42" t="s">
        <v>67</v>
      </c>
      <c r="V205" s="42" t="s">
        <v>166</v>
      </c>
      <c r="W205" s="42"/>
    </row>
    <row r="206" spans="1:23" ht="24" x14ac:dyDescent="0.25">
      <c r="A206" s="42" t="s">
        <v>752</v>
      </c>
      <c r="B206" s="42" t="s">
        <v>781</v>
      </c>
      <c r="C206" s="42" t="s">
        <v>787</v>
      </c>
      <c r="D206" s="49" t="s">
        <v>66</v>
      </c>
      <c r="E206" s="42" t="s">
        <v>788</v>
      </c>
      <c r="F206" s="42" t="s">
        <v>468</v>
      </c>
      <c r="G206" s="42" t="s">
        <v>784</v>
      </c>
      <c r="H206" s="42" t="s">
        <v>462</v>
      </c>
      <c r="I206" s="42" t="s">
        <v>524</v>
      </c>
      <c r="J206" s="42">
        <v>3</v>
      </c>
      <c r="K206" s="42">
        <v>1</v>
      </c>
      <c r="L206" s="44">
        <f t="shared" si="9"/>
        <v>1</v>
      </c>
      <c r="M206" s="45">
        <v>0.1</v>
      </c>
      <c r="N206" s="50">
        <v>0.2</v>
      </c>
      <c r="O206" s="46">
        <f t="shared" si="10"/>
        <v>0.27999999999999992</v>
      </c>
      <c r="P206" s="47">
        <f t="shared" si="11"/>
        <v>0.27999999999999992</v>
      </c>
      <c r="Q206" s="42" t="s">
        <v>66</v>
      </c>
      <c r="R206" s="42" t="s">
        <v>66</v>
      </c>
      <c r="S206" s="42" t="s">
        <v>66</v>
      </c>
      <c r="T206" s="42" t="s">
        <v>469</v>
      </c>
      <c r="U206" s="42" t="s">
        <v>67</v>
      </c>
      <c r="V206" s="42" t="s">
        <v>166</v>
      </c>
      <c r="W206" s="42"/>
    </row>
    <row r="207" spans="1:23" ht="36" x14ac:dyDescent="0.25">
      <c r="A207" s="42" t="s">
        <v>752</v>
      </c>
      <c r="B207" s="42" t="s">
        <v>789</v>
      </c>
      <c r="C207" s="42" t="s">
        <v>790</v>
      </c>
      <c r="D207" s="43" t="s">
        <v>26</v>
      </c>
      <c r="E207" s="42" t="s">
        <v>791</v>
      </c>
      <c r="F207" s="42" t="s">
        <v>492</v>
      </c>
      <c r="G207" s="42" t="s">
        <v>792</v>
      </c>
      <c r="H207" s="42" t="s">
        <v>494</v>
      </c>
      <c r="I207" s="42" t="s">
        <v>524</v>
      </c>
      <c r="J207" s="42">
        <v>3</v>
      </c>
      <c r="K207" s="42">
        <v>1</v>
      </c>
      <c r="L207" s="44">
        <f t="shared" si="9"/>
        <v>1.5</v>
      </c>
      <c r="M207" s="45">
        <v>0.6</v>
      </c>
      <c r="N207" s="45">
        <v>0.05</v>
      </c>
      <c r="O207" s="46">
        <f t="shared" si="10"/>
        <v>0.62</v>
      </c>
      <c r="P207" s="47">
        <f t="shared" si="11"/>
        <v>0.92999999999999994</v>
      </c>
      <c r="Q207" s="42" t="s">
        <v>55</v>
      </c>
      <c r="R207" s="42" t="s">
        <v>32</v>
      </c>
      <c r="S207" s="42" t="s">
        <v>33</v>
      </c>
      <c r="T207" s="42" t="s">
        <v>34</v>
      </c>
      <c r="U207" s="42" t="s">
        <v>67</v>
      </c>
      <c r="V207" s="42" t="s">
        <v>166</v>
      </c>
      <c r="W207" s="42"/>
    </row>
    <row r="208" spans="1:23" ht="36" x14ac:dyDescent="0.25">
      <c r="A208" s="42" t="s">
        <v>752</v>
      </c>
      <c r="B208" s="42" t="s">
        <v>789</v>
      </c>
      <c r="C208" s="42" t="s">
        <v>793</v>
      </c>
      <c r="D208" s="48" t="s">
        <v>55</v>
      </c>
      <c r="E208" s="42" t="s">
        <v>794</v>
      </c>
      <c r="F208" s="42" t="s">
        <v>452</v>
      </c>
      <c r="G208" s="42" t="s">
        <v>792</v>
      </c>
      <c r="H208" s="42" t="s">
        <v>449</v>
      </c>
      <c r="I208" s="42" t="s">
        <v>524</v>
      </c>
      <c r="J208" s="42">
        <v>3</v>
      </c>
      <c r="K208" s="42">
        <v>1</v>
      </c>
      <c r="L208" s="44">
        <f t="shared" si="9"/>
        <v>1.5</v>
      </c>
      <c r="M208" s="45">
        <v>0.35</v>
      </c>
      <c r="N208" s="45">
        <v>0.05</v>
      </c>
      <c r="O208" s="46">
        <f t="shared" si="10"/>
        <v>0.38250000000000006</v>
      </c>
      <c r="P208" s="47">
        <f t="shared" si="11"/>
        <v>0.57375000000000009</v>
      </c>
      <c r="Q208" s="42" t="s">
        <v>55</v>
      </c>
      <c r="R208" s="42" t="s">
        <v>32</v>
      </c>
      <c r="S208" s="42" t="s">
        <v>32</v>
      </c>
      <c r="T208" s="42" t="s">
        <v>60</v>
      </c>
      <c r="U208" s="42" t="s">
        <v>67</v>
      </c>
      <c r="V208" s="42" t="s">
        <v>166</v>
      </c>
      <c r="W208" s="42"/>
    </row>
    <row r="209" spans="1:23" ht="36" x14ac:dyDescent="0.25">
      <c r="A209" s="42" t="s">
        <v>752</v>
      </c>
      <c r="B209" s="42" t="s">
        <v>795</v>
      </c>
      <c r="C209" s="42" t="s">
        <v>796</v>
      </c>
      <c r="D209" s="43" t="s">
        <v>26</v>
      </c>
      <c r="E209" s="42" t="s">
        <v>797</v>
      </c>
      <c r="F209" s="42" t="s">
        <v>584</v>
      </c>
      <c r="G209" s="42" t="s">
        <v>798</v>
      </c>
      <c r="H209" s="42" t="s">
        <v>494</v>
      </c>
      <c r="I209" s="42" t="s">
        <v>524</v>
      </c>
      <c r="J209" s="42">
        <v>5</v>
      </c>
      <c r="K209" s="42">
        <v>1</v>
      </c>
      <c r="L209" s="44">
        <f t="shared" si="9"/>
        <v>1.6666666666666667</v>
      </c>
      <c r="M209" s="45">
        <v>0.6</v>
      </c>
      <c r="N209" s="45">
        <v>0.05</v>
      </c>
      <c r="O209" s="46">
        <f t="shared" si="10"/>
        <v>0.62</v>
      </c>
      <c r="P209" s="47">
        <f t="shared" si="11"/>
        <v>1.0333333333333334</v>
      </c>
      <c r="Q209" s="42" t="s">
        <v>55</v>
      </c>
      <c r="R209" s="42" t="s">
        <v>32</v>
      </c>
      <c r="S209" s="42" t="s">
        <v>33</v>
      </c>
      <c r="T209" s="42" t="s">
        <v>34</v>
      </c>
      <c r="U209" s="42" t="s">
        <v>67</v>
      </c>
      <c r="V209" s="42" t="s">
        <v>596</v>
      </c>
      <c r="W209" s="42"/>
    </row>
    <row r="210" spans="1:23" ht="36" x14ac:dyDescent="0.25">
      <c r="A210" s="42" t="s">
        <v>752</v>
      </c>
      <c r="B210" s="42" t="s">
        <v>795</v>
      </c>
      <c r="C210" s="42" t="s">
        <v>799</v>
      </c>
      <c r="D210" s="48" t="s">
        <v>55</v>
      </c>
      <c r="E210" s="42" t="s">
        <v>800</v>
      </c>
      <c r="F210" s="42" t="s">
        <v>447</v>
      </c>
      <c r="G210" s="42" t="s">
        <v>798</v>
      </c>
      <c r="H210" s="42" t="s">
        <v>449</v>
      </c>
      <c r="I210" s="42" t="s">
        <v>524</v>
      </c>
      <c r="J210" s="42">
        <v>5</v>
      </c>
      <c r="K210" s="42">
        <v>1</v>
      </c>
      <c r="L210" s="44">
        <f t="shared" si="9"/>
        <v>1.6666666666666667</v>
      </c>
      <c r="M210" s="45">
        <v>0.35</v>
      </c>
      <c r="N210" s="45">
        <v>0.05</v>
      </c>
      <c r="O210" s="46">
        <f t="shared" si="10"/>
        <v>0.38250000000000006</v>
      </c>
      <c r="P210" s="47">
        <f t="shared" si="11"/>
        <v>0.63750000000000018</v>
      </c>
      <c r="Q210" s="42" t="s">
        <v>55</v>
      </c>
      <c r="R210" s="42" t="s">
        <v>32</v>
      </c>
      <c r="S210" s="42" t="s">
        <v>32</v>
      </c>
      <c r="T210" s="42" t="s">
        <v>60</v>
      </c>
      <c r="U210" s="42" t="s">
        <v>67</v>
      </c>
      <c r="V210" s="42" t="s">
        <v>596</v>
      </c>
      <c r="W210" s="42"/>
    </row>
    <row r="211" spans="1:23" ht="36" x14ac:dyDescent="0.25">
      <c r="A211" s="42" t="s">
        <v>752</v>
      </c>
      <c r="B211" s="42" t="s">
        <v>795</v>
      </c>
      <c r="C211" s="42" t="s">
        <v>801</v>
      </c>
      <c r="D211" s="49" t="s">
        <v>66</v>
      </c>
      <c r="E211" s="42" t="s">
        <v>802</v>
      </c>
      <c r="F211" s="42" t="s">
        <v>468</v>
      </c>
      <c r="G211" s="42" t="s">
        <v>798</v>
      </c>
      <c r="H211" s="42" t="s">
        <v>462</v>
      </c>
      <c r="I211" s="42" t="s">
        <v>524</v>
      </c>
      <c r="J211" s="42">
        <v>5</v>
      </c>
      <c r="K211" s="42">
        <v>1</v>
      </c>
      <c r="L211" s="44">
        <f t="shared" si="9"/>
        <v>1.6666666666666667</v>
      </c>
      <c r="M211" s="45">
        <v>0.1</v>
      </c>
      <c r="N211" s="45">
        <v>0.05</v>
      </c>
      <c r="O211" s="46">
        <f t="shared" si="10"/>
        <v>0.14500000000000002</v>
      </c>
      <c r="P211" s="47">
        <f t="shared" si="11"/>
        <v>0.2416666666666667</v>
      </c>
      <c r="Q211" s="42" t="s">
        <v>66</v>
      </c>
      <c r="R211" s="42" t="s">
        <v>66</v>
      </c>
      <c r="S211" s="42" t="s">
        <v>66</v>
      </c>
      <c r="T211" s="42" t="s">
        <v>469</v>
      </c>
      <c r="U211" s="42" t="s">
        <v>67</v>
      </c>
      <c r="V211" s="42" t="s">
        <v>596</v>
      </c>
      <c r="W211" s="42"/>
    </row>
    <row r="212" spans="1:23" ht="36" x14ac:dyDescent="0.25">
      <c r="A212" s="42" t="s">
        <v>803</v>
      </c>
      <c r="B212" s="42" t="s">
        <v>804</v>
      </c>
      <c r="C212" s="42" t="s">
        <v>805</v>
      </c>
      <c r="D212" s="43" t="s">
        <v>26</v>
      </c>
      <c r="E212" s="42" t="s">
        <v>806</v>
      </c>
      <c r="F212" s="42" t="s">
        <v>492</v>
      </c>
      <c r="G212" s="42" t="s">
        <v>807</v>
      </c>
      <c r="H212" s="42" t="s">
        <v>494</v>
      </c>
      <c r="I212" s="42" t="s">
        <v>808</v>
      </c>
      <c r="J212" s="42">
        <v>5</v>
      </c>
      <c r="K212" s="42">
        <v>1</v>
      </c>
      <c r="L212" s="44">
        <f t="shared" si="9"/>
        <v>1.6666666666666667</v>
      </c>
      <c r="M212" s="45">
        <v>0.6</v>
      </c>
      <c r="N212" s="45">
        <v>0.1</v>
      </c>
      <c r="O212" s="46">
        <f t="shared" si="10"/>
        <v>0.6399999999999999</v>
      </c>
      <c r="P212" s="47">
        <f t="shared" si="11"/>
        <v>1.0666666666666667</v>
      </c>
      <c r="Q212" s="42" t="s">
        <v>55</v>
      </c>
      <c r="R212" s="42" t="s">
        <v>32</v>
      </c>
      <c r="S212" s="42" t="s">
        <v>33</v>
      </c>
      <c r="T212" s="42" t="s">
        <v>34</v>
      </c>
      <c r="U212" s="42" t="s">
        <v>67</v>
      </c>
      <c r="V212" s="42" t="s">
        <v>166</v>
      </c>
      <c r="W212" s="42"/>
    </row>
    <row r="213" spans="1:23" ht="36" x14ac:dyDescent="0.25">
      <c r="A213" s="42" t="s">
        <v>803</v>
      </c>
      <c r="B213" s="42" t="s">
        <v>804</v>
      </c>
      <c r="C213" s="42" t="s">
        <v>809</v>
      </c>
      <c r="D213" s="48" t="s">
        <v>55</v>
      </c>
      <c r="E213" s="42" t="s">
        <v>810</v>
      </c>
      <c r="F213" s="42" t="s">
        <v>447</v>
      </c>
      <c r="G213" s="42" t="s">
        <v>807</v>
      </c>
      <c r="H213" s="42" t="s">
        <v>449</v>
      </c>
      <c r="I213" s="42" t="s">
        <v>808</v>
      </c>
      <c r="J213" s="42">
        <v>5</v>
      </c>
      <c r="K213" s="42">
        <v>1</v>
      </c>
      <c r="L213" s="44">
        <f t="shared" si="9"/>
        <v>1.6666666666666667</v>
      </c>
      <c r="M213" s="45">
        <v>0.35</v>
      </c>
      <c r="N213" s="45">
        <v>0.1</v>
      </c>
      <c r="O213" s="46">
        <f t="shared" si="10"/>
        <v>0.41499999999999992</v>
      </c>
      <c r="P213" s="47">
        <f t="shared" si="11"/>
        <v>0.69166666666666654</v>
      </c>
      <c r="Q213" s="42" t="s">
        <v>55</v>
      </c>
      <c r="R213" s="42" t="s">
        <v>32</v>
      </c>
      <c r="S213" s="42" t="s">
        <v>32</v>
      </c>
      <c r="T213" s="42" t="s">
        <v>60</v>
      </c>
      <c r="U213" s="42" t="s">
        <v>67</v>
      </c>
      <c r="V213" s="42" t="s">
        <v>166</v>
      </c>
      <c r="W213" s="42"/>
    </row>
    <row r="214" spans="1:23" ht="24" x14ac:dyDescent="0.25">
      <c r="A214" s="42" t="s">
        <v>803</v>
      </c>
      <c r="B214" s="42" t="s">
        <v>804</v>
      </c>
      <c r="C214" s="42" t="s">
        <v>811</v>
      </c>
      <c r="D214" s="49" t="s">
        <v>66</v>
      </c>
      <c r="E214" s="42" t="s">
        <v>812</v>
      </c>
      <c r="F214" s="42" t="s">
        <v>472</v>
      </c>
      <c r="G214" s="42" t="s">
        <v>807</v>
      </c>
      <c r="H214" s="42" t="s">
        <v>462</v>
      </c>
      <c r="I214" s="42" t="s">
        <v>808</v>
      </c>
      <c r="J214" s="42">
        <v>5</v>
      </c>
      <c r="K214" s="42">
        <v>1</v>
      </c>
      <c r="L214" s="44">
        <f t="shared" si="9"/>
        <v>1.6666666666666667</v>
      </c>
      <c r="M214" s="45">
        <v>0.1</v>
      </c>
      <c r="N214" s="45">
        <v>0.1</v>
      </c>
      <c r="O214" s="46">
        <f t="shared" si="10"/>
        <v>0.18999999999999995</v>
      </c>
      <c r="P214" s="47">
        <f t="shared" si="11"/>
        <v>0.3166666666666666</v>
      </c>
      <c r="Q214" s="42" t="s">
        <v>67</v>
      </c>
      <c r="R214" s="42" t="s">
        <v>66</v>
      </c>
      <c r="S214" s="42" t="s">
        <v>66</v>
      </c>
      <c r="T214" s="42" t="s">
        <v>473</v>
      </c>
      <c r="U214" s="42" t="s">
        <v>67</v>
      </c>
      <c r="V214" s="42" t="s">
        <v>166</v>
      </c>
      <c r="W214" s="42"/>
    </row>
    <row r="215" spans="1:23" ht="36" x14ac:dyDescent="0.25">
      <c r="A215" s="42" t="s">
        <v>803</v>
      </c>
      <c r="B215" s="42" t="s">
        <v>813</v>
      </c>
      <c r="C215" s="42" t="s">
        <v>814</v>
      </c>
      <c r="D215" s="48" t="s">
        <v>55</v>
      </c>
      <c r="E215" s="42" t="s">
        <v>815</v>
      </c>
      <c r="F215" s="42" t="s">
        <v>452</v>
      </c>
      <c r="G215" s="42" t="s">
        <v>816</v>
      </c>
      <c r="H215" s="42" t="s">
        <v>449</v>
      </c>
      <c r="I215" s="42" t="s">
        <v>808</v>
      </c>
      <c r="J215" s="42">
        <v>10</v>
      </c>
      <c r="K215" s="42">
        <v>2</v>
      </c>
      <c r="L215" s="44">
        <f t="shared" si="9"/>
        <v>3.3333333333333335</v>
      </c>
      <c r="M215" s="45">
        <v>0.35</v>
      </c>
      <c r="N215" s="45">
        <v>0.1</v>
      </c>
      <c r="O215" s="46">
        <f t="shared" si="10"/>
        <v>0.41499999999999992</v>
      </c>
      <c r="P215" s="47">
        <f t="shared" si="11"/>
        <v>1.3833333333333331</v>
      </c>
      <c r="Q215" s="42" t="s">
        <v>55</v>
      </c>
      <c r="R215" s="42" t="s">
        <v>32</v>
      </c>
      <c r="S215" s="42" t="s">
        <v>32</v>
      </c>
      <c r="T215" s="42" t="s">
        <v>60</v>
      </c>
      <c r="U215" s="42" t="s">
        <v>67</v>
      </c>
      <c r="V215" s="42" t="s">
        <v>166</v>
      </c>
      <c r="W215" s="42"/>
    </row>
    <row r="216" spans="1:23" ht="36" x14ac:dyDescent="0.25">
      <c r="A216" s="42" t="s">
        <v>803</v>
      </c>
      <c r="B216" s="42" t="s">
        <v>813</v>
      </c>
      <c r="C216" s="42" t="s">
        <v>817</v>
      </c>
      <c r="D216" s="48" t="s">
        <v>55</v>
      </c>
      <c r="E216" s="42" t="s">
        <v>818</v>
      </c>
      <c r="F216" s="42" t="s">
        <v>515</v>
      </c>
      <c r="G216" s="42" t="s">
        <v>816</v>
      </c>
      <c r="H216" s="42" t="s">
        <v>449</v>
      </c>
      <c r="I216" s="42" t="s">
        <v>808</v>
      </c>
      <c r="J216" s="42">
        <v>10</v>
      </c>
      <c r="K216" s="42">
        <v>2</v>
      </c>
      <c r="L216" s="44">
        <f t="shared" si="9"/>
        <v>3.3333333333333335</v>
      </c>
      <c r="M216" s="45">
        <v>0.35</v>
      </c>
      <c r="N216" s="45">
        <v>0.1</v>
      </c>
      <c r="O216" s="46">
        <f t="shared" si="10"/>
        <v>0.41499999999999992</v>
      </c>
      <c r="P216" s="47">
        <f t="shared" si="11"/>
        <v>1.3833333333333331</v>
      </c>
      <c r="Q216" s="42" t="s">
        <v>55</v>
      </c>
      <c r="R216" s="42" t="s">
        <v>32</v>
      </c>
      <c r="S216" s="42" t="s">
        <v>32</v>
      </c>
      <c r="T216" s="42" t="s">
        <v>60</v>
      </c>
      <c r="U216" s="42" t="s">
        <v>67</v>
      </c>
      <c r="V216" s="42" t="s">
        <v>166</v>
      </c>
      <c r="W216" s="42"/>
    </row>
    <row r="217" spans="1:23" ht="24" x14ac:dyDescent="0.25">
      <c r="A217" s="42" t="s">
        <v>803</v>
      </c>
      <c r="B217" s="42" t="s">
        <v>813</v>
      </c>
      <c r="C217" s="42" t="s">
        <v>819</v>
      </c>
      <c r="D217" s="49" t="s">
        <v>66</v>
      </c>
      <c r="E217" s="42" t="s">
        <v>820</v>
      </c>
      <c r="F217" s="42" t="s">
        <v>468</v>
      </c>
      <c r="G217" s="42" t="s">
        <v>816</v>
      </c>
      <c r="H217" s="42" t="s">
        <v>462</v>
      </c>
      <c r="I217" s="42" t="s">
        <v>808</v>
      </c>
      <c r="J217" s="42">
        <v>10</v>
      </c>
      <c r="K217" s="42">
        <v>2</v>
      </c>
      <c r="L217" s="44">
        <f t="shared" si="9"/>
        <v>3.3333333333333335</v>
      </c>
      <c r="M217" s="45">
        <v>0.1</v>
      </c>
      <c r="N217" s="45">
        <v>0.1</v>
      </c>
      <c r="O217" s="46">
        <f t="shared" si="10"/>
        <v>0.18999999999999995</v>
      </c>
      <c r="P217" s="47">
        <f t="shared" si="11"/>
        <v>0.63333333333333319</v>
      </c>
      <c r="Q217" s="42" t="s">
        <v>67</v>
      </c>
      <c r="R217" s="42" t="s">
        <v>66</v>
      </c>
      <c r="S217" s="42" t="s">
        <v>66</v>
      </c>
      <c r="T217" s="42" t="s">
        <v>469</v>
      </c>
      <c r="U217" s="42" t="s">
        <v>67</v>
      </c>
      <c r="V217" s="42" t="s">
        <v>166</v>
      </c>
      <c r="W217" s="42"/>
    </row>
    <row r="218" spans="1:23" ht="24" x14ac:dyDescent="0.25">
      <c r="A218" s="42" t="s">
        <v>803</v>
      </c>
      <c r="B218" s="42" t="s">
        <v>821</v>
      </c>
      <c r="C218" s="42" t="s">
        <v>822</v>
      </c>
      <c r="D218" s="48" t="s">
        <v>55</v>
      </c>
      <c r="E218" s="42" t="s">
        <v>823</v>
      </c>
      <c r="F218" s="42" t="s">
        <v>447</v>
      </c>
      <c r="G218" s="42" t="s">
        <v>824</v>
      </c>
      <c r="H218" s="42" t="s">
        <v>449</v>
      </c>
      <c r="I218" s="42" t="s">
        <v>808</v>
      </c>
      <c r="J218" s="42">
        <v>15</v>
      </c>
      <c r="K218" s="42">
        <v>1</v>
      </c>
      <c r="L218" s="44">
        <f t="shared" si="9"/>
        <v>5</v>
      </c>
      <c r="M218" s="45">
        <v>0.35</v>
      </c>
      <c r="N218" s="45">
        <v>0.1</v>
      </c>
      <c r="O218" s="46">
        <f t="shared" si="10"/>
        <v>0.41499999999999992</v>
      </c>
      <c r="P218" s="47">
        <f t="shared" si="11"/>
        <v>2.0749999999999997</v>
      </c>
      <c r="Q218" s="42" t="s">
        <v>55</v>
      </c>
      <c r="R218" s="42" t="s">
        <v>32</v>
      </c>
      <c r="S218" s="42" t="s">
        <v>32</v>
      </c>
      <c r="T218" s="42" t="s">
        <v>60</v>
      </c>
      <c r="U218" s="42" t="s">
        <v>67</v>
      </c>
      <c r="V218" s="42" t="s">
        <v>166</v>
      </c>
      <c r="W218" s="42"/>
    </row>
    <row r="219" spans="1:23" ht="36" x14ac:dyDescent="0.25">
      <c r="A219" s="42" t="s">
        <v>803</v>
      </c>
      <c r="B219" s="42" t="s">
        <v>821</v>
      </c>
      <c r="C219" s="42" t="s">
        <v>825</v>
      </c>
      <c r="D219" s="49" t="s">
        <v>66</v>
      </c>
      <c r="E219" s="42" t="s">
        <v>826</v>
      </c>
      <c r="F219" s="42" t="s">
        <v>827</v>
      </c>
      <c r="G219" s="42" t="s">
        <v>824</v>
      </c>
      <c r="H219" s="42" t="s">
        <v>462</v>
      </c>
      <c r="I219" s="42" t="s">
        <v>808</v>
      </c>
      <c r="J219" s="42">
        <v>15</v>
      </c>
      <c r="K219" s="42">
        <v>1</v>
      </c>
      <c r="L219" s="44">
        <f t="shared" si="9"/>
        <v>5</v>
      </c>
      <c r="M219" s="45">
        <v>0.1</v>
      </c>
      <c r="N219" s="45">
        <v>0.1</v>
      </c>
      <c r="O219" s="46">
        <f t="shared" si="10"/>
        <v>0.18999999999999995</v>
      </c>
      <c r="P219" s="47">
        <f t="shared" si="11"/>
        <v>0.94999999999999973</v>
      </c>
      <c r="Q219" s="42" t="s">
        <v>66</v>
      </c>
      <c r="R219" s="42" t="s">
        <v>66</v>
      </c>
      <c r="S219" s="42" t="s">
        <v>66</v>
      </c>
      <c r="T219" s="42" t="s">
        <v>828</v>
      </c>
      <c r="U219" s="42" t="s">
        <v>67</v>
      </c>
      <c r="V219" s="42" t="s">
        <v>166</v>
      </c>
      <c r="W219" s="42"/>
    </row>
    <row r="220" spans="1:23" ht="24" x14ac:dyDescent="0.25">
      <c r="A220" s="42" t="s">
        <v>803</v>
      </c>
      <c r="B220" s="42" t="s">
        <v>821</v>
      </c>
      <c r="C220" s="42" t="s">
        <v>829</v>
      </c>
      <c r="D220" s="49" t="s">
        <v>66</v>
      </c>
      <c r="E220" s="42" t="s">
        <v>830</v>
      </c>
      <c r="F220" s="42" t="s">
        <v>472</v>
      </c>
      <c r="G220" s="42" t="s">
        <v>824</v>
      </c>
      <c r="H220" s="42" t="s">
        <v>462</v>
      </c>
      <c r="I220" s="42" t="s">
        <v>808</v>
      </c>
      <c r="J220" s="42">
        <v>15</v>
      </c>
      <c r="K220" s="42">
        <v>1</v>
      </c>
      <c r="L220" s="44">
        <f t="shared" si="9"/>
        <v>5</v>
      </c>
      <c r="M220" s="45">
        <v>0.1</v>
      </c>
      <c r="N220" s="45">
        <v>0.1</v>
      </c>
      <c r="O220" s="46">
        <f t="shared" si="10"/>
        <v>0.18999999999999995</v>
      </c>
      <c r="P220" s="47">
        <f t="shared" si="11"/>
        <v>0.94999999999999973</v>
      </c>
      <c r="Q220" s="42" t="s">
        <v>67</v>
      </c>
      <c r="R220" s="42" t="s">
        <v>66</v>
      </c>
      <c r="S220" s="42" t="s">
        <v>66</v>
      </c>
      <c r="T220" s="42" t="s">
        <v>473</v>
      </c>
      <c r="U220" s="42" t="s">
        <v>67</v>
      </c>
      <c r="V220" s="42" t="s">
        <v>166</v>
      </c>
      <c r="W220" s="42"/>
    </row>
    <row r="221" spans="1:23" ht="36" x14ac:dyDescent="0.25">
      <c r="A221" s="42" t="s">
        <v>803</v>
      </c>
      <c r="B221" s="42" t="s">
        <v>831</v>
      </c>
      <c r="C221" s="42" t="s">
        <v>832</v>
      </c>
      <c r="D221" s="48" t="s">
        <v>55</v>
      </c>
      <c r="E221" s="42" t="s">
        <v>833</v>
      </c>
      <c r="F221" s="42" t="s">
        <v>447</v>
      </c>
      <c r="G221" s="42" t="s">
        <v>834</v>
      </c>
      <c r="H221" s="42" t="s">
        <v>449</v>
      </c>
      <c r="I221" s="42" t="s">
        <v>808</v>
      </c>
      <c r="J221" s="42">
        <v>8</v>
      </c>
      <c r="K221" s="42">
        <v>1</v>
      </c>
      <c r="L221" s="44">
        <f t="shared" si="9"/>
        <v>4</v>
      </c>
      <c r="M221" s="45">
        <v>0.35</v>
      </c>
      <c r="N221" s="45">
        <v>0.1</v>
      </c>
      <c r="O221" s="46">
        <f t="shared" si="10"/>
        <v>0.41499999999999992</v>
      </c>
      <c r="P221" s="47">
        <f t="shared" si="11"/>
        <v>1.6599999999999997</v>
      </c>
      <c r="Q221" s="42" t="s">
        <v>55</v>
      </c>
      <c r="R221" s="42" t="s">
        <v>32</v>
      </c>
      <c r="S221" s="42" t="s">
        <v>32</v>
      </c>
      <c r="T221" s="42" t="s">
        <v>60</v>
      </c>
      <c r="U221" s="42" t="s">
        <v>67</v>
      </c>
      <c r="V221" s="42" t="s">
        <v>166</v>
      </c>
      <c r="W221" s="42"/>
    </row>
    <row r="222" spans="1:23" ht="36" x14ac:dyDescent="0.25">
      <c r="A222" s="42" t="s">
        <v>803</v>
      </c>
      <c r="B222" s="42" t="s">
        <v>831</v>
      </c>
      <c r="C222" s="42" t="s">
        <v>835</v>
      </c>
      <c r="D222" s="49" t="s">
        <v>66</v>
      </c>
      <c r="E222" s="42" t="s">
        <v>836</v>
      </c>
      <c r="F222" s="42" t="s">
        <v>461</v>
      </c>
      <c r="G222" s="42" t="s">
        <v>834</v>
      </c>
      <c r="H222" s="42" t="s">
        <v>462</v>
      </c>
      <c r="I222" s="42" t="s">
        <v>808</v>
      </c>
      <c r="J222" s="42">
        <v>8</v>
      </c>
      <c r="K222" s="42">
        <v>1</v>
      </c>
      <c r="L222" s="44">
        <f t="shared" si="9"/>
        <v>4</v>
      </c>
      <c r="M222" s="45">
        <v>0.1</v>
      </c>
      <c r="N222" s="45">
        <v>0.1</v>
      </c>
      <c r="O222" s="46">
        <f t="shared" si="10"/>
        <v>0.18999999999999995</v>
      </c>
      <c r="P222" s="47">
        <f t="shared" si="11"/>
        <v>0.75999999999999979</v>
      </c>
      <c r="Q222" s="42" t="s">
        <v>66</v>
      </c>
      <c r="R222" s="42" t="s">
        <v>66</v>
      </c>
      <c r="S222" s="42" t="s">
        <v>66</v>
      </c>
      <c r="T222" s="42" t="s">
        <v>463</v>
      </c>
      <c r="U222" s="42" t="s">
        <v>67</v>
      </c>
      <c r="V222" s="42" t="s">
        <v>166</v>
      </c>
      <c r="W222" s="42"/>
    </row>
    <row r="223" spans="1:23" ht="36" x14ac:dyDescent="0.25">
      <c r="A223" s="42" t="s">
        <v>803</v>
      </c>
      <c r="B223" s="42" t="s">
        <v>837</v>
      </c>
      <c r="C223" s="42" t="s">
        <v>838</v>
      </c>
      <c r="D223" s="43" t="s">
        <v>26</v>
      </c>
      <c r="E223" s="42" t="s">
        <v>839</v>
      </c>
      <c r="F223" s="42" t="s">
        <v>492</v>
      </c>
      <c r="G223" s="42" t="s">
        <v>840</v>
      </c>
      <c r="H223" s="42" t="s">
        <v>494</v>
      </c>
      <c r="I223" s="42" t="s">
        <v>808</v>
      </c>
      <c r="J223" s="42">
        <v>5</v>
      </c>
      <c r="K223" s="42">
        <v>2</v>
      </c>
      <c r="L223" s="44">
        <f t="shared" si="9"/>
        <v>2.5</v>
      </c>
      <c r="M223" s="45">
        <v>0.6</v>
      </c>
      <c r="N223" s="45">
        <v>0.1</v>
      </c>
      <c r="O223" s="46">
        <f t="shared" si="10"/>
        <v>0.6399999999999999</v>
      </c>
      <c r="P223" s="47">
        <f t="shared" si="11"/>
        <v>1.5999999999999996</v>
      </c>
      <c r="Q223" s="42" t="s">
        <v>55</v>
      </c>
      <c r="R223" s="42" t="s">
        <v>32</v>
      </c>
      <c r="S223" s="42" t="s">
        <v>33</v>
      </c>
      <c r="T223" s="42" t="s">
        <v>34</v>
      </c>
      <c r="U223" s="42" t="s">
        <v>183</v>
      </c>
      <c r="V223" s="42" t="s">
        <v>166</v>
      </c>
      <c r="W223" s="42"/>
    </row>
    <row r="224" spans="1:23" ht="24" x14ac:dyDescent="0.25">
      <c r="A224" s="42" t="s">
        <v>803</v>
      </c>
      <c r="B224" s="42" t="s">
        <v>837</v>
      </c>
      <c r="C224" s="42" t="s">
        <v>841</v>
      </c>
      <c r="D224" s="48" t="s">
        <v>55</v>
      </c>
      <c r="E224" s="42" t="s">
        <v>842</v>
      </c>
      <c r="F224" s="42" t="s">
        <v>515</v>
      </c>
      <c r="G224" s="42" t="s">
        <v>840</v>
      </c>
      <c r="H224" s="42" t="s">
        <v>449</v>
      </c>
      <c r="I224" s="42" t="s">
        <v>808</v>
      </c>
      <c r="J224" s="42">
        <v>5</v>
      </c>
      <c r="K224" s="42">
        <v>2</v>
      </c>
      <c r="L224" s="44">
        <f t="shared" si="9"/>
        <v>2.5</v>
      </c>
      <c r="M224" s="45">
        <v>0.35</v>
      </c>
      <c r="N224" s="45">
        <v>0.1</v>
      </c>
      <c r="O224" s="46">
        <f t="shared" si="10"/>
        <v>0.41499999999999992</v>
      </c>
      <c r="P224" s="47">
        <f t="shared" si="11"/>
        <v>1.0374999999999999</v>
      </c>
      <c r="Q224" s="42" t="s">
        <v>55</v>
      </c>
      <c r="R224" s="42" t="s">
        <v>32</v>
      </c>
      <c r="S224" s="42" t="s">
        <v>32</v>
      </c>
      <c r="T224" s="42" t="s">
        <v>60</v>
      </c>
      <c r="U224" s="42" t="s">
        <v>189</v>
      </c>
      <c r="V224" s="42" t="s">
        <v>166</v>
      </c>
      <c r="W224" s="42"/>
    </row>
    <row r="225" spans="1:23" ht="36" x14ac:dyDescent="0.25">
      <c r="A225" s="42" t="s">
        <v>803</v>
      </c>
      <c r="B225" s="42" t="s">
        <v>843</v>
      </c>
      <c r="C225" s="42" t="s">
        <v>844</v>
      </c>
      <c r="D225" s="48" t="s">
        <v>55</v>
      </c>
      <c r="E225" s="42" t="s">
        <v>845</v>
      </c>
      <c r="F225" s="42" t="s">
        <v>497</v>
      </c>
      <c r="G225" s="42" t="s">
        <v>846</v>
      </c>
      <c r="H225" s="42" t="s">
        <v>449</v>
      </c>
      <c r="I225" s="42" t="s">
        <v>808</v>
      </c>
      <c r="J225" s="42">
        <v>5</v>
      </c>
      <c r="K225" s="42">
        <v>1</v>
      </c>
      <c r="L225" s="44">
        <f t="shared" si="9"/>
        <v>1.6666666666666667</v>
      </c>
      <c r="M225" s="45">
        <v>0.35</v>
      </c>
      <c r="N225" s="45">
        <v>0.1</v>
      </c>
      <c r="O225" s="46">
        <f t="shared" si="10"/>
        <v>0.41499999999999992</v>
      </c>
      <c r="P225" s="47">
        <f t="shared" si="11"/>
        <v>0.69166666666666654</v>
      </c>
      <c r="Q225" s="42" t="s">
        <v>55</v>
      </c>
      <c r="R225" s="42" t="s">
        <v>32</v>
      </c>
      <c r="S225" s="42" t="s">
        <v>32</v>
      </c>
      <c r="T225" s="42" t="s">
        <v>60</v>
      </c>
      <c r="U225" s="42" t="s">
        <v>67</v>
      </c>
      <c r="V225" s="42" t="s">
        <v>166</v>
      </c>
      <c r="W225" s="42"/>
    </row>
    <row r="226" spans="1:23" ht="24" x14ac:dyDescent="0.25">
      <c r="A226" s="42" t="s">
        <v>803</v>
      </c>
      <c r="B226" s="42" t="s">
        <v>843</v>
      </c>
      <c r="C226" s="42" t="s">
        <v>847</v>
      </c>
      <c r="D226" s="49" t="s">
        <v>66</v>
      </c>
      <c r="E226" s="42" t="s">
        <v>848</v>
      </c>
      <c r="F226" s="42" t="s">
        <v>827</v>
      </c>
      <c r="G226" s="42" t="s">
        <v>846</v>
      </c>
      <c r="H226" s="42" t="s">
        <v>462</v>
      </c>
      <c r="I226" s="42" t="s">
        <v>808</v>
      </c>
      <c r="J226" s="42">
        <v>5</v>
      </c>
      <c r="K226" s="42">
        <v>1</v>
      </c>
      <c r="L226" s="44">
        <f t="shared" si="9"/>
        <v>1.6666666666666667</v>
      </c>
      <c r="M226" s="45">
        <v>0.1</v>
      </c>
      <c r="N226" s="45">
        <v>0.1</v>
      </c>
      <c r="O226" s="46">
        <f t="shared" si="10"/>
        <v>0.18999999999999995</v>
      </c>
      <c r="P226" s="47">
        <f t="shared" si="11"/>
        <v>0.3166666666666666</v>
      </c>
      <c r="Q226" s="42" t="s">
        <v>66</v>
      </c>
      <c r="R226" s="42" t="s">
        <v>66</v>
      </c>
      <c r="S226" s="42" t="s">
        <v>66</v>
      </c>
      <c r="T226" s="42" t="s">
        <v>828</v>
      </c>
      <c r="U226" s="42" t="s">
        <v>67</v>
      </c>
      <c r="V226" s="42" t="s">
        <v>166</v>
      </c>
      <c r="W226" s="42"/>
    </row>
    <row r="227" spans="1:23" ht="24" x14ac:dyDescent="0.25">
      <c r="A227" s="42" t="s">
        <v>803</v>
      </c>
      <c r="B227" s="42" t="s">
        <v>843</v>
      </c>
      <c r="C227" s="42" t="s">
        <v>849</v>
      </c>
      <c r="D227" s="49" t="s">
        <v>66</v>
      </c>
      <c r="E227" s="42" t="s">
        <v>850</v>
      </c>
      <c r="F227" s="42" t="s">
        <v>472</v>
      </c>
      <c r="G227" s="42" t="s">
        <v>846</v>
      </c>
      <c r="H227" s="42" t="s">
        <v>462</v>
      </c>
      <c r="I227" s="42" t="s">
        <v>808</v>
      </c>
      <c r="J227" s="42">
        <v>5</v>
      </c>
      <c r="K227" s="42">
        <v>1</v>
      </c>
      <c r="L227" s="44">
        <f t="shared" si="9"/>
        <v>1.6666666666666667</v>
      </c>
      <c r="M227" s="45">
        <v>0.1</v>
      </c>
      <c r="N227" s="45">
        <v>0.1</v>
      </c>
      <c r="O227" s="46">
        <f t="shared" si="10"/>
        <v>0.18999999999999995</v>
      </c>
      <c r="P227" s="47">
        <f t="shared" si="11"/>
        <v>0.3166666666666666</v>
      </c>
      <c r="Q227" s="42" t="s">
        <v>67</v>
      </c>
      <c r="R227" s="42" t="s">
        <v>66</v>
      </c>
      <c r="S227" s="42" t="s">
        <v>66</v>
      </c>
      <c r="T227" s="42" t="s">
        <v>473</v>
      </c>
      <c r="U227" s="42" t="s">
        <v>67</v>
      </c>
      <c r="V227" s="42" t="s">
        <v>166</v>
      </c>
      <c r="W227" s="42"/>
    </row>
    <row r="228" spans="1:23" ht="24" x14ac:dyDescent="0.25">
      <c r="A228" s="42" t="s">
        <v>851</v>
      </c>
      <c r="B228" s="42" t="s">
        <v>852</v>
      </c>
      <c r="C228" s="42" t="s">
        <v>853</v>
      </c>
      <c r="D228" s="48" t="s">
        <v>26</v>
      </c>
      <c r="E228" s="42" t="s">
        <v>854</v>
      </c>
      <c r="F228" s="42" t="s">
        <v>447</v>
      </c>
      <c r="G228" s="42" t="s">
        <v>855</v>
      </c>
      <c r="H228" s="42" t="s">
        <v>449</v>
      </c>
      <c r="I228" s="42" t="s">
        <v>182</v>
      </c>
      <c r="J228" s="42">
        <v>3</v>
      </c>
      <c r="K228" s="42">
        <v>1</v>
      </c>
      <c r="L228" s="44">
        <f t="shared" si="9"/>
        <v>1.5</v>
      </c>
      <c r="M228" s="45">
        <v>0.6</v>
      </c>
      <c r="N228" s="45">
        <v>0.1</v>
      </c>
      <c r="O228" s="46">
        <f t="shared" si="10"/>
        <v>0.6399999999999999</v>
      </c>
      <c r="P228" s="47">
        <f t="shared" si="11"/>
        <v>0.95999999999999985</v>
      </c>
      <c r="Q228" s="42" t="s">
        <v>55</v>
      </c>
      <c r="R228" s="42" t="s">
        <v>32</v>
      </c>
      <c r="S228" s="42" t="s">
        <v>32</v>
      </c>
      <c r="T228" s="42" t="s">
        <v>60</v>
      </c>
      <c r="U228" s="42" t="s">
        <v>67</v>
      </c>
      <c r="V228" s="42" t="s">
        <v>166</v>
      </c>
      <c r="W228" s="42"/>
    </row>
    <row r="229" spans="1:23" ht="36" x14ac:dyDescent="0.25">
      <c r="A229" s="42" t="s">
        <v>851</v>
      </c>
      <c r="B229" s="42" t="s">
        <v>852</v>
      </c>
      <c r="C229" s="42" t="s">
        <v>856</v>
      </c>
      <c r="D229" s="49" t="s">
        <v>55</v>
      </c>
      <c r="E229" s="42" t="s">
        <v>857</v>
      </c>
      <c r="F229" s="42" t="s">
        <v>461</v>
      </c>
      <c r="G229" s="42" t="s">
        <v>855</v>
      </c>
      <c r="H229" s="42" t="s">
        <v>462</v>
      </c>
      <c r="I229" s="42" t="s">
        <v>182</v>
      </c>
      <c r="J229" s="42">
        <v>3</v>
      </c>
      <c r="K229" s="42">
        <v>1</v>
      </c>
      <c r="L229" s="44">
        <f t="shared" si="9"/>
        <v>1.5</v>
      </c>
      <c r="M229" s="45">
        <v>0.4</v>
      </c>
      <c r="N229" s="45">
        <v>0.1</v>
      </c>
      <c r="O229" s="46">
        <f t="shared" si="10"/>
        <v>0.45999999999999996</v>
      </c>
      <c r="P229" s="47">
        <f t="shared" si="11"/>
        <v>0.69</v>
      </c>
      <c r="Q229" s="42" t="s">
        <v>66</v>
      </c>
      <c r="R229" s="42" t="s">
        <v>66</v>
      </c>
      <c r="S229" s="42" t="s">
        <v>66</v>
      </c>
      <c r="T229" s="42" t="s">
        <v>463</v>
      </c>
      <c r="U229" s="42" t="s">
        <v>67</v>
      </c>
      <c r="V229" s="42" t="s">
        <v>166</v>
      </c>
      <c r="W229" s="42" t="s">
        <v>1379</v>
      </c>
    </row>
    <row r="230" spans="1:23" ht="36" x14ac:dyDescent="0.25">
      <c r="A230" s="42" t="s">
        <v>851</v>
      </c>
      <c r="B230" s="42" t="s">
        <v>858</v>
      </c>
      <c r="C230" s="42" t="s">
        <v>859</v>
      </c>
      <c r="D230" s="43" t="s">
        <v>26</v>
      </c>
      <c r="E230" s="42" t="s">
        <v>860</v>
      </c>
      <c r="F230" s="42" t="s">
        <v>492</v>
      </c>
      <c r="G230" s="42" t="s">
        <v>861</v>
      </c>
      <c r="H230" s="42" t="s">
        <v>494</v>
      </c>
      <c r="I230" s="42" t="s">
        <v>182</v>
      </c>
      <c r="J230" s="42">
        <v>2</v>
      </c>
      <c r="K230" s="42">
        <v>1</v>
      </c>
      <c r="L230" s="44">
        <f t="shared" si="9"/>
        <v>2</v>
      </c>
      <c r="M230" s="45">
        <v>0.6</v>
      </c>
      <c r="N230" s="45">
        <v>0.1</v>
      </c>
      <c r="O230" s="46">
        <f t="shared" si="10"/>
        <v>0.6399999999999999</v>
      </c>
      <c r="P230" s="47">
        <f t="shared" si="11"/>
        <v>1.2799999999999998</v>
      </c>
      <c r="Q230" s="42" t="s">
        <v>55</v>
      </c>
      <c r="R230" s="42" t="s">
        <v>32</v>
      </c>
      <c r="S230" s="42" t="s">
        <v>33</v>
      </c>
      <c r="T230" s="42" t="s">
        <v>34</v>
      </c>
      <c r="U230" s="42" t="s">
        <v>67</v>
      </c>
      <c r="V230" s="42" t="s">
        <v>166</v>
      </c>
      <c r="W230" s="42"/>
    </row>
    <row r="231" spans="1:23" ht="36" x14ac:dyDescent="0.25">
      <c r="A231" s="42" t="s">
        <v>851</v>
      </c>
      <c r="B231" s="42" t="s">
        <v>862</v>
      </c>
      <c r="C231" s="42" t="s">
        <v>863</v>
      </c>
      <c r="D231" s="43" t="s">
        <v>26</v>
      </c>
      <c r="E231" s="42" t="s">
        <v>864</v>
      </c>
      <c r="F231" s="42" t="s">
        <v>492</v>
      </c>
      <c r="G231" s="42" t="s">
        <v>865</v>
      </c>
      <c r="H231" s="42" t="s">
        <v>494</v>
      </c>
      <c r="I231" s="42" t="s">
        <v>182</v>
      </c>
      <c r="J231" s="42">
        <v>1</v>
      </c>
      <c r="K231" s="42">
        <v>1</v>
      </c>
      <c r="L231" s="44">
        <f t="shared" si="9"/>
        <v>1</v>
      </c>
      <c r="M231" s="45">
        <v>0.6</v>
      </c>
      <c r="N231" s="45">
        <v>0.1</v>
      </c>
      <c r="O231" s="46">
        <f t="shared" si="10"/>
        <v>0.6399999999999999</v>
      </c>
      <c r="P231" s="47">
        <f t="shared" si="11"/>
        <v>0.6399999999999999</v>
      </c>
      <c r="Q231" s="42" t="s">
        <v>55</v>
      </c>
      <c r="R231" s="42" t="s">
        <v>32</v>
      </c>
      <c r="S231" s="42" t="s">
        <v>33</v>
      </c>
      <c r="T231" s="42" t="s">
        <v>34</v>
      </c>
      <c r="U231" s="42" t="s">
        <v>67</v>
      </c>
      <c r="V231" s="42" t="s">
        <v>166</v>
      </c>
      <c r="W231" s="42"/>
    </row>
    <row r="232" spans="1:23" ht="24" x14ac:dyDescent="0.25">
      <c r="A232" s="42" t="s">
        <v>851</v>
      </c>
      <c r="B232" s="42" t="s">
        <v>866</v>
      </c>
      <c r="C232" s="42" t="s">
        <v>867</v>
      </c>
      <c r="D232" s="48" t="s">
        <v>55</v>
      </c>
      <c r="E232" s="42" t="s">
        <v>868</v>
      </c>
      <c r="F232" s="42" t="s">
        <v>447</v>
      </c>
      <c r="G232" s="42" t="s">
        <v>869</v>
      </c>
      <c r="H232" s="42" t="s">
        <v>449</v>
      </c>
      <c r="I232" s="42" t="s">
        <v>182</v>
      </c>
      <c r="J232" s="42">
        <v>0</v>
      </c>
      <c r="K232" s="42">
        <v>1</v>
      </c>
      <c r="L232" s="44">
        <f t="shared" si="9"/>
        <v>0</v>
      </c>
      <c r="M232" s="45">
        <v>0.6</v>
      </c>
      <c r="N232" s="45">
        <v>0.1</v>
      </c>
      <c r="O232" s="46">
        <f t="shared" si="10"/>
        <v>0.6399999999999999</v>
      </c>
      <c r="P232" s="47">
        <f t="shared" si="11"/>
        <v>0</v>
      </c>
      <c r="Q232" s="42" t="s">
        <v>55</v>
      </c>
      <c r="R232" s="42" t="s">
        <v>32</v>
      </c>
      <c r="S232" s="42" t="s">
        <v>32</v>
      </c>
      <c r="T232" s="42" t="s">
        <v>60</v>
      </c>
      <c r="U232" s="42" t="s">
        <v>67</v>
      </c>
      <c r="V232" s="42" t="s">
        <v>166</v>
      </c>
      <c r="W232" s="42"/>
    </row>
    <row r="233" spans="1:23" ht="24" x14ac:dyDescent="0.25">
      <c r="A233" s="42" t="s">
        <v>851</v>
      </c>
      <c r="B233" s="42" t="s">
        <v>866</v>
      </c>
      <c r="C233" s="42" t="s">
        <v>870</v>
      </c>
      <c r="D233" s="49" t="s">
        <v>66</v>
      </c>
      <c r="E233" s="42" t="s">
        <v>871</v>
      </c>
      <c r="F233" s="42" t="s">
        <v>461</v>
      </c>
      <c r="G233" s="42" t="s">
        <v>869</v>
      </c>
      <c r="H233" s="42" t="s">
        <v>462</v>
      </c>
      <c r="I233" s="42" t="s">
        <v>182</v>
      </c>
      <c r="J233" s="42">
        <v>0</v>
      </c>
      <c r="K233" s="42">
        <v>1</v>
      </c>
      <c r="L233" s="44">
        <f t="shared" si="9"/>
        <v>0</v>
      </c>
      <c r="M233" s="45">
        <v>0.1</v>
      </c>
      <c r="N233" s="45">
        <v>0.1</v>
      </c>
      <c r="O233" s="46">
        <f t="shared" si="10"/>
        <v>0.18999999999999995</v>
      </c>
      <c r="P233" s="47">
        <f t="shared" si="11"/>
        <v>0</v>
      </c>
      <c r="Q233" s="42" t="s">
        <v>66</v>
      </c>
      <c r="R233" s="42" t="s">
        <v>66</v>
      </c>
      <c r="S233" s="42" t="s">
        <v>66</v>
      </c>
      <c r="T233" s="42" t="s">
        <v>463</v>
      </c>
      <c r="U233" s="42" t="s">
        <v>67</v>
      </c>
      <c r="V233" s="42" t="s">
        <v>166</v>
      </c>
      <c r="W233" s="42"/>
    </row>
    <row r="234" spans="1:23" ht="24" x14ac:dyDescent="0.25">
      <c r="A234" s="42" t="s">
        <v>851</v>
      </c>
      <c r="B234" s="42" t="s">
        <v>872</v>
      </c>
      <c r="C234" s="42" t="s">
        <v>873</v>
      </c>
      <c r="D234" s="43" t="s">
        <v>26</v>
      </c>
      <c r="E234" s="42" t="s">
        <v>874</v>
      </c>
      <c r="F234" s="42" t="s">
        <v>875</v>
      </c>
      <c r="G234" s="42" t="s">
        <v>876</v>
      </c>
      <c r="H234" s="42" t="s">
        <v>494</v>
      </c>
      <c r="I234" s="42" t="s">
        <v>182</v>
      </c>
      <c r="J234" s="42">
        <v>0</v>
      </c>
      <c r="K234" s="42">
        <v>1</v>
      </c>
      <c r="L234" s="44">
        <f t="shared" si="9"/>
        <v>0</v>
      </c>
      <c r="M234" s="45">
        <v>0.6</v>
      </c>
      <c r="N234" s="45">
        <v>0.1</v>
      </c>
      <c r="O234" s="46">
        <f t="shared" si="10"/>
        <v>0.6399999999999999</v>
      </c>
      <c r="P234" s="47">
        <f t="shared" si="11"/>
        <v>0</v>
      </c>
      <c r="Q234" s="42" t="s">
        <v>55</v>
      </c>
      <c r="R234" s="42" t="s">
        <v>32</v>
      </c>
      <c r="S234" s="42" t="s">
        <v>33</v>
      </c>
      <c r="T234" s="42" t="s">
        <v>34</v>
      </c>
      <c r="U234" s="42" t="s">
        <v>67</v>
      </c>
      <c r="V234" s="42" t="s">
        <v>166</v>
      </c>
      <c r="W234" s="42"/>
    </row>
    <row r="235" spans="1:23" ht="24" x14ac:dyDescent="0.25">
      <c r="A235" s="42" t="s">
        <v>851</v>
      </c>
      <c r="B235" s="42" t="s">
        <v>877</v>
      </c>
      <c r="C235" s="42" t="s">
        <v>878</v>
      </c>
      <c r="D235" s="43" t="s">
        <v>26</v>
      </c>
      <c r="E235" s="42" t="s">
        <v>879</v>
      </c>
      <c r="F235" s="42" t="s">
        <v>492</v>
      </c>
      <c r="G235" s="42" t="s">
        <v>880</v>
      </c>
      <c r="H235" s="42" t="s">
        <v>494</v>
      </c>
      <c r="I235" s="42" t="s">
        <v>182</v>
      </c>
      <c r="J235" s="42">
        <v>0</v>
      </c>
      <c r="K235" s="42">
        <v>1</v>
      </c>
      <c r="L235" s="44">
        <f t="shared" si="9"/>
        <v>0</v>
      </c>
      <c r="M235" s="45">
        <v>0.6</v>
      </c>
      <c r="N235" s="45">
        <v>0.1</v>
      </c>
      <c r="O235" s="46">
        <f t="shared" si="10"/>
        <v>0.6399999999999999</v>
      </c>
      <c r="P235" s="47">
        <f t="shared" si="11"/>
        <v>0</v>
      </c>
      <c r="Q235" s="42" t="s">
        <v>55</v>
      </c>
      <c r="R235" s="42" t="s">
        <v>32</v>
      </c>
      <c r="S235" s="42" t="s">
        <v>33</v>
      </c>
      <c r="T235" s="42" t="s">
        <v>34</v>
      </c>
      <c r="U235" s="42" t="s">
        <v>67</v>
      </c>
      <c r="V235" s="42" t="s">
        <v>195</v>
      </c>
      <c r="W235" s="42"/>
    </row>
    <row r="236" spans="1:23" ht="24" x14ac:dyDescent="0.25">
      <c r="A236" s="42" t="s">
        <v>851</v>
      </c>
      <c r="B236" s="42" t="s">
        <v>877</v>
      </c>
      <c r="C236" s="42" t="s">
        <v>881</v>
      </c>
      <c r="D236" s="48" t="s">
        <v>55</v>
      </c>
      <c r="E236" s="42" t="s">
        <v>882</v>
      </c>
      <c r="F236" s="42" t="s">
        <v>497</v>
      </c>
      <c r="G236" s="42" t="s">
        <v>880</v>
      </c>
      <c r="H236" s="42" t="s">
        <v>449</v>
      </c>
      <c r="I236" s="42" t="s">
        <v>182</v>
      </c>
      <c r="J236" s="42">
        <v>0</v>
      </c>
      <c r="K236" s="42">
        <v>1</v>
      </c>
      <c r="L236" s="44">
        <f t="shared" si="9"/>
        <v>0</v>
      </c>
      <c r="M236" s="45">
        <v>0.6</v>
      </c>
      <c r="N236" s="45">
        <v>0.1</v>
      </c>
      <c r="O236" s="46">
        <f t="shared" si="10"/>
        <v>0.6399999999999999</v>
      </c>
      <c r="P236" s="47">
        <f t="shared" si="11"/>
        <v>0</v>
      </c>
      <c r="Q236" s="42" t="s">
        <v>55</v>
      </c>
      <c r="R236" s="42" t="s">
        <v>32</v>
      </c>
      <c r="S236" s="42" t="s">
        <v>32</v>
      </c>
      <c r="T236" s="42" t="s">
        <v>60</v>
      </c>
      <c r="U236" s="42" t="s">
        <v>67</v>
      </c>
      <c r="V236" s="42" t="s">
        <v>195</v>
      </c>
      <c r="W236" s="42"/>
    </row>
    <row r="237" spans="1:23" ht="36" x14ac:dyDescent="0.25">
      <c r="A237" s="42" t="s">
        <v>851</v>
      </c>
      <c r="B237" s="42" t="s">
        <v>883</v>
      </c>
      <c r="C237" s="42" t="s">
        <v>884</v>
      </c>
      <c r="D237" s="43" t="s">
        <v>26</v>
      </c>
      <c r="E237" s="42" t="s">
        <v>885</v>
      </c>
      <c r="F237" s="42" t="s">
        <v>492</v>
      </c>
      <c r="G237" s="42" t="s">
        <v>886</v>
      </c>
      <c r="H237" s="42" t="s">
        <v>494</v>
      </c>
      <c r="I237" s="42" t="s">
        <v>182</v>
      </c>
      <c r="J237" s="42">
        <v>3</v>
      </c>
      <c r="K237" s="42">
        <v>1</v>
      </c>
      <c r="L237" s="44">
        <f t="shared" si="9"/>
        <v>1.5</v>
      </c>
      <c r="M237" s="45">
        <v>0.6</v>
      </c>
      <c r="N237" s="45">
        <v>0.1</v>
      </c>
      <c r="O237" s="46">
        <f t="shared" si="10"/>
        <v>0.6399999999999999</v>
      </c>
      <c r="P237" s="47">
        <f t="shared" si="11"/>
        <v>0.95999999999999985</v>
      </c>
      <c r="Q237" s="42" t="s">
        <v>55</v>
      </c>
      <c r="R237" s="42" t="s">
        <v>32</v>
      </c>
      <c r="S237" s="42" t="s">
        <v>33</v>
      </c>
      <c r="T237" s="42" t="s">
        <v>34</v>
      </c>
      <c r="U237" s="42" t="s">
        <v>67</v>
      </c>
      <c r="V237" s="42" t="s">
        <v>166</v>
      </c>
      <c r="W237" s="42"/>
    </row>
    <row r="238" spans="1:23" ht="24" x14ac:dyDescent="0.25">
      <c r="A238" s="42" t="s">
        <v>851</v>
      </c>
      <c r="B238" s="42" t="s">
        <v>883</v>
      </c>
      <c r="C238" s="42" t="s">
        <v>887</v>
      </c>
      <c r="D238" s="48" t="s">
        <v>55</v>
      </c>
      <c r="E238" s="42" t="s">
        <v>888</v>
      </c>
      <c r="F238" s="42" t="s">
        <v>452</v>
      </c>
      <c r="G238" s="42" t="s">
        <v>886</v>
      </c>
      <c r="H238" s="42" t="s">
        <v>449</v>
      </c>
      <c r="I238" s="42" t="s">
        <v>182</v>
      </c>
      <c r="J238" s="42">
        <v>3</v>
      </c>
      <c r="K238" s="42">
        <v>1</v>
      </c>
      <c r="L238" s="44">
        <f t="shared" si="9"/>
        <v>1.5</v>
      </c>
      <c r="M238" s="45">
        <v>0.35</v>
      </c>
      <c r="N238" s="45">
        <v>0.1</v>
      </c>
      <c r="O238" s="46">
        <f t="shared" si="10"/>
        <v>0.41499999999999992</v>
      </c>
      <c r="P238" s="47">
        <f t="shared" si="11"/>
        <v>0.62249999999999983</v>
      </c>
      <c r="Q238" s="42" t="s">
        <v>55</v>
      </c>
      <c r="R238" s="42" t="s">
        <v>32</v>
      </c>
      <c r="S238" s="42" t="s">
        <v>32</v>
      </c>
      <c r="T238" s="42" t="s">
        <v>60</v>
      </c>
      <c r="U238" s="42" t="s">
        <v>67</v>
      </c>
      <c r="V238" s="42" t="s">
        <v>166</v>
      </c>
      <c r="W238" s="42"/>
    </row>
    <row r="239" spans="1:23" ht="36" x14ac:dyDescent="0.25">
      <c r="A239" s="42" t="s">
        <v>851</v>
      </c>
      <c r="B239" s="42" t="s">
        <v>889</v>
      </c>
      <c r="C239" s="42" t="s">
        <v>890</v>
      </c>
      <c r="D239" s="48" t="s">
        <v>55</v>
      </c>
      <c r="E239" s="42" t="s">
        <v>891</v>
      </c>
      <c r="F239" s="42" t="s">
        <v>527</v>
      </c>
      <c r="G239" s="42" t="s">
        <v>892</v>
      </c>
      <c r="H239" s="42" t="s">
        <v>449</v>
      </c>
      <c r="I239" s="42" t="s">
        <v>182</v>
      </c>
      <c r="J239" s="42">
        <v>2</v>
      </c>
      <c r="K239" s="42">
        <v>1</v>
      </c>
      <c r="L239" s="44">
        <f t="shared" si="9"/>
        <v>2</v>
      </c>
      <c r="M239" s="45">
        <v>0.35</v>
      </c>
      <c r="N239" s="45">
        <v>0.1</v>
      </c>
      <c r="O239" s="46">
        <f t="shared" si="10"/>
        <v>0.41499999999999992</v>
      </c>
      <c r="P239" s="47">
        <f t="shared" si="11"/>
        <v>0.82999999999999985</v>
      </c>
      <c r="Q239" s="42" t="s">
        <v>55</v>
      </c>
      <c r="R239" s="42" t="s">
        <v>32</v>
      </c>
      <c r="S239" s="42" t="s">
        <v>32</v>
      </c>
      <c r="T239" s="42" t="s">
        <v>60</v>
      </c>
      <c r="U239" s="42" t="s">
        <v>67</v>
      </c>
      <c r="V239" s="42" t="s">
        <v>166</v>
      </c>
      <c r="W239" s="42"/>
    </row>
    <row r="240" spans="1:23" ht="36" x14ac:dyDescent="0.25">
      <c r="A240" s="42" t="s">
        <v>851</v>
      </c>
      <c r="B240" s="42" t="s">
        <v>893</v>
      </c>
      <c r="C240" s="42" t="s">
        <v>894</v>
      </c>
      <c r="D240" s="48" t="s">
        <v>55</v>
      </c>
      <c r="E240" s="42" t="s">
        <v>895</v>
      </c>
      <c r="F240" s="42" t="s">
        <v>447</v>
      </c>
      <c r="G240" s="42" t="s">
        <v>896</v>
      </c>
      <c r="H240" s="42" t="s">
        <v>449</v>
      </c>
      <c r="I240" s="42" t="s">
        <v>182</v>
      </c>
      <c r="J240" s="42">
        <v>0</v>
      </c>
      <c r="K240" s="42">
        <v>2</v>
      </c>
      <c r="L240" s="44">
        <f t="shared" si="9"/>
        <v>0</v>
      </c>
      <c r="M240" s="45">
        <v>0.5</v>
      </c>
      <c r="N240" s="45">
        <v>0.1</v>
      </c>
      <c r="O240" s="46">
        <f t="shared" si="10"/>
        <v>0.55000000000000004</v>
      </c>
      <c r="P240" s="47">
        <f t="shared" si="11"/>
        <v>0</v>
      </c>
      <c r="Q240" s="42" t="s">
        <v>55</v>
      </c>
      <c r="R240" s="42" t="s">
        <v>32</v>
      </c>
      <c r="S240" s="42" t="s">
        <v>32</v>
      </c>
      <c r="T240" s="42" t="s">
        <v>60</v>
      </c>
      <c r="U240" s="42" t="s">
        <v>67</v>
      </c>
      <c r="V240" s="42" t="s">
        <v>166</v>
      </c>
      <c r="W240" s="42"/>
    </row>
    <row r="241" spans="1:23" ht="24" x14ac:dyDescent="0.25">
      <c r="A241" s="42" t="s">
        <v>851</v>
      </c>
      <c r="B241" s="42" t="s">
        <v>893</v>
      </c>
      <c r="C241" s="42" t="s">
        <v>897</v>
      </c>
      <c r="D241" s="49" t="s">
        <v>55</v>
      </c>
      <c r="E241" s="42" t="s">
        <v>898</v>
      </c>
      <c r="F241" s="42" t="s">
        <v>461</v>
      </c>
      <c r="G241" s="42" t="s">
        <v>896</v>
      </c>
      <c r="H241" s="42" t="s">
        <v>462</v>
      </c>
      <c r="I241" s="42" t="s">
        <v>182</v>
      </c>
      <c r="J241" s="42">
        <v>0</v>
      </c>
      <c r="K241" s="42">
        <v>2</v>
      </c>
      <c r="L241" s="44">
        <f t="shared" si="9"/>
        <v>0</v>
      </c>
      <c r="M241" s="45">
        <v>0.35</v>
      </c>
      <c r="N241" s="45">
        <v>0.1</v>
      </c>
      <c r="O241" s="46">
        <f t="shared" si="10"/>
        <v>0.41499999999999992</v>
      </c>
      <c r="P241" s="47">
        <f t="shared" si="11"/>
        <v>0</v>
      </c>
      <c r="Q241" s="42" t="s">
        <v>66</v>
      </c>
      <c r="R241" s="42" t="s">
        <v>66</v>
      </c>
      <c r="S241" s="42" t="s">
        <v>66</v>
      </c>
      <c r="T241" s="42" t="s">
        <v>463</v>
      </c>
      <c r="U241" s="42" t="s">
        <v>67</v>
      </c>
      <c r="V241" s="42" t="s">
        <v>166</v>
      </c>
      <c r="W241" s="42" t="s">
        <v>1380</v>
      </c>
    </row>
    <row r="242" spans="1:23" ht="36" x14ac:dyDescent="0.25">
      <c r="A242" s="42" t="s">
        <v>851</v>
      </c>
      <c r="B242" s="42" t="s">
        <v>899</v>
      </c>
      <c r="C242" s="42" t="s">
        <v>900</v>
      </c>
      <c r="D242" s="43" t="s">
        <v>26</v>
      </c>
      <c r="E242" s="42" t="s">
        <v>901</v>
      </c>
      <c r="F242" s="42" t="s">
        <v>492</v>
      </c>
      <c r="G242" s="42" t="s">
        <v>902</v>
      </c>
      <c r="H242" s="42" t="s">
        <v>494</v>
      </c>
      <c r="I242" s="42" t="s">
        <v>182</v>
      </c>
      <c r="J242" s="42">
        <v>5</v>
      </c>
      <c r="K242" s="42">
        <v>2</v>
      </c>
      <c r="L242" s="44">
        <f t="shared" si="9"/>
        <v>1.6666666666666667</v>
      </c>
      <c r="M242" s="45">
        <v>0.6</v>
      </c>
      <c r="N242" s="50">
        <v>0.3</v>
      </c>
      <c r="O242" s="46">
        <f t="shared" si="10"/>
        <v>0.72</v>
      </c>
      <c r="P242" s="47">
        <f t="shared" si="11"/>
        <v>1.2</v>
      </c>
      <c r="Q242" s="42" t="s">
        <v>55</v>
      </c>
      <c r="R242" s="42" t="s">
        <v>32</v>
      </c>
      <c r="S242" s="42" t="s">
        <v>33</v>
      </c>
      <c r="T242" s="42" t="s">
        <v>34</v>
      </c>
      <c r="U242" s="42" t="s">
        <v>183</v>
      </c>
      <c r="V242" s="42" t="s">
        <v>195</v>
      </c>
      <c r="W242" s="42"/>
    </row>
    <row r="243" spans="1:23" ht="36" x14ac:dyDescent="0.25">
      <c r="A243" s="42" t="s">
        <v>851</v>
      </c>
      <c r="B243" s="42" t="s">
        <v>899</v>
      </c>
      <c r="C243" s="42" t="s">
        <v>903</v>
      </c>
      <c r="D243" s="48" t="s">
        <v>55</v>
      </c>
      <c r="E243" s="42" t="s">
        <v>904</v>
      </c>
      <c r="F243" s="42" t="s">
        <v>447</v>
      </c>
      <c r="G243" s="42" t="s">
        <v>902</v>
      </c>
      <c r="H243" s="42" t="s">
        <v>449</v>
      </c>
      <c r="I243" s="42" t="s">
        <v>182</v>
      </c>
      <c r="J243" s="42">
        <v>5</v>
      </c>
      <c r="K243" s="42">
        <v>2</v>
      </c>
      <c r="L243" s="44">
        <f t="shared" si="9"/>
        <v>1.6666666666666667</v>
      </c>
      <c r="M243" s="45">
        <v>0.35</v>
      </c>
      <c r="N243" s="50">
        <v>0.3</v>
      </c>
      <c r="O243" s="46">
        <f t="shared" si="10"/>
        <v>0.54500000000000004</v>
      </c>
      <c r="P243" s="47">
        <f t="shared" si="11"/>
        <v>0.90833333333333344</v>
      </c>
      <c r="Q243" s="42" t="s">
        <v>55</v>
      </c>
      <c r="R243" s="42" t="s">
        <v>32</v>
      </c>
      <c r="S243" s="42" t="s">
        <v>32</v>
      </c>
      <c r="T243" s="42" t="s">
        <v>60</v>
      </c>
      <c r="U243" s="42" t="s">
        <v>183</v>
      </c>
      <c r="V243" s="42" t="s">
        <v>195</v>
      </c>
      <c r="W243" s="42"/>
    </row>
    <row r="244" spans="1:23" ht="24" x14ac:dyDescent="0.25">
      <c r="A244" s="42" t="s">
        <v>851</v>
      </c>
      <c r="B244" s="42" t="s">
        <v>899</v>
      </c>
      <c r="C244" s="42" t="s">
        <v>905</v>
      </c>
      <c r="D244" s="49" t="s">
        <v>66</v>
      </c>
      <c r="E244" s="42" t="s">
        <v>906</v>
      </c>
      <c r="F244" s="42" t="s">
        <v>472</v>
      </c>
      <c r="G244" s="42" t="s">
        <v>902</v>
      </c>
      <c r="H244" s="42" t="s">
        <v>462</v>
      </c>
      <c r="I244" s="42" t="s">
        <v>182</v>
      </c>
      <c r="J244" s="42">
        <v>5</v>
      </c>
      <c r="K244" s="42">
        <v>2</v>
      </c>
      <c r="L244" s="44">
        <f t="shared" si="9"/>
        <v>1.6666666666666667</v>
      </c>
      <c r="M244" s="45">
        <v>0.1</v>
      </c>
      <c r="N244" s="50">
        <v>0.3</v>
      </c>
      <c r="O244" s="46">
        <f t="shared" si="10"/>
        <v>0.37</v>
      </c>
      <c r="P244" s="47">
        <f t="shared" si="11"/>
        <v>0.6166666666666667</v>
      </c>
      <c r="Q244" s="42" t="s">
        <v>67</v>
      </c>
      <c r="R244" s="42" t="s">
        <v>66</v>
      </c>
      <c r="S244" s="42" t="s">
        <v>66</v>
      </c>
      <c r="T244" s="42" t="s">
        <v>473</v>
      </c>
      <c r="U244" s="42" t="s">
        <v>67</v>
      </c>
      <c r="V244" s="42" t="s">
        <v>195</v>
      </c>
      <c r="W244" s="42"/>
    </row>
    <row r="245" spans="1:23" ht="36" x14ac:dyDescent="0.25">
      <c r="A245" s="42" t="s">
        <v>851</v>
      </c>
      <c r="B245" s="42" t="s">
        <v>907</v>
      </c>
      <c r="C245" s="42" t="s">
        <v>908</v>
      </c>
      <c r="D245" s="49" t="s">
        <v>66</v>
      </c>
      <c r="E245" s="42" t="s">
        <v>909</v>
      </c>
      <c r="F245" s="42" t="s">
        <v>461</v>
      </c>
      <c r="G245" s="42" t="s">
        <v>910</v>
      </c>
      <c r="H245" s="42" t="s">
        <v>462</v>
      </c>
      <c r="I245" s="42" t="s">
        <v>182</v>
      </c>
      <c r="J245" s="42">
        <v>1</v>
      </c>
      <c r="K245" s="42">
        <v>1</v>
      </c>
      <c r="L245" s="44">
        <f t="shared" si="9"/>
        <v>1</v>
      </c>
      <c r="M245" s="45">
        <v>0.1</v>
      </c>
      <c r="N245" s="45">
        <v>0.1</v>
      </c>
      <c r="O245" s="46">
        <f t="shared" si="10"/>
        <v>0.18999999999999995</v>
      </c>
      <c r="P245" s="47">
        <f t="shared" si="11"/>
        <v>0.18999999999999995</v>
      </c>
      <c r="Q245" s="42" t="s">
        <v>66</v>
      </c>
      <c r="R245" s="42" t="s">
        <v>66</v>
      </c>
      <c r="S245" s="42" t="s">
        <v>66</v>
      </c>
      <c r="T245" s="42" t="s">
        <v>463</v>
      </c>
      <c r="U245" s="42" t="s">
        <v>67</v>
      </c>
      <c r="V245" s="42" t="s">
        <v>166</v>
      </c>
      <c r="W245" s="42"/>
    </row>
    <row r="246" spans="1:23" ht="24" x14ac:dyDescent="0.25">
      <c r="A246" s="42" t="s">
        <v>851</v>
      </c>
      <c r="B246" s="42" t="s">
        <v>911</v>
      </c>
      <c r="C246" s="42" t="s">
        <v>912</v>
      </c>
      <c r="D246" s="43" t="s">
        <v>26</v>
      </c>
      <c r="E246" s="42" t="s">
        <v>913</v>
      </c>
      <c r="F246" s="42" t="s">
        <v>492</v>
      </c>
      <c r="G246" s="42" t="s">
        <v>914</v>
      </c>
      <c r="H246" s="42" t="s">
        <v>494</v>
      </c>
      <c r="I246" s="42" t="s">
        <v>182</v>
      </c>
      <c r="J246" s="42">
        <v>3</v>
      </c>
      <c r="K246" s="42">
        <v>1</v>
      </c>
      <c r="L246" s="44">
        <f t="shared" si="9"/>
        <v>1</v>
      </c>
      <c r="M246" s="45">
        <v>0.6</v>
      </c>
      <c r="N246" s="45">
        <v>0.1</v>
      </c>
      <c r="O246" s="46">
        <f t="shared" si="10"/>
        <v>0.6399999999999999</v>
      </c>
      <c r="P246" s="47">
        <f t="shared" si="11"/>
        <v>0.6399999999999999</v>
      </c>
      <c r="Q246" s="42" t="s">
        <v>55</v>
      </c>
      <c r="R246" s="42" t="s">
        <v>32</v>
      </c>
      <c r="S246" s="42" t="s">
        <v>33</v>
      </c>
      <c r="T246" s="42" t="s">
        <v>34</v>
      </c>
      <c r="U246" s="42" t="s">
        <v>67</v>
      </c>
      <c r="V246" s="42" t="s">
        <v>166</v>
      </c>
      <c r="W246" s="42"/>
    </row>
    <row r="247" spans="1:23" ht="36" x14ac:dyDescent="0.25">
      <c r="A247" s="42" t="s">
        <v>851</v>
      </c>
      <c r="B247" s="42" t="s">
        <v>911</v>
      </c>
      <c r="C247" s="42" t="s">
        <v>915</v>
      </c>
      <c r="D247" s="48" t="s">
        <v>55</v>
      </c>
      <c r="E247" s="42" t="s">
        <v>916</v>
      </c>
      <c r="F247" s="42" t="s">
        <v>515</v>
      </c>
      <c r="G247" s="42" t="s">
        <v>914</v>
      </c>
      <c r="H247" s="42" t="s">
        <v>449</v>
      </c>
      <c r="I247" s="42" t="s">
        <v>182</v>
      </c>
      <c r="J247" s="42">
        <v>3</v>
      </c>
      <c r="K247" s="42">
        <v>1</v>
      </c>
      <c r="L247" s="44">
        <f t="shared" si="9"/>
        <v>1</v>
      </c>
      <c r="M247" s="45">
        <v>0.35</v>
      </c>
      <c r="N247" s="45">
        <v>0.1</v>
      </c>
      <c r="O247" s="46">
        <f t="shared" si="10"/>
        <v>0.41499999999999992</v>
      </c>
      <c r="P247" s="47">
        <f t="shared" si="11"/>
        <v>0.41499999999999992</v>
      </c>
      <c r="Q247" s="42" t="s">
        <v>55</v>
      </c>
      <c r="R247" s="42" t="s">
        <v>32</v>
      </c>
      <c r="S247" s="42" t="s">
        <v>32</v>
      </c>
      <c r="T247" s="42" t="s">
        <v>60</v>
      </c>
      <c r="U247" s="42" t="s">
        <v>67</v>
      </c>
      <c r="V247" s="42" t="s">
        <v>166</v>
      </c>
      <c r="W247" s="42"/>
    </row>
    <row r="248" spans="1:23" ht="24" x14ac:dyDescent="0.25">
      <c r="A248" s="42" t="s">
        <v>851</v>
      </c>
      <c r="B248" s="42" t="s">
        <v>911</v>
      </c>
      <c r="C248" s="42" t="s">
        <v>917</v>
      </c>
      <c r="D248" s="49" t="s">
        <v>66</v>
      </c>
      <c r="E248" s="42" t="s">
        <v>918</v>
      </c>
      <c r="F248" s="42" t="s">
        <v>461</v>
      </c>
      <c r="G248" s="42" t="s">
        <v>914</v>
      </c>
      <c r="H248" s="42" t="s">
        <v>462</v>
      </c>
      <c r="I248" s="42" t="s">
        <v>182</v>
      </c>
      <c r="J248" s="42">
        <v>3</v>
      </c>
      <c r="K248" s="42">
        <v>1</v>
      </c>
      <c r="L248" s="44">
        <f t="shared" si="9"/>
        <v>1</v>
      </c>
      <c r="M248" s="45">
        <v>0.1</v>
      </c>
      <c r="N248" s="45">
        <v>0.1</v>
      </c>
      <c r="O248" s="46">
        <f t="shared" si="10"/>
        <v>0.18999999999999995</v>
      </c>
      <c r="P248" s="47">
        <f t="shared" si="11"/>
        <v>0.18999999999999995</v>
      </c>
      <c r="Q248" s="42" t="s">
        <v>66</v>
      </c>
      <c r="R248" s="42" t="s">
        <v>66</v>
      </c>
      <c r="S248" s="42" t="s">
        <v>66</v>
      </c>
      <c r="T248" s="42" t="s">
        <v>463</v>
      </c>
      <c r="U248" s="42" t="s">
        <v>183</v>
      </c>
      <c r="V248" s="42" t="s">
        <v>166</v>
      </c>
      <c r="W248" s="42"/>
    </row>
    <row r="249" spans="1:23" ht="36" x14ac:dyDescent="0.25">
      <c r="A249" s="42" t="s">
        <v>851</v>
      </c>
      <c r="B249" s="42" t="s">
        <v>919</v>
      </c>
      <c r="C249" s="42" t="s">
        <v>920</v>
      </c>
      <c r="D249" s="43" t="s">
        <v>26</v>
      </c>
      <c r="E249" s="42" t="s">
        <v>921</v>
      </c>
      <c r="F249" s="42" t="s">
        <v>584</v>
      </c>
      <c r="G249" s="42" t="s">
        <v>922</v>
      </c>
      <c r="H249" s="42" t="s">
        <v>494</v>
      </c>
      <c r="I249" s="42" t="s">
        <v>182</v>
      </c>
      <c r="J249" s="42">
        <v>0</v>
      </c>
      <c r="K249" s="42">
        <v>1</v>
      </c>
      <c r="L249" s="44">
        <f t="shared" si="9"/>
        <v>0</v>
      </c>
      <c r="M249" s="45">
        <v>0.6</v>
      </c>
      <c r="N249" s="45">
        <v>0.1</v>
      </c>
      <c r="O249" s="46">
        <f t="shared" si="10"/>
        <v>0.6399999999999999</v>
      </c>
      <c r="P249" s="47">
        <f t="shared" si="11"/>
        <v>0</v>
      </c>
      <c r="Q249" s="42" t="s">
        <v>55</v>
      </c>
      <c r="R249" s="42" t="s">
        <v>32</v>
      </c>
      <c r="S249" s="42" t="s">
        <v>33</v>
      </c>
      <c r="T249" s="42" t="s">
        <v>34</v>
      </c>
      <c r="U249" s="42" t="s">
        <v>67</v>
      </c>
      <c r="V249" s="42" t="s">
        <v>596</v>
      </c>
      <c r="W249" s="42"/>
    </row>
    <row r="250" spans="1:23" ht="24" x14ac:dyDescent="0.25">
      <c r="A250" s="42" t="s">
        <v>851</v>
      </c>
      <c r="B250" s="42" t="s">
        <v>919</v>
      </c>
      <c r="C250" s="42" t="s">
        <v>923</v>
      </c>
      <c r="D250" s="48" t="s">
        <v>55</v>
      </c>
      <c r="E250" s="42" t="s">
        <v>924</v>
      </c>
      <c r="F250" s="42" t="s">
        <v>447</v>
      </c>
      <c r="G250" s="42" t="s">
        <v>922</v>
      </c>
      <c r="H250" s="42" t="s">
        <v>449</v>
      </c>
      <c r="I250" s="42" t="s">
        <v>182</v>
      </c>
      <c r="J250" s="42">
        <v>0</v>
      </c>
      <c r="K250" s="42">
        <v>1</v>
      </c>
      <c r="L250" s="44">
        <f t="shared" si="9"/>
        <v>0</v>
      </c>
      <c r="M250" s="45">
        <v>0.35</v>
      </c>
      <c r="N250" s="45">
        <v>0.1</v>
      </c>
      <c r="O250" s="46">
        <f t="shared" si="10"/>
        <v>0.41499999999999992</v>
      </c>
      <c r="P250" s="47">
        <f t="shared" si="11"/>
        <v>0</v>
      </c>
      <c r="Q250" s="42" t="s">
        <v>55</v>
      </c>
      <c r="R250" s="42" t="s">
        <v>32</v>
      </c>
      <c r="S250" s="42" t="s">
        <v>32</v>
      </c>
      <c r="T250" s="42" t="s">
        <v>60</v>
      </c>
      <c r="U250" s="42" t="s">
        <v>67</v>
      </c>
      <c r="V250" s="42" t="s">
        <v>596</v>
      </c>
      <c r="W250" s="42"/>
    </row>
    <row r="251" spans="1:23" ht="24" x14ac:dyDescent="0.25">
      <c r="A251" s="42" t="s">
        <v>851</v>
      </c>
      <c r="B251" s="42" t="s">
        <v>925</v>
      </c>
      <c r="C251" s="42" t="s">
        <v>926</v>
      </c>
      <c r="D251" s="43" t="s">
        <v>26</v>
      </c>
      <c r="E251" s="42" t="s">
        <v>927</v>
      </c>
      <c r="F251" s="42" t="s">
        <v>875</v>
      </c>
      <c r="G251" s="42" t="s">
        <v>928</v>
      </c>
      <c r="H251" s="42" t="s">
        <v>494</v>
      </c>
      <c r="I251" s="42" t="s">
        <v>182</v>
      </c>
      <c r="J251" s="42">
        <v>5</v>
      </c>
      <c r="K251" s="42">
        <v>1</v>
      </c>
      <c r="L251" s="44">
        <f t="shared" si="9"/>
        <v>2.5</v>
      </c>
      <c r="M251" s="45">
        <v>0.6</v>
      </c>
      <c r="N251" s="45">
        <v>0.15</v>
      </c>
      <c r="O251" s="46">
        <f t="shared" si="10"/>
        <v>0.65999999999999992</v>
      </c>
      <c r="P251" s="47">
        <f t="shared" si="11"/>
        <v>1.65</v>
      </c>
      <c r="Q251" s="42" t="s">
        <v>55</v>
      </c>
      <c r="R251" s="42" t="s">
        <v>32</v>
      </c>
      <c r="S251" s="42" t="s">
        <v>33</v>
      </c>
      <c r="T251" s="42" t="s">
        <v>34</v>
      </c>
      <c r="U251" s="42" t="s">
        <v>67</v>
      </c>
      <c r="V251" s="42" t="s">
        <v>166</v>
      </c>
      <c r="W251" s="42"/>
    </row>
    <row r="252" spans="1:23" ht="36" x14ac:dyDescent="0.25">
      <c r="A252" s="42" t="s">
        <v>851</v>
      </c>
      <c r="B252" s="42" t="s">
        <v>925</v>
      </c>
      <c r="C252" s="42" t="s">
        <v>929</v>
      </c>
      <c r="D252" s="48" t="s">
        <v>55</v>
      </c>
      <c r="E252" s="42" t="s">
        <v>930</v>
      </c>
      <c r="F252" s="42" t="s">
        <v>447</v>
      </c>
      <c r="G252" s="42" t="s">
        <v>928</v>
      </c>
      <c r="H252" s="42" t="s">
        <v>449</v>
      </c>
      <c r="I252" s="42" t="s">
        <v>182</v>
      </c>
      <c r="J252" s="42">
        <v>5</v>
      </c>
      <c r="K252" s="42">
        <v>1</v>
      </c>
      <c r="L252" s="44">
        <f t="shared" si="9"/>
        <v>2.5</v>
      </c>
      <c r="M252" s="45">
        <v>0.35</v>
      </c>
      <c r="N252" s="45">
        <v>0.15</v>
      </c>
      <c r="O252" s="46">
        <f t="shared" si="10"/>
        <v>0.44750000000000001</v>
      </c>
      <c r="P252" s="47">
        <f t="shared" si="11"/>
        <v>1.1187499999999999</v>
      </c>
      <c r="Q252" s="42" t="s">
        <v>55</v>
      </c>
      <c r="R252" s="42" t="s">
        <v>32</v>
      </c>
      <c r="S252" s="42" t="s">
        <v>32</v>
      </c>
      <c r="T252" s="42" t="s">
        <v>60</v>
      </c>
      <c r="U252" s="42" t="s">
        <v>67</v>
      </c>
      <c r="V252" s="42" t="s">
        <v>166</v>
      </c>
      <c r="W252" s="42"/>
    </row>
    <row r="253" spans="1:23" ht="36" x14ac:dyDescent="0.25">
      <c r="A253" s="42" t="s">
        <v>851</v>
      </c>
      <c r="B253" s="42" t="s">
        <v>931</v>
      </c>
      <c r="C253" s="42" t="s">
        <v>932</v>
      </c>
      <c r="D253" s="43" t="s">
        <v>26</v>
      </c>
      <c r="E253" s="42" t="s">
        <v>933</v>
      </c>
      <c r="F253" s="42" t="s">
        <v>492</v>
      </c>
      <c r="G253" s="42" t="s">
        <v>934</v>
      </c>
      <c r="H253" s="42" t="s">
        <v>494</v>
      </c>
      <c r="I253" s="42" t="s">
        <v>182</v>
      </c>
      <c r="J253" s="42">
        <v>3</v>
      </c>
      <c r="K253" s="42">
        <v>2</v>
      </c>
      <c r="L253" s="44">
        <f t="shared" si="9"/>
        <v>1.5</v>
      </c>
      <c r="M253" s="45">
        <v>0.6</v>
      </c>
      <c r="N253" s="45">
        <v>0.15</v>
      </c>
      <c r="O253" s="46">
        <f t="shared" si="10"/>
        <v>0.65999999999999992</v>
      </c>
      <c r="P253" s="47">
        <f t="shared" si="11"/>
        <v>0.98999999999999988</v>
      </c>
      <c r="Q253" s="42" t="s">
        <v>55</v>
      </c>
      <c r="R253" s="42" t="s">
        <v>32</v>
      </c>
      <c r="S253" s="42" t="s">
        <v>33</v>
      </c>
      <c r="T253" s="42" t="s">
        <v>34</v>
      </c>
      <c r="U253" s="42" t="s">
        <v>67</v>
      </c>
      <c r="V253" s="42" t="s">
        <v>596</v>
      </c>
      <c r="W253" s="42"/>
    </row>
    <row r="254" spans="1:23" ht="36" x14ac:dyDescent="0.25">
      <c r="A254" s="42" t="s">
        <v>851</v>
      </c>
      <c r="B254" s="42" t="s">
        <v>931</v>
      </c>
      <c r="C254" s="42" t="s">
        <v>935</v>
      </c>
      <c r="D254" s="48" t="s">
        <v>55</v>
      </c>
      <c r="E254" s="42" t="s">
        <v>936</v>
      </c>
      <c r="F254" s="42" t="s">
        <v>447</v>
      </c>
      <c r="G254" s="42" t="s">
        <v>934</v>
      </c>
      <c r="H254" s="42" t="s">
        <v>449</v>
      </c>
      <c r="I254" s="42" t="s">
        <v>182</v>
      </c>
      <c r="J254" s="42">
        <v>3</v>
      </c>
      <c r="K254" s="42">
        <v>2</v>
      </c>
      <c r="L254" s="44">
        <f t="shared" si="9"/>
        <v>1.5</v>
      </c>
      <c r="M254" s="45">
        <v>0.35</v>
      </c>
      <c r="N254" s="45">
        <v>0.15</v>
      </c>
      <c r="O254" s="46">
        <f t="shared" si="10"/>
        <v>0.44750000000000001</v>
      </c>
      <c r="P254" s="47">
        <f t="shared" si="11"/>
        <v>0.67125000000000001</v>
      </c>
      <c r="Q254" s="42" t="s">
        <v>55</v>
      </c>
      <c r="R254" s="42" t="s">
        <v>32</v>
      </c>
      <c r="S254" s="42" t="s">
        <v>32</v>
      </c>
      <c r="T254" s="42" t="s">
        <v>60</v>
      </c>
      <c r="U254" s="42" t="s">
        <v>67</v>
      </c>
      <c r="V254" s="42" t="s">
        <v>596</v>
      </c>
      <c r="W254" s="42"/>
    </row>
    <row r="255" spans="1:23" ht="36" x14ac:dyDescent="0.25">
      <c r="A255" s="42" t="s">
        <v>851</v>
      </c>
      <c r="B255" s="42" t="s">
        <v>937</v>
      </c>
      <c r="C255" s="42" t="s">
        <v>938</v>
      </c>
      <c r="D255" s="48" t="s">
        <v>55</v>
      </c>
      <c r="E255" s="42" t="s">
        <v>939</v>
      </c>
      <c r="F255" s="42" t="s">
        <v>515</v>
      </c>
      <c r="G255" s="42" t="s">
        <v>940</v>
      </c>
      <c r="H255" s="42" t="s">
        <v>449</v>
      </c>
      <c r="I255" s="42" t="s">
        <v>261</v>
      </c>
      <c r="J255" s="42">
        <v>2</v>
      </c>
      <c r="K255" s="42">
        <v>1</v>
      </c>
      <c r="L255" s="44">
        <f t="shared" si="9"/>
        <v>1</v>
      </c>
      <c r="M255" s="45">
        <v>0.35</v>
      </c>
      <c r="N255" s="45">
        <v>0.15</v>
      </c>
      <c r="O255" s="46">
        <f t="shared" si="10"/>
        <v>0.44750000000000001</v>
      </c>
      <c r="P255" s="47">
        <f t="shared" si="11"/>
        <v>0.44750000000000001</v>
      </c>
      <c r="Q255" s="42" t="s">
        <v>55</v>
      </c>
      <c r="R255" s="42" t="s">
        <v>32</v>
      </c>
      <c r="S255" s="42" t="s">
        <v>32</v>
      </c>
      <c r="T255" s="42" t="s">
        <v>60</v>
      </c>
      <c r="U255" s="42" t="s">
        <v>67</v>
      </c>
      <c r="V255" s="42" t="s">
        <v>166</v>
      </c>
      <c r="W255" s="42"/>
    </row>
    <row r="256" spans="1:23" ht="24" x14ac:dyDescent="0.25">
      <c r="A256" s="42" t="s">
        <v>851</v>
      </c>
      <c r="B256" s="42" t="s">
        <v>937</v>
      </c>
      <c r="C256" s="42" t="s">
        <v>941</v>
      </c>
      <c r="D256" s="49" t="s">
        <v>66</v>
      </c>
      <c r="E256" s="42" t="s">
        <v>942</v>
      </c>
      <c r="F256" s="42" t="s">
        <v>472</v>
      </c>
      <c r="G256" s="42" t="s">
        <v>940</v>
      </c>
      <c r="H256" s="42" t="s">
        <v>462</v>
      </c>
      <c r="I256" s="42" t="s">
        <v>261</v>
      </c>
      <c r="J256" s="42">
        <v>2</v>
      </c>
      <c r="K256" s="42">
        <v>1</v>
      </c>
      <c r="L256" s="44">
        <f t="shared" si="9"/>
        <v>1</v>
      </c>
      <c r="M256" s="45">
        <v>0.1</v>
      </c>
      <c r="N256" s="45">
        <v>0.15</v>
      </c>
      <c r="O256" s="46">
        <f t="shared" si="10"/>
        <v>0.23499999999999999</v>
      </c>
      <c r="P256" s="47">
        <f t="shared" si="11"/>
        <v>0.23499999999999999</v>
      </c>
      <c r="Q256" s="42" t="s">
        <v>67</v>
      </c>
      <c r="R256" s="42" t="s">
        <v>66</v>
      </c>
      <c r="S256" s="42" t="s">
        <v>66</v>
      </c>
      <c r="T256" s="42" t="s">
        <v>473</v>
      </c>
      <c r="U256" s="42" t="s">
        <v>67</v>
      </c>
      <c r="V256" s="42" t="s">
        <v>166</v>
      </c>
      <c r="W256" s="42"/>
    </row>
    <row r="257" spans="1:23" ht="36" x14ac:dyDescent="0.25">
      <c r="A257" s="42" t="s">
        <v>943</v>
      </c>
      <c r="B257" s="42" t="s">
        <v>944</v>
      </c>
      <c r="C257" s="42" t="s">
        <v>945</v>
      </c>
      <c r="D257" s="43" t="s">
        <v>26</v>
      </c>
      <c r="E257" s="42" t="s">
        <v>946</v>
      </c>
      <c r="F257" s="42" t="s">
        <v>509</v>
      </c>
      <c r="G257" s="42" t="s">
        <v>947</v>
      </c>
      <c r="H257" s="42" t="s">
        <v>494</v>
      </c>
      <c r="I257" s="42" t="s">
        <v>182</v>
      </c>
      <c r="J257" s="42">
        <v>3</v>
      </c>
      <c r="K257" s="42">
        <v>1</v>
      </c>
      <c r="L257" s="44">
        <f t="shared" si="9"/>
        <v>1.5</v>
      </c>
      <c r="M257" s="45">
        <v>0.6</v>
      </c>
      <c r="N257" s="50">
        <v>0.2</v>
      </c>
      <c r="O257" s="46">
        <f t="shared" si="10"/>
        <v>0.67999999999999994</v>
      </c>
      <c r="P257" s="47">
        <f t="shared" si="11"/>
        <v>1.02</v>
      </c>
      <c r="Q257" s="42" t="s">
        <v>26</v>
      </c>
      <c r="R257" s="42" t="s">
        <v>33</v>
      </c>
      <c r="S257" s="42" t="s">
        <v>33</v>
      </c>
      <c r="T257" s="42" t="s">
        <v>34</v>
      </c>
      <c r="U257" s="42" t="s">
        <v>189</v>
      </c>
      <c r="V257" s="42" t="s">
        <v>208</v>
      </c>
      <c r="W257" s="42"/>
    </row>
    <row r="258" spans="1:23" ht="36" x14ac:dyDescent="0.25">
      <c r="A258" s="42" t="s">
        <v>943</v>
      </c>
      <c r="B258" s="42" t="s">
        <v>944</v>
      </c>
      <c r="C258" s="42" t="s">
        <v>948</v>
      </c>
      <c r="D258" s="43" t="s">
        <v>26</v>
      </c>
      <c r="E258" s="42" t="s">
        <v>949</v>
      </c>
      <c r="F258" s="42" t="s">
        <v>492</v>
      </c>
      <c r="G258" s="42" t="s">
        <v>947</v>
      </c>
      <c r="H258" s="42" t="s">
        <v>494</v>
      </c>
      <c r="I258" s="42" t="s">
        <v>182</v>
      </c>
      <c r="J258" s="42">
        <v>3</v>
      </c>
      <c r="K258" s="42">
        <v>1</v>
      </c>
      <c r="L258" s="44">
        <f t="shared" ref="L258:L297" si="12">J258/COUNTIF($B:$B,B258)</f>
        <v>1.5</v>
      </c>
      <c r="M258" s="45">
        <v>0.6</v>
      </c>
      <c r="N258" s="50">
        <v>0.2</v>
      </c>
      <c r="O258" s="46">
        <f t="shared" ref="O258:O321" si="13">1-(1-M258)*(1-N258)</f>
        <v>0.67999999999999994</v>
      </c>
      <c r="P258" s="47">
        <f t="shared" ref="P258:P321" si="14">L258*O258</f>
        <v>1.02</v>
      </c>
      <c r="Q258" s="42" t="s">
        <v>55</v>
      </c>
      <c r="R258" s="42" t="s">
        <v>32</v>
      </c>
      <c r="S258" s="42" t="s">
        <v>33</v>
      </c>
      <c r="T258" s="42" t="s">
        <v>34</v>
      </c>
      <c r="U258" s="42" t="s">
        <v>67</v>
      </c>
      <c r="V258" s="42" t="s">
        <v>208</v>
      </c>
      <c r="W258" s="42"/>
    </row>
    <row r="259" spans="1:23" ht="36" x14ac:dyDescent="0.25">
      <c r="A259" s="42" t="s">
        <v>943</v>
      </c>
      <c r="B259" s="42" t="s">
        <v>950</v>
      </c>
      <c r="C259" s="42" t="s">
        <v>951</v>
      </c>
      <c r="D259" s="43" t="s">
        <v>26</v>
      </c>
      <c r="E259" s="42" t="s">
        <v>952</v>
      </c>
      <c r="F259" s="42" t="s">
        <v>492</v>
      </c>
      <c r="G259" s="42" t="s">
        <v>953</v>
      </c>
      <c r="H259" s="42" t="s">
        <v>494</v>
      </c>
      <c r="I259" s="42" t="s">
        <v>954</v>
      </c>
      <c r="J259" s="42">
        <v>60</v>
      </c>
      <c r="K259" s="42">
        <v>4</v>
      </c>
      <c r="L259" s="44">
        <f t="shared" si="12"/>
        <v>20</v>
      </c>
      <c r="M259" s="45">
        <v>0.6</v>
      </c>
      <c r="N259" s="50">
        <v>0.3</v>
      </c>
      <c r="O259" s="46">
        <f t="shared" si="13"/>
        <v>0.72</v>
      </c>
      <c r="P259" s="47">
        <f t="shared" si="14"/>
        <v>14.399999999999999</v>
      </c>
      <c r="Q259" s="42" t="s">
        <v>55</v>
      </c>
      <c r="R259" s="42" t="s">
        <v>32</v>
      </c>
      <c r="S259" s="42" t="s">
        <v>33</v>
      </c>
      <c r="T259" s="42" t="s">
        <v>34</v>
      </c>
      <c r="U259" s="42" t="s">
        <v>183</v>
      </c>
      <c r="V259" s="42" t="s">
        <v>195</v>
      </c>
      <c r="W259" s="42"/>
    </row>
    <row r="260" spans="1:23" ht="24" x14ac:dyDescent="0.25">
      <c r="A260" s="42" t="s">
        <v>943</v>
      </c>
      <c r="B260" s="42" t="s">
        <v>950</v>
      </c>
      <c r="C260" s="42" t="s">
        <v>955</v>
      </c>
      <c r="D260" s="48" t="s">
        <v>55</v>
      </c>
      <c r="E260" s="42" t="s">
        <v>956</v>
      </c>
      <c r="F260" s="42" t="s">
        <v>497</v>
      </c>
      <c r="G260" s="42" t="s">
        <v>953</v>
      </c>
      <c r="H260" s="42" t="s">
        <v>449</v>
      </c>
      <c r="I260" s="42" t="s">
        <v>954</v>
      </c>
      <c r="J260" s="42">
        <v>60</v>
      </c>
      <c r="K260" s="42">
        <v>4</v>
      </c>
      <c r="L260" s="44">
        <f t="shared" si="12"/>
        <v>20</v>
      </c>
      <c r="M260" s="45">
        <v>0.35</v>
      </c>
      <c r="N260" s="50">
        <v>0.3</v>
      </c>
      <c r="O260" s="46">
        <f t="shared" si="13"/>
        <v>0.54500000000000004</v>
      </c>
      <c r="P260" s="47">
        <f t="shared" si="14"/>
        <v>10.9</v>
      </c>
      <c r="Q260" s="42" t="s">
        <v>55</v>
      </c>
      <c r="R260" s="42" t="s">
        <v>32</v>
      </c>
      <c r="S260" s="42" t="s">
        <v>32</v>
      </c>
      <c r="T260" s="42" t="s">
        <v>60</v>
      </c>
      <c r="U260" s="42" t="s">
        <v>67</v>
      </c>
      <c r="V260" s="42" t="s">
        <v>195</v>
      </c>
      <c r="W260" s="42"/>
    </row>
    <row r="261" spans="1:23" ht="24" x14ac:dyDescent="0.25">
      <c r="A261" s="42" t="s">
        <v>943</v>
      </c>
      <c r="B261" s="42" t="s">
        <v>950</v>
      </c>
      <c r="C261" s="42" t="s">
        <v>957</v>
      </c>
      <c r="D261" s="48" t="s">
        <v>55</v>
      </c>
      <c r="E261" s="42" t="s">
        <v>958</v>
      </c>
      <c r="F261" s="42" t="s">
        <v>497</v>
      </c>
      <c r="G261" s="42" t="s">
        <v>953</v>
      </c>
      <c r="H261" s="42" t="s">
        <v>449</v>
      </c>
      <c r="I261" s="42" t="s">
        <v>954</v>
      </c>
      <c r="J261" s="42">
        <v>60</v>
      </c>
      <c r="K261" s="42">
        <v>4</v>
      </c>
      <c r="L261" s="44">
        <f t="shared" si="12"/>
        <v>20</v>
      </c>
      <c r="M261" s="45">
        <v>0.35</v>
      </c>
      <c r="N261" s="50">
        <v>0.3</v>
      </c>
      <c r="O261" s="46">
        <f t="shared" si="13"/>
        <v>0.54500000000000004</v>
      </c>
      <c r="P261" s="47">
        <f t="shared" si="14"/>
        <v>10.9</v>
      </c>
      <c r="Q261" s="42" t="s">
        <v>55</v>
      </c>
      <c r="R261" s="42" t="s">
        <v>32</v>
      </c>
      <c r="S261" s="42" t="s">
        <v>32</v>
      </c>
      <c r="T261" s="42" t="s">
        <v>60</v>
      </c>
      <c r="U261" s="42" t="s">
        <v>67</v>
      </c>
      <c r="V261" s="42" t="s">
        <v>195</v>
      </c>
      <c r="W261" s="42"/>
    </row>
    <row r="262" spans="1:23" ht="36" x14ac:dyDescent="0.25">
      <c r="A262" s="42" t="s">
        <v>943</v>
      </c>
      <c r="B262" s="42" t="s">
        <v>959</v>
      </c>
      <c r="C262" s="42" t="s">
        <v>960</v>
      </c>
      <c r="D262" s="43" t="s">
        <v>26</v>
      </c>
      <c r="E262" s="42" t="s">
        <v>961</v>
      </c>
      <c r="F262" s="42" t="s">
        <v>492</v>
      </c>
      <c r="G262" s="42" t="s">
        <v>962</v>
      </c>
      <c r="H262" s="42" t="s">
        <v>494</v>
      </c>
      <c r="I262" s="42" t="s">
        <v>963</v>
      </c>
      <c r="J262" s="42">
        <v>16</v>
      </c>
      <c r="K262" s="42">
        <v>2</v>
      </c>
      <c r="L262" s="44">
        <f t="shared" si="12"/>
        <v>8</v>
      </c>
      <c r="M262" s="45">
        <v>0.6</v>
      </c>
      <c r="N262" s="50">
        <v>0.25</v>
      </c>
      <c r="O262" s="46">
        <f t="shared" si="13"/>
        <v>0.7</v>
      </c>
      <c r="P262" s="47">
        <f t="shared" si="14"/>
        <v>5.6</v>
      </c>
      <c r="Q262" s="42" t="s">
        <v>55</v>
      </c>
      <c r="R262" s="42" t="s">
        <v>32</v>
      </c>
      <c r="S262" s="42" t="s">
        <v>33</v>
      </c>
      <c r="T262" s="42" t="s">
        <v>34</v>
      </c>
      <c r="U262" s="42" t="s">
        <v>183</v>
      </c>
      <c r="V262" s="42" t="s">
        <v>166</v>
      </c>
      <c r="W262" s="42"/>
    </row>
    <row r="263" spans="1:23" ht="36" x14ac:dyDescent="0.25">
      <c r="A263" s="42" t="s">
        <v>943</v>
      </c>
      <c r="B263" s="42" t="s">
        <v>959</v>
      </c>
      <c r="C263" s="42" t="s">
        <v>964</v>
      </c>
      <c r="D263" s="48" t="s">
        <v>55</v>
      </c>
      <c r="E263" s="42" t="s">
        <v>965</v>
      </c>
      <c r="F263" s="42" t="s">
        <v>447</v>
      </c>
      <c r="G263" s="42" t="s">
        <v>962</v>
      </c>
      <c r="H263" s="42" t="s">
        <v>449</v>
      </c>
      <c r="I263" s="42" t="s">
        <v>963</v>
      </c>
      <c r="J263" s="42">
        <v>16</v>
      </c>
      <c r="K263" s="42">
        <v>2</v>
      </c>
      <c r="L263" s="44">
        <f t="shared" si="12"/>
        <v>8</v>
      </c>
      <c r="M263" s="45">
        <v>0.35</v>
      </c>
      <c r="N263" s="50">
        <v>0.25</v>
      </c>
      <c r="O263" s="46">
        <f t="shared" si="13"/>
        <v>0.51249999999999996</v>
      </c>
      <c r="P263" s="47">
        <f t="shared" si="14"/>
        <v>4.0999999999999996</v>
      </c>
      <c r="Q263" s="42" t="s">
        <v>55</v>
      </c>
      <c r="R263" s="42" t="s">
        <v>32</v>
      </c>
      <c r="S263" s="42" t="s">
        <v>32</v>
      </c>
      <c r="T263" s="42" t="s">
        <v>60</v>
      </c>
      <c r="U263" s="42" t="s">
        <v>189</v>
      </c>
      <c r="V263" s="42" t="s">
        <v>166</v>
      </c>
      <c r="W263" s="42"/>
    </row>
    <row r="264" spans="1:23" ht="36" x14ac:dyDescent="0.25">
      <c r="A264" s="42" t="s">
        <v>943</v>
      </c>
      <c r="B264" s="42" t="s">
        <v>966</v>
      </c>
      <c r="C264" s="42" t="s">
        <v>967</v>
      </c>
      <c r="D264" s="43" t="s">
        <v>26</v>
      </c>
      <c r="E264" s="42" t="s">
        <v>968</v>
      </c>
      <c r="F264" s="42" t="s">
        <v>969</v>
      </c>
      <c r="G264" s="42" t="s">
        <v>970</v>
      </c>
      <c r="H264" s="42" t="s">
        <v>494</v>
      </c>
      <c r="I264" s="42" t="s">
        <v>95</v>
      </c>
      <c r="J264" s="42">
        <v>5</v>
      </c>
      <c r="K264" s="42">
        <v>1</v>
      </c>
      <c r="L264" s="44">
        <f t="shared" si="12"/>
        <v>2.5</v>
      </c>
      <c r="M264" s="45">
        <v>0.6</v>
      </c>
      <c r="N264" s="50">
        <v>0.2</v>
      </c>
      <c r="O264" s="46">
        <f t="shared" si="13"/>
        <v>0.67999999999999994</v>
      </c>
      <c r="P264" s="47">
        <f t="shared" si="14"/>
        <v>1.6999999999999997</v>
      </c>
      <c r="Q264" s="42" t="s">
        <v>55</v>
      </c>
      <c r="R264" s="42" t="s">
        <v>32</v>
      </c>
      <c r="S264" s="42" t="s">
        <v>33</v>
      </c>
      <c r="T264" s="42" t="s">
        <v>34</v>
      </c>
      <c r="U264" s="42" t="s">
        <v>189</v>
      </c>
      <c r="V264" s="42" t="s">
        <v>166</v>
      </c>
      <c r="W264" s="42"/>
    </row>
    <row r="265" spans="1:23" ht="36" x14ac:dyDescent="0.25">
      <c r="A265" s="42" t="s">
        <v>943</v>
      </c>
      <c r="B265" s="42" t="s">
        <v>966</v>
      </c>
      <c r="C265" s="42" t="s">
        <v>971</v>
      </c>
      <c r="D265" s="48" t="s">
        <v>55</v>
      </c>
      <c r="E265" s="42" t="s">
        <v>972</v>
      </c>
      <c r="F265" s="42" t="s">
        <v>447</v>
      </c>
      <c r="G265" s="42" t="s">
        <v>970</v>
      </c>
      <c r="H265" s="42" t="s">
        <v>449</v>
      </c>
      <c r="I265" s="42" t="s">
        <v>95</v>
      </c>
      <c r="J265" s="42">
        <v>5</v>
      </c>
      <c r="K265" s="42">
        <v>1</v>
      </c>
      <c r="L265" s="44">
        <f t="shared" si="12"/>
        <v>2.5</v>
      </c>
      <c r="M265" s="45">
        <v>0.35</v>
      </c>
      <c r="N265" s="50">
        <v>0.2</v>
      </c>
      <c r="O265" s="46">
        <f t="shared" si="13"/>
        <v>0.48</v>
      </c>
      <c r="P265" s="47">
        <f t="shared" si="14"/>
        <v>1.2</v>
      </c>
      <c r="Q265" s="42" t="s">
        <v>55</v>
      </c>
      <c r="R265" s="42" t="s">
        <v>32</v>
      </c>
      <c r="S265" s="42" t="s">
        <v>32</v>
      </c>
      <c r="T265" s="42" t="s">
        <v>60</v>
      </c>
      <c r="U265" s="42" t="s">
        <v>67</v>
      </c>
      <c r="V265" s="42" t="s">
        <v>166</v>
      </c>
      <c r="W265" s="42"/>
    </row>
    <row r="266" spans="1:23" ht="36" x14ac:dyDescent="0.25">
      <c r="A266" s="42" t="s">
        <v>943</v>
      </c>
      <c r="B266" s="42" t="s">
        <v>973</v>
      </c>
      <c r="C266" s="42" t="s">
        <v>974</v>
      </c>
      <c r="D266" s="48" t="s">
        <v>55</v>
      </c>
      <c r="E266" s="42" t="s">
        <v>975</v>
      </c>
      <c r="F266" s="42" t="s">
        <v>515</v>
      </c>
      <c r="G266" s="42" t="s">
        <v>976</v>
      </c>
      <c r="H266" s="42" t="s">
        <v>449</v>
      </c>
      <c r="I266" s="42" t="s">
        <v>977</v>
      </c>
      <c r="J266" s="42">
        <v>3</v>
      </c>
      <c r="K266" s="42">
        <v>1</v>
      </c>
      <c r="L266" s="44">
        <f t="shared" si="12"/>
        <v>1.5</v>
      </c>
      <c r="M266" s="45">
        <v>0.35</v>
      </c>
      <c r="N266" s="45">
        <v>0.15</v>
      </c>
      <c r="O266" s="46">
        <f t="shared" si="13"/>
        <v>0.44750000000000001</v>
      </c>
      <c r="P266" s="47">
        <f t="shared" si="14"/>
        <v>0.67125000000000001</v>
      </c>
      <c r="Q266" s="42" t="s">
        <v>55</v>
      </c>
      <c r="R266" s="42" t="s">
        <v>32</v>
      </c>
      <c r="S266" s="42" t="s">
        <v>32</v>
      </c>
      <c r="T266" s="42" t="s">
        <v>60</v>
      </c>
      <c r="U266" s="42" t="s">
        <v>183</v>
      </c>
      <c r="V266" s="42" t="s">
        <v>166</v>
      </c>
      <c r="W266" s="42"/>
    </row>
    <row r="267" spans="1:23" ht="24" x14ac:dyDescent="0.25">
      <c r="A267" s="42" t="s">
        <v>943</v>
      </c>
      <c r="B267" s="42" t="s">
        <v>973</v>
      </c>
      <c r="C267" s="42" t="s">
        <v>978</v>
      </c>
      <c r="D267" s="49" t="s">
        <v>66</v>
      </c>
      <c r="E267" s="42" t="s">
        <v>979</v>
      </c>
      <c r="F267" s="42" t="s">
        <v>461</v>
      </c>
      <c r="G267" s="42" t="s">
        <v>976</v>
      </c>
      <c r="H267" s="42" t="s">
        <v>462</v>
      </c>
      <c r="I267" s="42" t="s">
        <v>977</v>
      </c>
      <c r="J267" s="42">
        <v>3</v>
      </c>
      <c r="K267" s="42">
        <v>1</v>
      </c>
      <c r="L267" s="44">
        <f t="shared" si="12"/>
        <v>1.5</v>
      </c>
      <c r="M267" s="45">
        <v>0.1</v>
      </c>
      <c r="N267" s="45">
        <v>0.15</v>
      </c>
      <c r="O267" s="46">
        <f t="shared" si="13"/>
        <v>0.23499999999999999</v>
      </c>
      <c r="P267" s="47">
        <f t="shared" si="14"/>
        <v>0.35249999999999998</v>
      </c>
      <c r="Q267" s="42" t="s">
        <v>66</v>
      </c>
      <c r="R267" s="42" t="s">
        <v>66</v>
      </c>
      <c r="S267" s="42" t="s">
        <v>66</v>
      </c>
      <c r="T267" s="42" t="s">
        <v>463</v>
      </c>
      <c r="U267" s="42" t="s">
        <v>183</v>
      </c>
      <c r="V267" s="42" t="s">
        <v>166</v>
      </c>
      <c r="W267" s="42"/>
    </row>
    <row r="268" spans="1:23" ht="36" x14ac:dyDescent="0.25">
      <c r="A268" s="42" t="s">
        <v>943</v>
      </c>
      <c r="B268" s="42" t="s">
        <v>980</v>
      </c>
      <c r="C268" s="42" t="s">
        <v>981</v>
      </c>
      <c r="D268" s="48" t="s">
        <v>55</v>
      </c>
      <c r="E268" s="42" t="s">
        <v>982</v>
      </c>
      <c r="F268" s="42" t="s">
        <v>515</v>
      </c>
      <c r="G268" s="42" t="s">
        <v>983</v>
      </c>
      <c r="H268" s="42" t="s">
        <v>449</v>
      </c>
      <c r="I268" s="42" t="s">
        <v>977</v>
      </c>
      <c r="J268" s="42">
        <v>5</v>
      </c>
      <c r="K268" s="42">
        <v>1</v>
      </c>
      <c r="L268" s="44">
        <f t="shared" si="12"/>
        <v>2.5</v>
      </c>
      <c r="M268" s="45">
        <v>0.35</v>
      </c>
      <c r="N268" s="45">
        <v>0.15</v>
      </c>
      <c r="O268" s="46">
        <f t="shared" si="13"/>
        <v>0.44750000000000001</v>
      </c>
      <c r="P268" s="47">
        <f t="shared" si="14"/>
        <v>1.1187499999999999</v>
      </c>
      <c r="Q268" s="42" t="s">
        <v>55</v>
      </c>
      <c r="R268" s="42" t="s">
        <v>32</v>
      </c>
      <c r="S268" s="42" t="s">
        <v>32</v>
      </c>
      <c r="T268" s="42" t="s">
        <v>60</v>
      </c>
      <c r="U268" s="42" t="s">
        <v>183</v>
      </c>
      <c r="V268" s="42" t="s">
        <v>166</v>
      </c>
      <c r="W268" s="42"/>
    </row>
    <row r="269" spans="1:23" ht="36" x14ac:dyDescent="0.25">
      <c r="A269" s="42" t="s">
        <v>943</v>
      </c>
      <c r="B269" s="42" t="s">
        <v>980</v>
      </c>
      <c r="C269" s="42" t="s">
        <v>984</v>
      </c>
      <c r="D269" s="49" t="s">
        <v>66</v>
      </c>
      <c r="E269" s="42" t="s">
        <v>985</v>
      </c>
      <c r="F269" s="42" t="s">
        <v>461</v>
      </c>
      <c r="G269" s="42" t="s">
        <v>983</v>
      </c>
      <c r="H269" s="42" t="s">
        <v>462</v>
      </c>
      <c r="I269" s="42" t="s">
        <v>977</v>
      </c>
      <c r="J269" s="42">
        <v>5</v>
      </c>
      <c r="K269" s="42">
        <v>1</v>
      </c>
      <c r="L269" s="44">
        <f t="shared" si="12"/>
        <v>2.5</v>
      </c>
      <c r="M269" s="45">
        <v>0.1</v>
      </c>
      <c r="N269" s="45">
        <v>0.15</v>
      </c>
      <c r="O269" s="46">
        <f t="shared" si="13"/>
        <v>0.23499999999999999</v>
      </c>
      <c r="P269" s="47">
        <f t="shared" si="14"/>
        <v>0.58749999999999991</v>
      </c>
      <c r="Q269" s="42" t="s">
        <v>66</v>
      </c>
      <c r="R269" s="42" t="s">
        <v>66</v>
      </c>
      <c r="S269" s="42" t="s">
        <v>66</v>
      </c>
      <c r="T269" s="42" t="s">
        <v>463</v>
      </c>
      <c r="U269" s="42" t="s">
        <v>67</v>
      </c>
      <c r="V269" s="42" t="s">
        <v>166</v>
      </c>
      <c r="W269" s="42"/>
    </row>
    <row r="270" spans="1:23" ht="36" x14ac:dyDescent="0.25">
      <c r="A270" s="42" t="s">
        <v>943</v>
      </c>
      <c r="B270" s="42" t="s">
        <v>986</v>
      </c>
      <c r="C270" s="42" t="s">
        <v>987</v>
      </c>
      <c r="D270" s="49" t="s">
        <v>66</v>
      </c>
      <c r="E270" s="42" t="s">
        <v>988</v>
      </c>
      <c r="F270" s="42" t="s">
        <v>461</v>
      </c>
      <c r="G270" s="42" t="s">
        <v>989</v>
      </c>
      <c r="H270" s="42" t="s">
        <v>462</v>
      </c>
      <c r="I270" s="42" t="s">
        <v>261</v>
      </c>
      <c r="J270" s="42">
        <v>3</v>
      </c>
      <c r="K270" s="42">
        <v>1</v>
      </c>
      <c r="L270" s="44">
        <f t="shared" si="12"/>
        <v>3</v>
      </c>
      <c r="M270" s="45">
        <v>0.1</v>
      </c>
      <c r="N270" s="45">
        <v>0.15</v>
      </c>
      <c r="O270" s="46">
        <f t="shared" si="13"/>
        <v>0.23499999999999999</v>
      </c>
      <c r="P270" s="47">
        <f t="shared" si="14"/>
        <v>0.70499999999999996</v>
      </c>
      <c r="Q270" s="42" t="s">
        <v>66</v>
      </c>
      <c r="R270" s="42" t="s">
        <v>66</v>
      </c>
      <c r="S270" s="42" t="s">
        <v>66</v>
      </c>
      <c r="T270" s="42" t="s">
        <v>463</v>
      </c>
      <c r="U270" s="42" t="s">
        <v>67</v>
      </c>
      <c r="V270" s="42" t="s">
        <v>166</v>
      </c>
      <c r="W270" s="42"/>
    </row>
    <row r="271" spans="1:23" ht="36" x14ac:dyDescent="0.25">
      <c r="A271" s="42" t="s">
        <v>943</v>
      </c>
      <c r="B271" s="42" t="s">
        <v>990</v>
      </c>
      <c r="C271" s="42" t="s">
        <v>991</v>
      </c>
      <c r="D271" s="43" t="s">
        <v>26</v>
      </c>
      <c r="E271" s="42" t="s">
        <v>992</v>
      </c>
      <c r="F271" s="42" t="s">
        <v>969</v>
      </c>
      <c r="G271" s="42" t="s">
        <v>993</v>
      </c>
      <c r="H271" s="42" t="s">
        <v>494</v>
      </c>
      <c r="I271" s="42" t="s">
        <v>963</v>
      </c>
      <c r="J271" s="42">
        <v>3</v>
      </c>
      <c r="K271" s="42">
        <v>1</v>
      </c>
      <c r="L271" s="44">
        <f t="shared" si="12"/>
        <v>1.5</v>
      </c>
      <c r="M271" s="45">
        <v>0.6</v>
      </c>
      <c r="N271" s="45">
        <v>0.1</v>
      </c>
      <c r="O271" s="46">
        <f t="shared" si="13"/>
        <v>0.6399999999999999</v>
      </c>
      <c r="P271" s="47">
        <f t="shared" si="14"/>
        <v>0.95999999999999985</v>
      </c>
      <c r="Q271" s="42" t="s">
        <v>55</v>
      </c>
      <c r="R271" s="42" t="s">
        <v>33</v>
      </c>
      <c r="S271" s="42" t="s">
        <v>33</v>
      </c>
      <c r="T271" s="42" t="s">
        <v>34</v>
      </c>
      <c r="U271" s="42" t="s">
        <v>67</v>
      </c>
      <c r="V271" s="42" t="s">
        <v>195</v>
      </c>
      <c r="W271" s="42"/>
    </row>
    <row r="272" spans="1:23" ht="24" x14ac:dyDescent="0.25">
      <c r="A272" s="42" t="s">
        <v>943</v>
      </c>
      <c r="B272" s="42" t="s">
        <v>990</v>
      </c>
      <c r="C272" s="42" t="s">
        <v>994</v>
      </c>
      <c r="D272" s="48" t="s">
        <v>55</v>
      </c>
      <c r="E272" s="42" t="s">
        <v>995</v>
      </c>
      <c r="F272" s="42" t="s">
        <v>447</v>
      </c>
      <c r="G272" s="42" t="s">
        <v>993</v>
      </c>
      <c r="H272" s="42" t="s">
        <v>449</v>
      </c>
      <c r="I272" s="42" t="s">
        <v>963</v>
      </c>
      <c r="J272" s="42">
        <v>3</v>
      </c>
      <c r="K272" s="42">
        <v>1</v>
      </c>
      <c r="L272" s="44">
        <f t="shared" si="12"/>
        <v>1.5</v>
      </c>
      <c r="M272" s="45">
        <v>0.35</v>
      </c>
      <c r="N272" s="45">
        <v>0.1</v>
      </c>
      <c r="O272" s="46">
        <f t="shared" si="13"/>
        <v>0.41499999999999992</v>
      </c>
      <c r="P272" s="47">
        <f t="shared" si="14"/>
        <v>0.62249999999999983</v>
      </c>
      <c r="Q272" s="42" t="s">
        <v>55</v>
      </c>
      <c r="R272" s="42" t="s">
        <v>32</v>
      </c>
      <c r="S272" s="42" t="s">
        <v>32</v>
      </c>
      <c r="T272" s="42" t="s">
        <v>60</v>
      </c>
      <c r="U272" s="42" t="s">
        <v>67</v>
      </c>
      <c r="V272" s="42" t="s">
        <v>195</v>
      </c>
      <c r="W272" s="42"/>
    </row>
    <row r="273" spans="1:23" ht="36" x14ac:dyDescent="0.25">
      <c r="A273" s="42" t="s">
        <v>943</v>
      </c>
      <c r="B273" s="42" t="s">
        <v>996</v>
      </c>
      <c r="C273" s="42" t="s">
        <v>997</v>
      </c>
      <c r="D273" s="48" t="s">
        <v>55</v>
      </c>
      <c r="E273" s="42" t="s">
        <v>998</v>
      </c>
      <c r="F273" s="42" t="s">
        <v>447</v>
      </c>
      <c r="G273" s="42" t="s">
        <v>999</v>
      </c>
      <c r="H273" s="42" t="s">
        <v>449</v>
      </c>
      <c r="I273" s="42" t="s">
        <v>182</v>
      </c>
      <c r="J273" s="42">
        <v>2</v>
      </c>
      <c r="K273" s="42">
        <v>1</v>
      </c>
      <c r="L273" s="44">
        <f t="shared" si="12"/>
        <v>1</v>
      </c>
      <c r="M273" s="45">
        <v>0.35</v>
      </c>
      <c r="N273" s="45">
        <v>0.1</v>
      </c>
      <c r="O273" s="46">
        <f t="shared" si="13"/>
        <v>0.41499999999999992</v>
      </c>
      <c r="P273" s="47">
        <f t="shared" si="14"/>
        <v>0.41499999999999992</v>
      </c>
      <c r="Q273" s="42" t="s">
        <v>55</v>
      </c>
      <c r="R273" s="42" t="s">
        <v>32</v>
      </c>
      <c r="S273" s="42" t="s">
        <v>32</v>
      </c>
      <c r="T273" s="42" t="s">
        <v>60</v>
      </c>
      <c r="U273" s="42" t="s">
        <v>67</v>
      </c>
      <c r="V273" s="42" t="s">
        <v>166</v>
      </c>
      <c r="W273" s="42"/>
    </row>
    <row r="274" spans="1:23" ht="24" x14ac:dyDescent="0.25">
      <c r="A274" s="42" t="s">
        <v>943</v>
      </c>
      <c r="B274" s="42" t="s">
        <v>996</v>
      </c>
      <c r="C274" s="42" t="s">
        <v>1000</v>
      </c>
      <c r="D274" s="49" t="s">
        <v>66</v>
      </c>
      <c r="E274" s="42" t="s">
        <v>1001</v>
      </c>
      <c r="F274" s="42" t="s">
        <v>472</v>
      </c>
      <c r="G274" s="42" t="s">
        <v>999</v>
      </c>
      <c r="H274" s="42" t="s">
        <v>462</v>
      </c>
      <c r="I274" s="42" t="s">
        <v>182</v>
      </c>
      <c r="J274" s="42">
        <v>2</v>
      </c>
      <c r="K274" s="42">
        <v>1</v>
      </c>
      <c r="L274" s="44">
        <f t="shared" si="12"/>
        <v>1</v>
      </c>
      <c r="M274" s="45">
        <v>0.1</v>
      </c>
      <c r="N274" s="45">
        <v>0.1</v>
      </c>
      <c r="O274" s="46">
        <f t="shared" si="13"/>
        <v>0.18999999999999995</v>
      </c>
      <c r="P274" s="47">
        <f t="shared" si="14"/>
        <v>0.18999999999999995</v>
      </c>
      <c r="Q274" s="42" t="s">
        <v>67</v>
      </c>
      <c r="R274" s="42" t="s">
        <v>66</v>
      </c>
      <c r="S274" s="42" t="s">
        <v>66</v>
      </c>
      <c r="T274" s="42" t="s">
        <v>473</v>
      </c>
      <c r="U274" s="42" t="s">
        <v>67</v>
      </c>
      <c r="V274" s="42" t="s">
        <v>166</v>
      </c>
      <c r="W274" s="42"/>
    </row>
    <row r="275" spans="1:23" ht="36" x14ac:dyDescent="0.25">
      <c r="A275" s="42" t="s">
        <v>1002</v>
      </c>
      <c r="B275" s="42" t="s">
        <v>1003</v>
      </c>
      <c r="C275" s="42" t="s">
        <v>1004</v>
      </c>
      <c r="D275" s="43" t="s">
        <v>26</v>
      </c>
      <c r="E275" s="42" t="s">
        <v>1005</v>
      </c>
      <c r="F275" s="42" t="s">
        <v>492</v>
      </c>
      <c r="G275" s="42" t="s">
        <v>1006</v>
      </c>
      <c r="H275" s="42" t="s">
        <v>494</v>
      </c>
      <c r="I275" s="42" t="s">
        <v>261</v>
      </c>
      <c r="J275" s="42">
        <v>2</v>
      </c>
      <c r="K275" s="42">
        <v>1</v>
      </c>
      <c r="L275" s="44">
        <f t="shared" si="12"/>
        <v>1</v>
      </c>
      <c r="M275" s="45">
        <v>0.6</v>
      </c>
      <c r="N275" s="45">
        <v>0.1</v>
      </c>
      <c r="O275" s="46">
        <f t="shared" si="13"/>
        <v>0.6399999999999999</v>
      </c>
      <c r="P275" s="47">
        <f t="shared" si="14"/>
        <v>0.6399999999999999</v>
      </c>
      <c r="Q275" s="42" t="s">
        <v>55</v>
      </c>
      <c r="R275" s="42" t="s">
        <v>32</v>
      </c>
      <c r="S275" s="42" t="s">
        <v>33</v>
      </c>
      <c r="T275" s="42" t="s">
        <v>34</v>
      </c>
      <c r="U275" s="42" t="s">
        <v>67</v>
      </c>
      <c r="V275" s="42" t="s">
        <v>195</v>
      </c>
      <c r="W275" s="42"/>
    </row>
    <row r="276" spans="1:23" ht="36" x14ac:dyDescent="0.25">
      <c r="A276" s="42" t="s">
        <v>1002</v>
      </c>
      <c r="B276" s="42" t="s">
        <v>1003</v>
      </c>
      <c r="C276" s="42" t="s">
        <v>1007</v>
      </c>
      <c r="D276" s="49" t="s">
        <v>66</v>
      </c>
      <c r="E276" s="42" t="s">
        <v>1008</v>
      </c>
      <c r="F276" s="42" t="s">
        <v>468</v>
      </c>
      <c r="G276" s="42" t="s">
        <v>1006</v>
      </c>
      <c r="H276" s="42" t="s">
        <v>462</v>
      </c>
      <c r="I276" s="42" t="s">
        <v>261</v>
      </c>
      <c r="J276" s="42">
        <v>2</v>
      </c>
      <c r="K276" s="42">
        <v>1</v>
      </c>
      <c r="L276" s="44">
        <f t="shared" si="12"/>
        <v>1</v>
      </c>
      <c r="M276" s="45">
        <v>0.1</v>
      </c>
      <c r="N276" s="45">
        <v>0.1</v>
      </c>
      <c r="O276" s="46">
        <f t="shared" si="13"/>
        <v>0.18999999999999995</v>
      </c>
      <c r="P276" s="47">
        <f t="shared" si="14"/>
        <v>0.18999999999999995</v>
      </c>
      <c r="Q276" s="42" t="s">
        <v>67</v>
      </c>
      <c r="R276" s="42" t="s">
        <v>66</v>
      </c>
      <c r="S276" s="42" t="s">
        <v>66</v>
      </c>
      <c r="T276" s="42" t="s">
        <v>469</v>
      </c>
      <c r="U276" s="42" t="s">
        <v>67</v>
      </c>
      <c r="V276" s="42" t="s">
        <v>166</v>
      </c>
      <c r="W276" s="42"/>
    </row>
    <row r="277" spans="1:23" ht="36" x14ac:dyDescent="0.25">
      <c r="A277" s="42" t="s">
        <v>1002</v>
      </c>
      <c r="B277" s="42" t="s">
        <v>1009</v>
      </c>
      <c r="C277" s="42" t="s">
        <v>1010</v>
      </c>
      <c r="D277" s="43" t="s">
        <v>26</v>
      </c>
      <c r="E277" s="42" t="s">
        <v>1011</v>
      </c>
      <c r="F277" s="42" t="s">
        <v>492</v>
      </c>
      <c r="G277" s="42" t="s">
        <v>1012</v>
      </c>
      <c r="H277" s="42" t="s">
        <v>494</v>
      </c>
      <c r="I277" s="42" t="s">
        <v>261</v>
      </c>
      <c r="J277" s="42">
        <v>2</v>
      </c>
      <c r="K277" s="42">
        <v>1</v>
      </c>
      <c r="L277" s="44">
        <f t="shared" si="12"/>
        <v>1</v>
      </c>
      <c r="M277" s="45">
        <v>0.6</v>
      </c>
      <c r="N277" s="45">
        <v>0.1</v>
      </c>
      <c r="O277" s="46">
        <f t="shared" si="13"/>
        <v>0.6399999999999999</v>
      </c>
      <c r="P277" s="47">
        <f t="shared" si="14"/>
        <v>0.6399999999999999</v>
      </c>
      <c r="Q277" s="42" t="s">
        <v>55</v>
      </c>
      <c r="R277" s="42" t="s">
        <v>32</v>
      </c>
      <c r="S277" s="42" t="s">
        <v>33</v>
      </c>
      <c r="T277" s="42" t="s">
        <v>34</v>
      </c>
      <c r="U277" s="42" t="s">
        <v>67</v>
      </c>
      <c r="V277" s="42" t="s">
        <v>195</v>
      </c>
      <c r="W277" s="42"/>
    </row>
    <row r="278" spans="1:23" ht="24" x14ac:dyDescent="0.25">
      <c r="A278" s="42" t="s">
        <v>1002</v>
      </c>
      <c r="B278" s="42" t="s">
        <v>1009</v>
      </c>
      <c r="C278" s="42" t="s">
        <v>1013</v>
      </c>
      <c r="D278" s="49" t="s">
        <v>66</v>
      </c>
      <c r="E278" s="42" t="s">
        <v>1014</v>
      </c>
      <c r="F278" s="42" t="s">
        <v>468</v>
      </c>
      <c r="G278" s="42" t="s">
        <v>1012</v>
      </c>
      <c r="H278" s="42" t="s">
        <v>462</v>
      </c>
      <c r="I278" s="42" t="s">
        <v>261</v>
      </c>
      <c r="J278" s="42">
        <v>2</v>
      </c>
      <c r="K278" s="42">
        <v>1</v>
      </c>
      <c r="L278" s="44">
        <f t="shared" si="12"/>
        <v>1</v>
      </c>
      <c r="M278" s="45">
        <v>0.1</v>
      </c>
      <c r="N278" s="45">
        <v>0.1</v>
      </c>
      <c r="O278" s="46">
        <f t="shared" si="13"/>
        <v>0.18999999999999995</v>
      </c>
      <c r="P278" s="47">
        <f t="shared" si="14"/>
        <v>0.18999999999999995</v>
      </c>
      <c r="Q278" s="42" t="s">
        <v>66</v>
      </c>
      <c r="R278" s="42" t="s">
        <v>66</v>
      </c>
      <c r="S278" s="42" t="s">
        <v>66</v>
      </c>
      <c r="T278" s="42" t="s">
        <v>469</v>
      </c>
      <c r="U278" s="42" t="s">
        <v>67</v>
      </c>
      <c r="V278" s="42" t="s">
        <v>166</v>
      </c>
      <c r="W278" s="42"/>
    </row>
    <row r="279" spans="1:23" ht="36" x14ac:dyDescent="0.25">
      <c r="A279" s="42" t="s">
        <v>1002</v>
      </c>
      <c r="B279" s="42" t="s">
        <v>1015</v>
      </c>
      <c r="C279" s="42" t="s">
        <v>1016</v>
      </c>
      <c r="D279" s="43" t="s">
        <v>26</v>
      </c>
      <c r="E279" s="42" t="s">
        <v>1017</v>
      </c>
      <c r="F279" s="42" t="s">
        <v>492</v>
      </c>
      <c r="G279" s="42" t="s">
        <v>1018</v>
      </c>
      <c r="H279" s="42" t="s">
        <v>494</v>
      </c>
      <c r="I279" s="42" t="s">
        <v>261</v>
      </c>
      <c r="J279" s="42">
        <v>2</v>
      </c>
      <c r="K279" s="42">
        <v>1</v>
      </c>
      <c r="L279" s="44">
        <f t="shared" si="12"/>
        <v>1</v>
      </c>
      <c r="M279" s="45">
        <v>0.6</v>
      </c>
      <c r="N279" s="45">
        <v>0.1</v>
      </c>
      <c r="O279" s="46">
        <f t="shared" si="13"/>
        <v>0.6399999999999999</v>
      </c>
      <c r="P279" s="47">
        <f t="shared" si="14"/>
        <v>0.6399999999999999</v>
      </c>
      <c r="Q279" s="42" t="s">
        <v>55</v>
      </c>
      <c r="R279" s="42" t="s">
        <v>32</v>
      </c>
      <c r="S279" s="42" t="s">
        <v>33</v>
      </c>
      <c r="T279" s="42" t="s">
        <v>34</v>
      </c>
      <c r="U279" s="42" t="s">
        <v>96</v>
      </c>
      <c r="V279" s="42" t="s">
        <v>195</v>
      </c>
      <c r="W279" s="42"/>
    </row>
    <row r="280" spans="1:23" ht="24" x14ac:dyDescent="0.25">
      <c r="A280" s="42" t="s">
        <v>1002</v>
      </c>
      <c r="B280" s="42" t="s">
        <v>1015</v>
      </c>
      <c r="C280" s="42" t="s">
        <v>1019</v>
      </c>
      <c r="D280" s="49" t="s">
        <v>66</v>
      </c>
      <c r="E280" s="42" t="s">
        <v>1020</v>
      </c>
      <c r="F280" s="42" t="s">
        <v>468</v>
      </c>
      <c r="G280" s="42" t="s">
        <v>1018</v>
      </c>
      <c r="H280" s="42" t="s">
        <v>462</v>
      </c>
      <c r="I280" s="42" t="s">
        <v>261</v>
      </c>
      <c r="J280" s="42">
        <v>2</v>
      </c>
      <c r="K280" s="42">
        <v>1</v>
      </c>
      <c r="L280" s="44">
        <f t="shared" si="12"/>
        <v>1</v>
      </c>
      <c r="M280" s="45">
        <v>0.1</v>
      </c>
      <c r="N280" s="45">
        <v>0.1</v>
      </c>
      <c r="O280" s="46">
        <f t="shared" si="13"/>
        <v>0.18999999999999995</v>
      </c>
      <c r="P280" s="47">
        <f t="shared" si="14"/>
        <v>0.18999999999999995</v>
      </c>
      <c r="Q280" s="42" t="s">
        <v>66</v>
      </c>
      <c r="R280" s="42" t="s">
        <v>66</v>
      </c>
      <c r="S280" s="42" t="s">
        <v>66</v>
      </c>
      <c r="T280" s="42" t="s">
        <v>469</v>
      </c>
      <c r="U280" s="42" t="s">
        <v>67</v>
      </c>
      <c r="V280" s="42" t="s">
        <v>166</v>
      </c>
      <c r="W280" s="42"/>
    </row>
    <row r="281" spans="1:23" ht="24" x14ac:dyDescent="0.25">
      <c r="A281" s="42" t="s">
        <v>1002</v>
      </c>
      <c r="B281" s="42" t="s">
        <v>1021</v>
      </c>
      <c r="C281" s="42" t="s">
        <v>1022</v>
      </c>
      <c r="D281" s="43" t="s">
        <v>26</v>
      </c>
      <c r="E281" s="42" t="s">
        <v>1023</v>
      </c>
      <c r="F281" s="42" t="s">
        <v>492</v>
      </c>
      <c r="G281" s="42" t="s">
        <v>1024</v>
      </c>
      <c r="H281" s="42" t="s">
        <v>494</v>
      </c>
      <c r="I281" s="42" t="s">
        <v>261</v>
      </c>
      <c r="J281" s="42">
        <v>2</v>
      </c>
      <c r="K281" s="42">
        <v>1</v>
      </c>
      <c r="L281" s="44">
        <f t="shared" si="12"/>
        <v>1</v>
      </c>
      <c r="M281" s="45">
        <v>0.6</v>
      </c>
      <c r="N281" s="45">
        <v>0.1</v>
      </c>
      <c r="O281" s="46">
        <f t="shared" si="13"/>
        <v>0.6399999999999999</v>
      </c>
      <c r="P281" s="47">
        <f t="shared" si="14"/>
        <v>0.6399999999999999</v>
      </c>
      <c r="Q281" s="42" t="s">
        <v>55</v>
      </c>
      <c r="R281" s="42" t="s">
        <v>32</v>
      </c>
      <c r="S281" s="42" t="s">
        <v>33</v>
      </c>
      <c r="T281" s="42" t="s">
        <v>34</v>
      </c>
      <c r="U281" s="42" t="s">
        <v>96</v>
      </c>
      <c r="V281" s="42" t="s">
        <v>195</v>
      </c>
      <c r="W281" s="42"/>
    </row>
    <row r="282" spans="1:23" ht="24" x14ac:dyDescent="0.25">
      <c r="A282" s="42" t="s">
        <v>1002</v>
      </c>
      <c r="B282" s="42" t="s">
        <v>1021</v>
      </c>
      <c r="C282" s="42" t="s">
        <v>1025</v>
      </c>
      <c r="D282" s="49" t="s">
        <v>66</v>
      </c>
      <c r="E282" s="42" t="s">
        <v>1026</v>
      </c>
      <c r="F282" s="42" t="s">
        <v>468</v>
      </c>
      <c r="G282" s="42" t="s">
        <v>1024</v>
      </c>
      <c r="H282" s="42" t="s">
        <v>462</v>
      </c>
      <c r="I282" s="42" t="s">
        <v>261</v>
      </c>
      <c r="J282" s="42">
        <v>2</v>
      </c>
      <c r="K282" s="42">
        <v>1</v>
      </c>
      <c r="L282" s="44">
        <f t="shared" si="12"/>
        <v>1</v>
      </c>
      <c r="M282" s="45">
        <v>0.1</v>
      </c>
      <c r="N282" s="45">
        <v>0.1</v>
      </c>
      <c r="O282" s="46">
        <f t="shared" si="13"/>
        <v>0.18999999999999995</v>
      </c>
      <c r="P282" s="47">
        <f t="shared" si="14"/>
        <v>0.18999999999999995</v>
      </c>
      <c r="Q282" s="42" t="s">
        <v>66</v>
      </c>
      <c r="R282" s="42" t="s">
        <v>66</v>
      </c>
      <c r="S282" s="42" t="s">
        <v>66</v>
      </c>
      <c r="T282" s="42" t="s">
        <v>469</v>
      </c>
      <c r="U282" s="42" t="s">
        <v>67</v>
      </c>
      <c r="V282" s="42" t="s">
        <v>166</v>
      </c>
      <c r="W282" s="42"/>
    </row>
    <row r="283" spans="1:23" ht="36" x14ac:dyDescent="0.25">
      <c r="A283" s="42" t="s">
        <v>1002</v>
      </c>
      <c r="B283" s="42" t="s">
        <v>1027</v>
      </c>
      <c r="C283" s="42" t="s">
        <v>1028</v>
      </c>
      <c r="D283" s="49" t="s">
        <v>66</v>
      </c>
      <c r="E283" s="42" t="s">
        <v>1029</v>
      </c>
      <c r="F283" s="42" t="s">
        <v>472</v>
      </c>
      <c r="G283" s="42" t="s">
        <v>1030</v>
      </c>
      <c r="H283" s="42" t="s">
        <v>462</v>
      </c>
      <c r="I283" s="42" t="s">
        <v>261</v>
      </c>
      <c r="J283" s="42">
        <v>1</v>
      </c>
      <c r="K283" s="42">
        <v>1</v>
      </c>
      <c r="L283" s="44">
        <f t="shared" si="12"/>
        <v>1</v>
      </c>
      <c r="M283" s="45">
        <v>0.1</v>
      </c>
      <c r="N283" s="45">
        <v>0.1</v>
      </c>
      <c r="O283" s="46">
        <f t="shared" si="13"/>
        <v>0.18999999999999995</v>
      </c>
      <c r="P283" s="47">
        <f t="shared" si="14"/>
        <v>0.18999999999999995</v>
      </c>
      <c r="Q283" s="42" t="s">
        <v>67</v>
      </c>
      <c r="R283" s="42" t="s">
        <v>66</v>
      </c>
      <c r="S283" s="42" t="s">
        <v>66</v>
      </c>
      <c r="T283" s="42" t="s">
        <v>473</v>
      </c>
      <c r="U283" s="42" t="s">
        <v>67</v>
      </c>
      <c r="V283" s="42" t="s">
        <v>166</v>
      </c>
      <c r="W283" s="42"/>
    </row>
    <row r="284" spans="1:23" ht="36" x14ac:dyDescent="0.25">
      <c r="A284" s="42" t="s">
        <v>1002</v>
      </c>
      <c r="B284" s="42" t="s">
        <v>1031</v>
      </c>
      <c r="C284" s="42" t="s">
        <v>1032</v>
      </c>
      <c r="D284" s="43" t="s">
        <v>26</v>
      </c>
      <c r="E284" s="42" t="s">
        <v>1033</v>
      </c>
      <c r="F284" s="42" t="s">
        <v>492</v>
      </c>
      <c r="G284" s="42" t="s">
        <v>1034</v>
      </c>
      <c r="H284" s="42" t="s">
        <v>494</v>
      </c>
      <c r="I284" s="42" t="s">
        <v>261</v>
      </c>
      <c r="J284" s="42">
        <v>2</v>
      </c>
      <c r="K284" s="42">
        <v>1</v>
      </c>
      <c r="L284" s="44">
        <f t="shared" si="12"/>
        <v>1</v>
      </c>
      <c r="M284" s="45">
        <v>0.6</v>
      </c>
      <c r="N284" s="45">
        <v>0.1</v>
      </c>
      <c r="O284" s="46">
        <f t="shared" si="13"/>
        <v>0.6399999999999999</v>
      </c>
      <c r="P284" s="47">
        <f t="shared" si="14"/>
        <v>0.6399999999999999</v>
      </c>
      <c r="Q284" s="42" t="s">
        <v>55</v>
      </c>
      <c r="R284" s="42" t="s">
        <v>32</v>
      </c>
      <c r="S284" s="42" t="s">
        <v>33</v>
      </c>
      <c r="T284" s="42" t="s">
        <v>34</v>
      </c>
      <c r="U284" s="42" t="s">
        <v>67</v>
      </c>
      <c r="V284" s="42" t="s">
        <v>195</v>
      </c>
      <c r="W284" s="42"/>
    </row>
    <row r="285" spans="1:23" ht="36" x14ac:dyDescent="0.25">
      <c r="A285" s="42" t="s">
        <v>1002</v>
      </c>
      <c r="B285" s="42" t="s">
        <v>1031</v>
      </c>
      <c r="C285" s="42" t="s">
        <v>1035</v>
      </c>
      <c r="D285" s="49" t="s">
        <v>66</v>
      </c>
      <c r="E285" s="42" t="s">
        <v>1036</v>
      </c>
      <c r="F285" s="42" t="s">
        <v>468</v>
      </c>
      <c r="G285" s="42" t="s">
        <v>1034</v>
      </c>
      <c r="H285" s="42" t="s">
        <v>462</v>
      </c>
      <c r="I285" s="42" t="s">
        <v>261</v>
      </c>
      <c r="J285" s="42">
        <v>2</v>
      </c>
      <c r="K285" s="42">
        <v>1</v>
      </c>
      <c r="L285" s="44">
        <f t="shared" si="12"/>
        <v>1</v>
      </c>
      <c r="M285" s="45">
        <v>0.1</v>
      </c>
      <c r="N285" s="45">
        <v>0.1</v>
      </c>
      <c r="O285" s="46">
        <f t="shared" si="13"/>
        <v>0.18999999999999995</v>
      </c>
      <c r="P285" s="47">
        <f t="shared" si="14"/>
        <v>0.18999999999999995</v>
      </c>
      <c r="Q285" s="42" t="s">
        <v>66</v>
      </c>
      <c r="R285" s="42" t="s">
        <v>66</v>
      </c>
      <c r="S285" s="42" t="s">
        <v>66</v>
      </c>
      <c r="T285" s="42" t="s">
        <v>469</v>
      </c>
      <c r="U285" s="42" t="s">
        <v>67</v>
      </c>
      <c r="V285" s="42" t="s">
        <v>166</v>
      </c>
      <c r="W285" s="42"/>
    </row>
    <row r="286" spans="1:23" ht="36" x14ac:dyDescent="0.25">
      <c r="A286" s="42" t="s">
        <v>1037</v>
      </c>
      <c r="B286" s="42" t="s">
        <v>1038</v>
      </c>
      <c r="C286" s="42" t="s">
        <v>1039</v>
      </c>
      <c r="D286" s="48" t="s">
        <v>55</v>
      </c>
      <c r="E286" s="42" t="s">
        <v>1040</v>
      </c>
      <c r="F286" s="42" t="s">
        <v>452</v>
      </c>
      <c r="G286" s="42" t="s">
        <v>1041</v>
      </c>
      <c r="H286" s="42" t="s">
        <v>449</v>
      </c>
      <c r="I286" s="42" t="s">
        <v>261</v>
      </c>
      <c r="J286" s="42">
        <v>10</v>
      </c>
      <c r="K286" s="42">
        <v>2</v>
      </c>
      <c r="L286" s="44">
        <f t="shared" si="12"/>
        <v>5</v>
      </c>
      <c r="M286" s="45">
        <v>0.35</v>
      </c>
      <c r="N286" s="45">
        <v>0.15</v>
      </c>
      <c r="O286" s="46">
        <f t="shared" si="13"/>
        <v>0.44750000000000001</v>
      </c>
      <c r="P286" s="47">
        <f t="shared" si="14"/>
        <v>2.2374999999999998</v>
      </c>
      <c r="Q286" s="42" t="s">
        <v>55</v>
      </c>
      <c r="R286" s="42" t="s">
        <v>32</v>
      </c>
      <c r="S286" s="42" t="s">
        <v>32</v>
      </c>
      <c r="T286" s="42" t="s">
        <v>60</v>
      </c>
      <c r="U286" s="42" t="s">
        <v>189</v>
      </c>
      <c r="V286" s="42" t="s">
        <v>166</v>
      </c>
      <c r="W286" s="42"/>
    </row>
    <row r="287" spans="1:23" ht="24" x14ac:dyDescent="0.25">
      <c r="A287" s="42" t="s">
        <v>1037</v>
      </c>
      <c r="B287" s="42" t="s">
        <v>1038</v>
      </c>
      <c r="C287" s="42" t="s">
        <v>1042</v>
      </c>
      <c r="D287" s="49" t="s">
        <v>66</v>
      </c>
      <c r="E287" s="42" t="s">
        <v>1043</v>
      </c>
      <c r="F287" s="42" t="s">
        <v>468</v>
      </c>
      <c r="G287" s="42" t="s">
        <v>1041</v>
      </c>
      <c r="H287" s="42" t="s">
        <v>462</v>
      </c>
      <c r="I287" s="42" t="s">
        <v>261</v>
      </c>
      <c r="J287" s="42">
        <v>10</v>
      </c>
      <c r="K287" s="42">
        <v>2</v>
      </c>
      <c r="L287" s="44">
        <f t="shared" si="12"/>
        <v>5</v>
      </c>
      <c r="M287" s="45">
        <v>0.1</v>
      </c>
      <c r="N287" s="45">
        <v>0.15</v>
      </c>
      <c r="O287" s="46">
        <f t="shared" si="13"/>
        <v>0.23499999999999999</v>
      </c>
      <c r="P287" s="47">
        <f t="shared" si="14"/>
        <v>1.1749999999999998</v>
      </c>
      <c r="Q287" s="42" t="s">
        <v>66</v>
      </c>
      <c r="R287" s="42" t="s">
        <v>66</v>
      </c>
      <c r="S287" s="42" t="s">
        <v>66</v>
      </c>
      <c r="T287" s="42" t="s">
        <v>469</v>
      </c>
      <c r="U287" s="42" t="s">
        <v>67</v>
      </c>
      <c r="V287" s="42" t="s">
        <v>166</v>
      </c>
      <c r="W287" s="42"/>
    </row>
    <row r="288" spans="1:23" ht="36" x14ac:dyDescent="0.25">
      <c r="A288" s="42" t="s">
        <v>1037</v>
      </c>
      <c r="B288" s="42" t="s">
        <v>1044</v>
      </c>
      <c r="C288" s="42" t="s">
        <v>1045</v>
      </c>
      <c r="D288" s="49" t="s">
        <v>66</v>
      </c>
      <c r="E288" s="42" t="s">
        <v>1046</v>
      </c>
      <c r="F288" s="42" t="s">
        <v>468</v>
      </c>
      <c r="G288" s="42" t="s">
        <v>1047</v>
      </c>
      <c r="H288" s="42" t="s">
        <v>462</v>
      </c>
      <c r="I288" s="42" t="s">
        <v>261</v>
      </c>
      <c r="J288" s="42">
        <v>3</v>
      </c>
      <c r="K288" s="42">
        <v>1</v>
      </c>
      <c r="L288" s="44">
        <f t="shared" si="12"/>
        <v>3</v>
      </c>
      <c r="M288" s="45">
        <v>0.1</v>
      </c>
      <c r="N288" s="45">
        <v>0.05</v>
      </c>
      <c r="O288" s="46">
        <f t="shared" si="13"/>
        <v>0.14500000000000002</v>
      </c>
      <c r="P288" s="47">
        <f t="shared" si="14"/>
        <v>0.43500000000000005</v>
      </c>
      <c r="Q288" s="42" t="s">
        <v>66</v>
      </c>
      <c r="R288" s="42" t="s">
        <v>66</v>
      </c>
      <c r="S288" s="42" t="s">
        <v>66</v>
      </c>
      <c r="T288" s="42" t="s">
        <v>469</v>
      </c>
      <c r="U288" s="42" t="s">
        <v>67</v>
      </c>
      <c r="V288" s="42" t="s">
        <v>166</v>
      </c>
      <c r="W288" s="42"/>
    </row>
    <row r="289" spans="1:23" ht="36" x14ac:dyDescent="0.25">
      <c r="A289" s="42" t="s">
        <v>1037</v>
      </c>
      <c r="B289" s="42" t="s">
        <v>1048</v>
      </c>
      <c r="C289" s="42" t="s">
        <v>1049</v>
      </c>
      <c r="D289" s="49" t="s">
        <v>66</v>
      </c>
      <c r="E289" s="42" t="s">
        <v>1050</v>
      </c>
      <c r="F289" s="42" t="s">
        <v>468</v>
      </c>
      <c r="G289" s="42" t="s">
        <v>1051</v>
      </c>
      <c r="H289" s="42" t="s">
        <v>462</v>
      </c>
      <c r="I289" s="42" t="s">
        <v>261</v>
      </c>
      <c r="J289" s="42">
        <v>1</v>
      </c>
      <c r="K289" s="42">
        <v>1</v>
      </c>
      <c r="L289" s="44">
        <f t="shared" si="12"/>
        <v>1</v>
      </c>
      <c r="M289" s="45">
        <v>0.1</v>
      </c>
      <c r="N289" s="45">
        <v>0.05</v>
      </c>
      <c r="O289" s="46">
        <f t="shared" si="13"/>
        <v>0.14500000000000002</v>
      </c>
      <c r="P289" s="47">
        <f t="shared" si="14"/>
        <v>0.14500000000000002</v>
      </c>
      <c r="Q289" s="42" t="s">
        <v>66</v>
      </c>
      <c r="R289" s="42" t="s">
        <v>66</v>
      </c>
      <c r="S289" s="42" t="s">
        <v>66</v>
      </c>
      <c r="T289" s="42" t="s">
        <v>469</v>
      </c>
      <c r="U289" s="42" t="s">
        <v>67</v>
      </c>
      <c r="V289" s="42" t="s">
        <v>166</v>
      </c>
      <c r="W289" s="42"/>
    </row>
    <row r="290" spans="1:23" ht="36" x14ac:dyDescent="0.25">
      <c r="A290" s="42" t="s">
        <v>1037</v>
      </c>
      <c r="B290" s="42" t="s">
        <v>1052</v>
      </c>
      <c r="C290" s="42" t="s">
        <v>1053</v>
      </c>
      <c r="D290" s="43" t="s">
        <v>26</v>
      </c>
      <c r="E290" s="42" t="s">
        <v>1054</v>
      </c>
      <c r="F290" s="42" t="s">
        <v>492</v>
      </c>
      <c r="G290" s="42" t="s">
        <v>1055</v>
      </c>
      <c r="H290" s="42" t="s">
        <v>494</v>
      </c>
      <c r="I290" s="42" t="s">
        <v>182</v>
      </c>
      <c r="J290" s="42">
        <v>5</v>
      </c>
      <c r="K290" s="42">
        <v>2</v>
      </c>
      <c r="L290" s="44">
        <f t="shared" si="12"/>
        <v>2.5</v>
      </c>
      <c r="M290" s="45">
        <v>0.6</v>
      </c>
      <c r="N290" s="45">
        <v>0.15</v>
      </c>
      <c r="O290" s="46">
        <f t="shared" si="13"/>
        <v>0.65999999999999992</v>
      </c>
      <c r="P290" s="47">
        <f t="shared" si="14"/>
        <v>1.65</v>
      </c>
      <c r="Q290" s="42" t="s">
        <v>55</v>
      </c>
      <c r="R290" s="42" t="s">
        <v>32</v>
      </c>
      <c r="S290" s="42" t="s">
        <v>33</v>
      </c>
      <c r="T290" s="42" t="s">
        <v>34</v>
      </c>
      <c r="U290" s="42" t="s">
        <v>67</v>
      </c>
      <c r="V290" s="42" t="s">
        <v>166</v>
      </c>
      <c r="W290" s="42"/>
    </row>
    <row r="291" spans="1:23" ht="36" x14ac:dyDescent="0.25">
      <c r="A291" s="42" t="s">
        <v>1037</v>
      </c>
      <c r="B291" s="42" t="s">
        <v>1052</v>
      </c>
      <c r="C291" s="42" t="s">
        <v>1056</v>
      </c>
      <c r="D291" s="48" t="s">
        <v>55</v>
      </c>
      <c r="E291" s="42" t="s">
        <v>1057</v>
      </c>
      <c r="F291" s="42" t="s">
        <v>497</v>
      </c>
      <c r="G291" s="42" t="s">
        <v>1055</v>
      </c>
      <c r="H291" s="42" t="s">
        <v>449</v>
      </c>
      <c r="I291" s="42" t="s">
        <v>182</v>
      </c>
      <c r="J291" s="42">
        <v>5</v>
      </c>
      <c r="K291" s="42">
        <v>2</v>
      </c>
      <c r="L291" s="44">
        <f t="shared" si="12"/>
        <v>2.5</v>
      </c>
      <c r="M291" s="45">
        <v>0.35</v>
      </c>
      <c r="N291" s="45">
        <v>0.15</v>
      </c>
      <c r="O291" s="46">
        <f t="shared" si="13"/>
        <v>0.44750000000000001</v>
      </c>
      <c r="P291" s="47">
        <f t="shared" si="14"/>
        <v>1.1187499999999999</v>
      </c>
      <c r="Q291" s="42" t="s">
        <v>55</v>
      </c>
      <c r="R291" s="42" t="s">
        <v>32</v>
      </c>
      <c r="S291" s="42" t="s">
        <v>32</v>
      </c>
      <c r="T291" s="42" t="s">
        <v>60</v>
      </c>
      <c r="U291" s="42" t="s">
        <v>189</v>
      </c>
      <c r="V291" s="42" t="s">
        <v>166</v>
      </c>
      <c r="W291" s="42"/>
    </row>
    <row r="292" spans="1:23" ht="24" x14ac:dyDescent="0.25">
      <c r="A292" s="42" t="s">
        <v>1037</v>
      </c>
      <c r="B292" s="42" t="s">
        <v>1058</v>
      </c>
      <c r="C292" s="42" t="s">
        <v>1059</v>
      </c>
      <c r="D292" s="48" t="s">
        <v>55</v>
      </c>
      <c r="E292" s="42" t="s">
        <v>1060</v>
      </c>
      <c r="F292" s="42" t="s">
        <v>497</v>
      </c>
      <c r="G292" s="42" t="s">
        <v>1061</v>
      </c>
      <c r="H292" s="42" t="s">
        <v>449</v>
      </c>
      <c r="I292" s="42" t="s">
        <v>182</v>
      </c>
      <c r="J292" s="42">
        <v>10</v>
      </c>
      <c r="K292" s="42">
        <v>2</v>
      </c>
      <c r="L292" s="44">
        <f t="shared" si="12"/>
        <v>5</v>
      </c>
      <c r="M292" s="45">
        <v>0.35</v>
      </c>
      <c r="N292" s="45">
        <v>0.15</v>
      </c>
      <c r="O292" s="46">
        <f t="shared" si="13"/>
        <v>0.44750000000000001</v>
      </c>
      <c r="P292" s="47">
        <f t="shared" si="14"/>
        <v>2.2374999999999998</v>
      </c>
      <c r="Q292" s="42" t="s">
        <v>55</v>
      </c>
      <c r="R292" s="42" t="s">
        <v>32</v>
      </c>
      <c r="S292" s="42" t="s">
        <v>32</v>
      </c>
      <c r="T292" s="42" t="s">
        <v>60</v>
      </c>
      <c r="U292" s="42" t="s">
        <v>96</v>
      </c>
      <c r="V292" s="42" t="s">
        <v>166</v>
      </c>
      <c r="W292" s="42"/>
    </row>
    <row r="293" spans="1:23" ht="24" x14ac:dyDescent="0.25">
      <c r="A293" s="42" t="s">
        <v>1037</v>
      </c>
      <c r="B293" s="42" t="s">
        <v>1058</v>
      </c>
      <c r="C293" s="42" t="s">
        <v>1062</v>
      </c>
      <c r="D293" s="48" t="s">
        <v>55</v>
      </c>
      <c r="E293" s="42" t="s">
        <v>1063</v>
      </c>
      <c r="F293" s="42" t="s">
        <v>447</v>
      </c>
      <c r="G293" s="42" t="s">
        <v>1061</v>
      </c>
      <c r="H293" s="42" t="s">
        <v>449</v>
      </c>
      <c r="I293" s="42" t="s">
        <v>182</v>
      </c>
      <c r="J293" s="42">
        <v>10</v>
      </c>
      <c r="K293" s="42">
        <v>2</v>
      </c>
      <c r="L293" s="44">
        <f t="shared" si="12"/>
        <v>5</v>
      </c>
      <c r="M293" s="45">
        <v>0.35</v>
      </c>
      <c r="N293" s="45">
        <v>0.15</v>
      </c>
      <c r="O293" s="46">
        <f t="shared" si="13"/>
        <v>0.44750000000000001</v>
      </c>
      <c r="P293" s="47">
        <f t="shared" si="14"/>
        <v>2.2374999999999998</v>
      </c>
      <c r="Q293" s="42" t="s">
        <v>55</v>
      </c>
      <c r="R293" s="42" t="s">
        <v>32</v>
      </c>
      <c r="S293" s="42" t="s">
        <v>32</v>
      </c>
      <c r="T293" s="42" t="s">
        <v>60</v>
      </c>
      <c r="U293" s="42" t="s">
        <v>67</v>
      </c>
      <c r="V293" s="42" t="s">
        <v>166</v>
      </c>
      <c r="W293" s="42"/>
    </row>
    <row r="294" spans="1:23" ht="36" x14ac:dyDescent="0.25">
      <c r="A294" s="42" t="s">
        <v>1037</v>
      </c>
      <c r="B294" s="42" t="s">
        <v>1064</v>
      </c>
      <c r="C294" s="42" t="s">
        <v>1065</v>
      </c>
      <c r="D294" s="49" t="s">
        <v>66</v>
      </c>
      <c r="E294" s="42" t="s">
        <v>1066</v>
      </c>
      <c r="F294" s="42" t="s">
        <v>461</v>
      </c>
      <c r="G294" s="42" t="s">
        <v>1067</v>
      </c>
      <c r="H294" s="42" t="s">
        <v>462</v>
      </c>
      <c r="I294" s="42" t="s">
        <v>182</v>
      </c>
      <c r="J294" s="42">
        <v>2</v>
      </c>
      <c r="K294" s="42">
        <v>1</v>
      </c>
      <c r="L294" s="44">
        <f t="shared" si="12"/>
        <v>2</v>
      </c>
      <c r="M294" s="45">
        <v>0.1</v>
      </c>
      <c r="N294" s="45">
        <v>0.05</v>
      </c>
      <c r="O294" s="46">
        <f t="shared" si="13"/>
        <v>0.14500000000000002</v>
      </c>
      <c r="P294" s="47">
        <f t="shared" si="14"/>
        <v>0.29000000000000004</v>
      </c>
      <c r="Q294" s="42" t="s">
        <v>66</v>
      </c>
      <c r="R294" s="42" t="s">
        <v>66</v>
      </c>
      <c r="S294" s="42" t="s">
        <v>66</v>
      </c>
      <c r="T294" s="42" t="s">
        <v>463</v>
      </c>
      <c r="U294" s="42" t="s">
        <v>96</v>
      </c>
      <c r="V294" s="42" t="s">
        <v>166</v>
      </c>
      <c r="W294" s="42"/>
    </row>
    <row r="295" spans="1:23" ht="36" x14ac:dyDescent="0.25">
      <c r="A295" s="42" t="s">
        <v>1037</v>
      </c>
      <c r="B295" s="42" t="s">
        <v>1068</v>
      </c>
      <c r="C295" s="42" t="s">
        <v>1069</v>
      </c>
      <c r="D295" s="49" t="s">
        <v>66</v>
      </c>
      <c r="E295" s="42" t="s">
        <v>1070</v>
      </c>
      <c r="F295" s="42" t="s">
        <v>472</v>
      </c>
      <c r="G295" s="42" t="s">
        <v>1071</v>
      </c>
      <c r="H295" s="42" t="s">
        <v>462</v>
      </c>
      <c r="I295" s="42" t="s">
        <v>261</v>
      </c>
      <c r="J295" s="42">
        <v>5</v>
      </c>
      <c r="K295" s="42">
        <v>1</v>
      </c>
      <c r="L295" s="44">
        <f t="shared" si="12"/>
        <v>5</v>
      </c>
      <c r="M295" s="45">
        <v>0.1</v>
      </c>
      <c r="N295" s="45">
        <v>0.05</v>
      </c>
      <c r="O295" s="46">
        <f t="shared" si="13"/>
        <v>0.14500000000000002</v>
      </c>
      <c r="P295" s="47">
        <f t="shared" si="14"/>
        <v>0.72500000000000009</v>
      </c>
      <c r="Q295" s="42" t="s">
        <v>67</v>
      </c>
      <c r="R295" s="42" t="s">
        <v>66</v>
      </c>
      <c r="S295" s="42" t="s">
        <v>66</v>
      </c>
      <c r="T295" s="42" t="s">
        <v>473</v>
      </c>
      <c r="U295" s="42" t="s">
        <v>67</v>
      </c>
      <c r="V295" s="42" t="s">
        <v>166</v>
      </c>
      <c r="W295" s="42"/>
    </row>
    <row r="296" spans="1:23" ht="24" x14ac:dyDescent="0.25">
      <c r="A296" s="42" t="s">
        <v>1037</v>
      </c>
      <c r="B296" s="42" t="s">
        <v>1072</v>
      </c>
      <c r="C296" s="42" t="s">
        <v>1073</v>
      </c>
      <c r="D296" s="48" t="s">
        <v>55</v>
      </c>
      <c r="E296" s="42" t="s">
        <v>1074</v>
      </c>
      <c r="F296" s="42" t="s">
        <v>447</v>
      </c>
      <c r="G296" s="42" t="s">
        <v>1075</v>
      </c>
      <c r="H296" s="42" t="s">
        <v>449</v>
      </c>
      <c r="I296" s="42" t="s">
        <v>182</v>
      </c>
      <c r="J296" s="42">
        <v>3</v>
      </c>
      <c r="K296" s="42">
        <v>1</v>
      </c>
      <c r="L296" s="44">
        <f t="shared" si="12"/>
        <v>1.5</v>
      </c>
      <c r="M296" s="45">
        <v>0.35</v>
      </c>
      <c r="N296" s="45">
        <v>0.05</v>
      </c>
      <c r="O296" s="46">
        <f t="shared" si="13"/>
        <v>0.38250000000000006</v>
      </c>
      <c r="P296" s="47">
        <f t="shared" si="14"/>
        <v>0.57375000000000009</v>
      </c>
      <c r="Q296" s="42" t="s">
        <v>55</v>
      </c>
      <c r="R296" s="42" t="s">
        <v>32</v>
      </c>
      <c r="S296" s="42" t="s">
        <v>32</v>
      </c>
      <c r="T296" s="42" t="s">
        <v>60</v>
      </c>
      <c r="U296" s="42" t="s">
        <v>67</v>
      </c>
      <c r="V296" s="42" t="s">
        <v>166</v>
      </c>
      <c r="W296" s="42"/>
    </row>
    <row r="297" spans="1:23" ht="36" x14ac:dyDescent="0.25">
      <c r="A297" s="42" t="s">
        <v>1037</v>
      </c>
      <c r="B297" s="42" t="s">
        <v>1072</v>
      </c>
      <c r="C297" s="42" t="s">
        <v>1076</v>
      </c>
      <c r="D297" s="49" t="s">
        <v>66</v>
      </c>
      <c r="E297" s="42" t="s">
        <v>1077</v>
      </c>
      <c r="F297" s="42" t="s">
        <v>468</v>
      </c>
      <c r="G297" s="42" t="s">
        <v>1075</v>
      </c>
      <c r="H297" s="42" t="s">
        <v>462</v>
      </c>
      <c r="I297" s="42" t="s">
        <v>182</v>
      </c>
      <c r="J297" s="42">
        <v>3</v>
      </c>
      <c r="K297" s="42">
        <v>1</v>
      </c>
      <c r="L297" s="44">
        <f t="shared" si="12"/>
        <v>1.5</v>
      </c>
      <c r="M297" s="45">
        <v>0.1</v>
      </c>
      <c r="N297" s="45">
        <v>0.05</v>
      </c>
      <c r="O297" s="46">
        <f t="shared" si="13"/>
        <v>0.14500000000000002</v>
      </c>
      <c r="P297" s="47">
        <f t="shared" si="14"/>
        <v>0.21750000000000003</v>
      </c>
      <c r="Q297" s="42" t="s">
        <v>66</v>
      </c>
      <c r="R297" s="42" t="s">
        <v>66</v>
      </c>
      <c r="S297" s="42" t="s">
        <v>66</v>
      </c>
      <c r="T297" s="42" t="s">
        <v>469</v>
      </c>
      <c r="U297" s="42" t="s">
        <v>67</v>
      </c>
      <c r="V297" s="42" t="s">
        <v>166</v>
      </c>
      <c r="W297" s="42"/>
    </row>
  </sheetData>
  <conditionalFormatting sqref="D2:D297">
    <cfRule type="containsText" dxfId="2" priority="1" operator="containsText" text="High">
      <formula>NOT(ISERROR(SEARCH("High",D2)))</formula>
    </cfRule>
  </conditionalFormatting>
  <conditionalFormatting sqref="D2:D297">
    <cfRule type="containsText" dxfId="1" priority="2" operator="containsText" text="Medium">
      <formula>NOT(ISERROR(SEARCH("Medium",D2)))</formula>
    </cfRule>
  </conditionalFormatting>
  <conditionalFormatting sqref="D2:D297">
    <cfRule type="containsText" dxfId="0" priority="3" operator="containsText" text="Low">
      <formula>NOT(ISERROR(SEARCH("Low",D2)))</formula>
    </cfRule>
  </conditionalFormatting>
  <dataValidations count="2">
    <dataValidation type="list" allowBlank="1" showInputMessage="1" showErrorMessage="1" errorTitle="Invalid Entry" error="Please select High, Medium, or Low." sqref="D2:D297" xr:uid="{C3764EAF-0458-4370-81DB-61964641C1BD}">
      <formula1>"High,Medium,Low"</formula1>
    </dataValidation>
    <dataValidation type="list" allowBlank="1" showInputMessage="1" showErrorMessage="1" errorTitle="Invalid Entry" error="Please select High, Medium, or Low." sqref="Q2:Q297" xr:uid="{F07D90BE-C8CE-4C03-86E2-2C5B8DF516DE}">
      <formula1>"High,Medium,Low"</formula1>
    </dataValidation>
  </dataValidations>
  <pageMargins left="0.75" right="0.75" top="1" bottom="1" header="0.5" footer="0.5"/>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J12"/>
  <sheetViews>
    <sheetView workbookViewId="0"/>
  </sheetViews>
  <sheetFormatPr defaultRowHeight="15" x14ac:dyDescent="0.25"/>
  <cols>
    <col min="1" max="1" width="12" customWidth="1"/>
    <col min="2" max="2" width="22" customWidth="1"/>
    <col min="3" max="3" width="10" customWidth="1"/>
    <col min="4" max="4" width="8" customWidth="1"/>
    <col min="5" max="5" width="10" customWidth="1"/>
    <col min="6" max="6" width="8" customWidth="1"/>
    <col min="7" max="7" width="16" customWidth="1"/>
    <col min="8" max="8" width="18" customWidth="1"/>
    <col min="9" max="10" width="14" customWidth="1"/>
  </cols>
  <sheetData>
    <row r="1" spans="1:10" ht="25.5" x14ac:dyDescent="0.25">
      <c r="A1" s="1" t="s">
        <v>0</v>
      </c>
      <c r="B1" s="1" t="s">
        <v>1078</v>
      </c>
      <c r="C1" s="1" t="s">
        <v>1079</v>
      </c>
      <c r="D1" s="1" t="s">
        <v>26</v>
      </c>
      <c r="E1" s="1" t="s">
        <v>55</v>
      </c>
      <c r="F1" s="1" t="s">
        <v>66</v>
      </c>
      <c r="G1" s="1" t="s">
        <v>1080</v>
      </c>
      <c r="H1" s="1" t="s">
        <v>1081</v>
      </c>
      <c r="I1" s="1" t="s">
        <v>15</v>
      </c>
      <c r="J1" s="1" t="s">
        <v>1082</v>
      </c>
    </row>
    <row r="2" spans="1:10" x14ac:dyDescent="0.25">
      <c r="A2" s="2" t="s">
        <v>23</v>
      </c>
      <c r="B2" s="2" t="s">
        <v>1083</v>
      </c>
      <c r="C2" s="2">
        <f>COUNTIF('All Tasks'!$A:$A,A2)</f>
        <v>61</v>
      </c>
      <c r="D2" s="2">
        <f>COUNTIFS('All Tasks'!$A:$A,A2,'All Tasks'!$D:$D,"High")</f>
        <v>32</v>
      </c>
      <c r="E2" s="2">
        <f>COUNTIFS('All Tasks'!$A:$A,A2,'All Tasks'!$D:$D,"Medium")</f>
        <v>19</v>
      </c>
      <c r="F2" s="2">
        <f>COUNTIFS('All Tasks'!$A:$A,A2,'All Tasks'!$D:$D,"Low")</f>
        <v>10</v>
      </c>
      <c r="G2" s="2">
        <v>39</v>
      </c>
      <c r="H2" s="4">
        <f>AVERAGEIF('All Tasks'!$A:$A,A2,'All Tasks'!$O:$O)</f>
        <v>0.60650819672131151</v>
      </c>
      <c r="I2" s="5">
        <f>SUMIF('All Tasks'!$A:$A,A2,'All Tasks'!$P:$P)</f>
        <v>24.066428571428585</v>
      </c>
      <c r="J2" s="3">
        <f t="shared" ref="J2:J12" si="0">IF(G2&gt;0,I2/G2,0)</f>
        <v>0.61708791208791247</v>
      </c>
    </row>
    <row r="3" spans="1:10" x14ac:dyDescent="0.25">
      <c r="A3" s="2" t="s">
        <v>375</v>
      </c>
      <c r="B3" s="2" t="s">
        <v>1084</v>
      </c>
      <c r="C3" s="2">
        <f>COUNTIF('All Tasks'!$A:$A,A3)</f>
        <v>72</v>
      </c>
      <c r="D3" s="2">
        <f>COUNTIFS('All Tasks'!$A:$A,A3,'All Tasks'!$D:$D,"High")</f>
        <v>15</v>
      </c>
      <c r="E3" s="2">
        <f>COUNTIFS('All Tasks'!$A:$A,A3,'All Tasks'!$D:$D,"Medium")</f>
        <v>43</v>
      </c>
      <c r="F3" s="2">
        <f>COUNTIFS('All Tasks'!$A:$A,A3,'All Tasks'!$D:$D,"Low")</f>
        <v>14</v>
      </c>
      <c r="G3" s="2">
        <v>148</v>
      </c>
      <c r="H3" s="4">
        <f>AVERAGEIF('All Tasks'!$A:$A,A3,'All Tasks'!$O:$O)</f>
        <v>0.48434027777777783</v>
      </c>
      <c r="I3" s="5">
        <f>SUMIF('All Tasks'!$A:$A,A3,'All Tasks'!$P:$P)</f>
        <v>71.953979166666642</v>
      </c>
      <c r="J3" s="3">
        <f t="shared" si="0"/>
        <v>0.48617553490990972</v>
      </c>
    </row>
    <row r="4" spans="1:10" x14ac:dyDescent="0.25">
      <c r="A4" s="2" t="s">
        <v>605</v>
      </c>
      <c r="B4" s="2" t="s">
        <v>1085</v>
      </c>
      <c r="C4" s="2">
        <f>COUNTIF('All Tasks'!$A:$A,A4)</f>
        <v>39</v>
      </c>
      <c r="D4" s="2">
        <f>COUNTIFS('All Tasks'!$A:$A,A4,'All Tasks'!$D:$D,"High")</f>
        <v>11</v>
      </c>
      <c r="E4" s="2">
        <f>COUNTIFS('All Tasks'!$A:$A,A4,'All Tasks'!$D:$D,"Medium")</f>
        <v>19</v>
      </c>
      <c r="F4" s="2">
        <f>COUNTIFS('All Tasks'!$A:$A,A4,'All Tasks'!$D:$D,"Low")</f>
        <v>9</v>
      </c>
      <c r="G4" s="2">
        <v>32</v>
      </c>
      <c r="H4" s="4">
        <f>AVERAGEIF('All Tasks'!$A:$A,A4,'All Tasks'!$O:$O)</f>
        <v>0.46935897435897428</v>
      </c>
      <c r="I4" s="5">
        <f>SUMIF('All Tasks'!$A:$A,A4,'All Tasks'!$P:$P)</f>
        <v>14.789940476190475</v>
      </c>
      <c r="J4" s="3">
        <f t="shared" si="0"/>
        <v>0.46218563988095235</v>
      </c>
    </row>
    <row r="5" spans="1:10" x14ac:dyDescent="0.25">
      <c r="A5" s="2" t="s">
        <v>700</v>
      </c>
      <c r="B5" s="2" t="s">
        <v>1086</v>
      </c>
      <c r="C5" s="2">
        <f>COUNTIF('All Tasks'!$A:$A,A5)</f>
        <v>19</v>
      </c>
      <c r="D5" s="2">
        <f>COUNTIFS('All Tasks'!$A:$A,A5,'All Tasks'!$D:$D,"High")</f>
        <v>6</v>
      </c>
      <c r="E5" s="2">
        <f>COUNTIFS('All Tasks'!$A:$A,A5,'All Tasks'!$D:$D,"Medium")</f>
        <v>8</v>
      </c>
      <c r="F5" s="2">
        <f>COUNTIFS('All Tasks'!$A:$A,A5,'All Tasks'!$D:$D,"Low")</f>
        <v>5</v>
      </c>
      <c r="G5" s="2">
        <v>29</v>
      </c>
      <c r="H5" s="4">
        <f>AVERAGEIF('All Tasks'!$A:$A,A5,'All Tasks'!$O:$O)</f>
        <v>0.42684210526315775</v>
      </c>
      <c r="I5" s="5">
        <f>SUMIF('All Tasks'!$A:$A,A5,'All Tasks'!$P:$P)</f>
        <v>12.334999999999997</v>
      </c>
      <c r="J5" s="3">
        <f t="shared" si="0"/>
        <v>0.42534482758620679</v>
      </c>
    </row>
    <row r="6" spans="1:10" x14ac:dyDescent="0.25">
      <c r="A6" s="2" t="s">
        <v>752</v>
      </c>
      <c r="B6" s="2" t="s">
        <v>1087</v>
      </c>
      <c r="C6" s="2">
        <f>COUNTIF('All Tasks'!$A:$A,A6)</f>
        <v>19</v>
      </c>
      <c r="D6" s="2">
        <f>COUNTIFS('All Tasks'!$A:$A,A6,'All Tasks'!$D:$D,"High")</f>
        <v>4</v>
      </c>
      <c r="E6" s="2">
        <f>COUNTIFS('All Tasks'!$A:$A,A6,'All Tasks'!$D:$D,"Medium")</f>
        <v>10</v>
      </c>
      <c r="F6" s="2">
        <f>COUNTIFS('All Tasks'!$A:$A,A6,'All Tasks'!$D:$D,"Low")</f>
        <v>5</v>
      </c>
      <c r="G6" s="2">
        <v>29</v>
      </c>
      <c r="H6" s="4">
        <f>AVERAGEIF('All Tasks'!$A:$A,A6,'All Tasks'!$O:$O)</f>
        <v>0.43894736842105264</v>
      </c>
      <c r="I6" s="5">
        <f>SUMIF('All Tasks'!$A:$A,A6,'All Tasks'!$P:$P)</f>
        <v>12.786249999999999</v>
      </c>
      <c r="J6" s="3">
        <f t="shared" si="0"/>
        <v>0.44090517241379307</v>
      </c>
    </row>
    <row r="7" spans="1:10" x14ac:dyDescent="0.25">
      <c r="A7" s="2" t="s">
        <v>803</v>
      </c>
      <c r="B7" s="2" t="s">
        <v>1088</v>
      </c>
      <c r="C7" s="2">
        <f>COUNTIF('All Tasks'!$A:$A,A7)</f>
        <v>16</v>
      </c>
      <c r="D7" s="2">
        <f>COUNTIFS('All Tasks'!$A:$A,A7,'All Tasks'!$D:$D,"High")</f>
        <v>2</v>
      </c>
      <c r="E7" s="2">
        <f>COUNTIFS('All Tasks'!$A:$A,A7,'All Tasks'!$D:$D,"Medium")</f>
        <v>7</v>
      </c>
      <c r="F7" s="2">
        <f>COUNTIFS('All Tasks'!$A:$A,A7,'All Tasks'!$D:$D,"Low")</f>
        <v>7</v>
      </c>
      <c r="G7" s="2">
        <v>48</v>
      </c>
      <c r="H7" s="4">
        <f>AVERAGEIF('All Tasks'!$A:$A,A7,'All Tasks'!$O:$O)</f>
        <v>0.34468749999999992</v>
      </c>
      <c r="I7" s="5">
        <f>SUMIF('All Tasks'!$A:$A,A7,'All Tasks'!$P:$P)</f>
        <v>15.832499999999996</v>
      </c>
      <c r="J7" s="3">
        <f t="shared" si="0"/>
        <v>0.32984374999999994</v>
      </c>
    </row>
    <row r="8" spans="1:10" x14ac:dyDescent="0.25">
      <c r="A8" s="2" t="s">
        <v>851</v>
      </c>
      <c r="B8" s="2" t="s">
        <v>1089</v>
      </c>
      <c r="C8" s="2">
        <f>COUNTIF('All Tasks'!$A:$A,A8)</f>
        <v>29</v>
      </c>
      <c r="D8" s="2">
        <f>COUNTIFS('All Tasks'!$A:$A,A8,'All Tasks'!$D:$D,"High")</f>
        <v>11</v>
      </c>
      <c r="E8" s="2">
        <f>COUNTIFS('All Tasks'!$A:$A,A8,'All Tasks'!$D:$D,"Medium")</f>
        <v>13</v>
      </c>
      <c r="F8" s="2">
        <f>COUNTIFS('All Tasks'!$A:$A,A8,'All Tasks'!$D:$D,"Low")</f>
        <v>5</v>
      </c>
      <c r="G8" s="2">
        <v>30</v>
      </c>
      <c r="H8" s="4">
        <f>AVERAGEIF('All Tasks'!$A:$A,A8,'All Tasks'!$O:$O)</f>
        <v>0.50301724137931014</v>
      </c>
      <c r="I8" s="5">
        <f>SUMIF('All Tasks'!$A:$A,A8,'All Tasks'!$P:$P)</f>
        <v>15.254999999999999</v>
      </c>
      <c r="J8" s="3">
        <f t="shared" si="0"/>
        <v>0.50849999999999995</v>
      </c>
    </row>
    <row r="9" spans="1:10" x14ac:dyDescent="0.25">
      <c r="A9" s="2" t="s">
        <v>943</v>
      </c>
      <c r="B9" s="2" t="s">
        <v>1090</v>
      </c>
      <c r="C9" s="2">
        <f>COUNTIF('All Tasks'!$A:$A,A9)</f>
        <v>18</v>
      </c>
      <c r="D9" s="2">
        <f>COUNTIFS('All Tasks'!$A:$A,A9,'All Tasks'!$D:$D,"High")</f>
        <v>6</v>
      </c>
      <c r="E9" s="2">
        <f>COUNTIFS('All Tasks'!$A:$A,A9,'All Tasks'!$D:$D,"Medium")</f>
        <v>8</v>
      </c>
      <c r="F9" s="2">
        <f>COUNTIFS('All Tasks'!$A:$A,A9,'All Tasks'!$D:$D,"Low")</f>
        <v>4</v>
      </c>
      <c r="G9" s="2">
        <v>100</v>
      </c>
      <c r="H9" s="4">
        <f>AVERAGEIF('All Tasks'!$A:$A,A9,'All Tasks'!$O:$O)</f>
        <v>0.48902777777777767</v>
      </c>
      <c r="I9" s="5">
        <f>SUMIF('All Tasks'!$A:$A,A9,'All Tasks'!$P:$P)</f>
        <v>56.462499999999999</v>
      </c>
      <c r="J9" s="3">
        <f t="shared" si="0"/>
        <v>0.56462499999999993</v>
      </c>
    </row>
    <row r="10" spans="1:10" x14ac:dyDescent="0.25">
      <c r="A10" s="2" t="s">
        <v>1002</v>
      </c>
      <c r="B10" s="2" t="s">
        <v>1091</v>
      </c>
      <c r="C10" s="2">
        <f>COUNTIF('All Tasks'!$A:$A,A10)</f>
        <v>11</v>
      </c>
      <c r="D10" s="2">
        <f>COUNTIFS('All Tasks'!$A:$A,A10,'All Tasks'!$D:$D,"High")</f>
        <v>5</v>
      </c>
      <c r="E10" s="2">
        <f>COUNTIFS('All Tasks'!$A:$A,A10,'All Tasks'!$D:$D,"Medium")</f>
        <v>0</v>
      </c>
      <c r="F10" s="2">
        <f>COUNTIFS('All Tasks'!$A:$A,A10,'All Tasks'!$D:$D,"Low")</f>
        <v>6</v>
      </c>
      <c r="G10" s="2">
        <v>11</v>
      </c>
      <c r="H10" s="4">
        <f>AVERAGEIF('All Tasks'!$A:$A,A10,'All Tasks'!$O:$O)</f>
        <v>0.39454545454545453</v>
      </c>
      <c r="I10" s="5">
        <f>SUMIF('All Tasks'!$A:$A,A10,'All Tasks'!$P:$P)</f>
        <v>4.34</v>
      </c>
      <c r="J10" s="3">
        <f t="shared" si="0"/>
        <v>0.39454545454545453</v>
      </c>
    </row>
    <row r="11" spans="1:10" x14ac:dyDescent="0.25">
      <c r="A11" s="2" t="s">
        <v>1037</v>
      </c>
      <c r="B11" s="2" t="s">
        <v>1092</v>
      </c>
      <c r="C11" s="2">
        <f>COUNTIF('All Tasks'!$A:$A,A11)</f>
        <v>12</v>
      </c>
      <c r="D11" s="2">
        <f>COUNTIFS('All Tasks'!$A:$A,A11,'All Tasks'!$D:$D,"High")</f>
        <v>1</v>
      </c>
      <c r="E11" s="2">
        <f>COUNTIFS('All Tasks'!$A:$A,A11,'All Tasks'!$D:$D,"Medium")</f>
        <v>5</v>
      </c>
      <c r="F11" s="2">
        <f>COUNTIFS('All Tasks'!$A:$A,A11,'All Tasks'!$D:$D,"Low")</f>
        <v>6</v>
      </c>
      <c r="G11" s="2">
        <v>39</v>
      </c>
      <c r="H11" s="4">
        <f>AVERAGEIF('All Tasks'!$A:$A,A11,'All Tasks'!$O:$O)</f>
        <v>0.31604166666666667</v>
      </c>
      <c r="I11" s="5">
        <f>SUMIF('All Tasks'!$A:$A,A11,'All Tasks'!$P:$P)</f>
        <v>13.0425</v>
      </c>
      <c r="J11" s="3">
        <f t="shared" si="0"/>
        <v>0.33442307692307693</v>
      </c>
    </row>
    <row r="12" spans="1:10" x14ac:dyDescent="0.25">
      <c r="A12" s="6" t="s">
        <v>1093</v>
      </c>
      <c r="B12" s="6"/>
      <c r="C12" s="6">
        <f>SUM(C2:C11)</f>
        <v>296</v>
      </c>
      <c r="D12" s="6">
        <f>SUM(D2:D11)</f>
        <v>93</v>
      </c>
      <c r="E12" s="6">
        <f>SUM(E2:E11)</f>
        <v>132</v>
      </c>
      <c r="F12" s="6">
        <f>SUM(F2:F11)</f>
        <v>71</v>
      </c>
      <c r="G12" s="6">
        <f>SUM(G2:G11)</f>
        <v>505</v>
      </c>
      <c r="H12" s="7">
        <f>AVERAGE('All Tasks'!$O:$O)</f>
        <v>0.48534459459459517</v>
      </c>
      <c r="I12" s="8">
        <f>SUM(I2:I11)</f>
        <v>240.86409821428569</v>
      </c>
      <c r="J12" s="9">
        <f t="shared" si="0"/>
        <v>0.47695861032531822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96"/>
  <sheetViews>
    <sheetView tabSelected="1" topLeftCell="A18" workbookViewId="0">
      <selection activeCell="J96" sqref="J96"/>
    </sheetView>
  </sheetViews>
  <sheetFormatPr defaultRowHeight="15" x14ac:dyDescent="0.25"/>
  <cols>
    <col min="1" max="1" width="12" customWidth="1"/>
    <col min="2" max="2" width="14" customWidth="1"/>
    <col min="3" max="3" width="45" customWidth="1"/>
    <col min="4" max="4" width="14" customWidth="1"/>
    <col min="5" max="6" width="10" customWidth="1"/>
    <col min="7" max="7" width="16" customWidth="1"/>
    <col min="8" max="8" width="14" customWidth="1"/>
    <col min="9" max="9" width="16" customWidth="1"/>
    <col min="10" max="10" width="14" customWidth="1"/>
    <col min="11" max="11" width="50" customWidth="1"/>
  </cols>
  <sheetData>
    <row r="1" spans="1:11" ht="25.5" x14ac:dyDescent="0.25">
      <c r="A1" s="1" t="s">
        <v>0</v>
      </c>
      <c r="B1" s="1" t="s">
        <v>1</v>
      </c>
      <c r="C1" s="1" t="s">
        <v>1094</v>
      </c>
      <c r="D1" s="1" t="s">
        <v>1095</v>
      </c>
      <c r="E1" s="1" t="s">
        <v>10</v>
      </c>
      <c r="F1" s="1" t="s">
        <v>1096</v>
      </c>
      <c r="G1" s="1" t="s">
        <v>1081</v>
      </c>
      <c r="H1" s="1" t="s">
        <v>15</v>
      </c>
      <c r="I1" s="1" t="s">
        <v>1097</v>
      </c>
      <c r="J1" s="1" t="s">
        <v>1082</v>
      </c>
      <c r="K1" s="1" t="s">
        <v>1098</v>
      </c>
    </row>
    <row r="2" spans="1:11" x14ac:dyDescent="0.25">
      <c r="A2" s="10" t="s">
        <v>23</v>
      </c>
      <c r="B2" s="10" t="s">
        <v>24</v>
      </c>
      <c r="C2" s="10" t="s">
        <v>1099</v>
      </c>
      <c r="D2" s="10">
        <v>10</v>
      </c>
      <c r="E2" s="10">
        <v>1</v>
      </c>
      <c r="F2" s="10">
        <f>COUNTIF('All Tasks'!$B:$B,B2)</f>
        <v>7</v>
      </c>
      <c r="G2" s="11">
        <f>AVERAGEIF('All Tasks'!$B:$B,B2,'All Tasks'!$O:$O)</f>
        <v>0.79428571428571437</v>
      </c>
      <c r="H2" s="12">
        <f>SUMIF('All Tasks'!$B:$B,B2,'All Tasks'!$P:$P)</f>
        <v>7.9428571428571431</v>
      </c>
      <c r="I2" s="12">
        <f t="shared" ref="I2:I33" si="0">D2-H2</f>
        <v>2.0571428571428569</v>
      </c>
      <c r="J2" s="13">
        <f t="shared" ref="J2:J33" si="1">IF(D2&gt;0,H2/D2,0)</f>
        <v>0.79428571428571426</v>
      </c>
      <c r="K2" s="10"/>
    </row>
    <row r="3" spans="1:11" x14ac:dyDescent="0.25">
      <c r="A3" s="10" t="s">
        <v>23</v>
      </c>
      <c r="B3" s="10" t="s">
        <v>73</v>
      </c>
      <c r="C3" s="10" t="s">
        <v>1100</v>
      </c>
      <c r="D3" s="10">
        <v>5</v>
      </c>
      <c r="E3" s="10">
        <v>1</v>
      </c>
      <c r="F3" s="10">
        <f>COUNTIF('All Tasks'!$B:$B,B3)</f>
        <v>10</v>
      </c>
      <c r="G3" s="11">
        <f>AVERAGEIF('All Tasks'!$B:$B,B3,'All Tasks'!$O:$O)</f>
        <v>0.62200000000000011</v>
      </c>
      <c r="H3" s="12">
        <f>SUMIF('All Tasks'!$B:$B,B3,'All Tasks'!$P:$P)</f>
        <v>3.1100000000000003</v>
      </c>
      <c r="I3" s="12">
        <f t="shared" si="0"/>
        <v>1.8899999999999997</v>
      </c>
      <c r="J3" s="13">
        <f t="shared" si="1"/>
        <v>0.62200000000000011</v>
      </c>
      <c r="K3" s="10"/>
    </row>
    <row r="4" spans="1:11" x14ac:dyDescent="0.25">
      <c r="A4" s="10" t="s">
        <v>23</v>
      </c>
      <c r="B4" s="10" t="s">
        <v>130</v>
      </c>
      <c r="C4" s="10" t="s">
        <v>1101</v>
      </c>
      <c r="D4" s="10">
        <v>5</v>
      </c>
      <c r="E4" s="10">
        <v>1</v>
      </c>
      <c r="F4" s="10">
        <f>COUNTIF('All Tasks'!$B:$B,B4)</f>
        <v>5</v>
      </c>
      <c r="G4" s="11">
        <f>AVERAGEIF('All Tasks'!$B:$B,B4,'All Tasks'!$O:$O)</f>
        <v>0.56799999999999984</v>
      </c>
      <c r="H4" s="12">
        <f>SUMIF('All Tasks'!$B:$B,B4,'All Tasks'!$P:$P)</f>
        <v>2.8399999999999994</v>
      </c>
      <c r="I4" s="12">
        <f t="shared" si="0"/>
        <v>2.1600000000000006</v>
      </c>
      <c r="J4" s="13">
        <f t="shared" si="1"/>
        <v>0.56799999999999984</v>
      </c>
      <c r="K4" s="10"/>
    </row>
    <row r="5" spans="1:11" x14ac:dyDescent="0.25">
      <c r="A5" s="10" t="s">
        <v>23</v>
      </c>
      <c r="B5" s="10" t="s">
        <v>160</v>
      </c>
      <c r="C5" s="10" t="s">
        <v>1102</v>
      </c>
      <c r="D5" s="10">
        <v>5</v>
      </c>
      <c r="E5" s="10">
        <v>1</v>
      </c>
      <c r="F5" s="10">
        <f>COUNTIF('All Tasks'!$B:$B,B5)</f>
        <v>7</v>
      </c>
      <c r="G5" s="11">
        <f>AVERAGEIF('All Tasks'!$B:$B,B5,'All Tasks'!$O:$O)</f>
        <v>0.62171428571428566</v>
      </c>
      <c r="H5" s="12">
        <f>SUMIF('All Tasks'!$B:$B,B5,'All Tasks'!$P:$P)</f>
        <v>3.1085714285714285</v>
      </c>
      <c r="I5" s="12">
        <f t="shared" si="0"/>
        <v>1.8914285714285715</v>
      </c>
      <c r="J5" s="13">
        <f t="shared" si="1"/>
        <v>0.62171428571428566</v>
      </c>
      <c r="K5" s="10"/>
    </row>
    <row r="6" spans="1:11" x14ac:dyDescent="0.25">
      <c r="A6" s="10" t="s">
        <v>23</v>
      </c>
      <c r="B6" s="10" t="s">
        <v>202</v>
      </c>
      <c r="C6" s="10" t="s">
        <v>1103</v>
      </c>
      <c r="D6" s="10">
        <v>3</v>
      </c>
      <c r="E6" s="10">
        <v>1</v>
      </c>
      <c r="F6" s="10">
        <f>COUNTIF('All Tasks'!$B:$B,B6)</f>
        <v>8</v>
      </c>
      <c r="G6" s="11">
        <f>AVERAGEIF('All Tasks'!$B:$B,B6,'All Tasks'!$O:$O)</f>
        <v>0.67</v>
      </c>
      <c r="H6" s="12">
        <f>SUMIF('All Tasks'!$B:$B,B6,'All Tasks'!$P:$P)</f>
        <v>2.0100000000000002</v>
      </c>
      <c r="I6" s="12">
        <f t="shared" si="0"/>
        <v>0.98999999999999977</v>
      </c>
      <c r="J6" s="13">
        <f t="shared" si="1"/>
        <v>0.67</v>
      </c>
      <c r="K6" s="10"/>
    </row>
    <row r="7" spans="1:11" x14ac:dyDescent="0.25">
      <c r="A7" s="10" t="s">
        <v>23</v>
      </c>
      <c r="B7" s="10" t="s">
        <v>245</v>
      </c>
      <c r="C7" s="10" t="s">
        <v>1104</v>
      </c>
      <c r="D7" s="10">
        <v>3</v>
      </c>
      <c r="E7" s="10">
        <v>1</v>
      </c>
      <c r="F7" s="10">
        <f>COUNTIF('All Tasks'!$B:$B,B7)</f>
        <v>12</v>
      </c>
      <c r="G7" s="11">
        <f>AVERAGEIF('All Tasks'!$B:$B,B7,'All Tasks'!$O:$O)</f>
        <v>0.63750000000000007</v>
      </c>
      <c r="H7" s="12">
        <f>SUMIF('All Tasks'!$B:$B,B7,'All Tasks'!$P:$P)</f>
        <v>1.9125000000000001</v>
      </c>
      <c r="I7" s="12">
        <f t="shared" si="0"/>
        <v>1.0874999999999999</v>
      </c>
      <c r="J7" s="13">
        <f t="shared" si="1"/>
        <v>0.63750000000000007</v>
      </c>
      <c r="K7" s="10"/>
    </row>
    <row r="8" spans="1:11" x14ac:dyDescent="0.25">
      <c r="A8" s="10" t="s">
        <v>23</v>
      </c>
      <c r="B8" s="10" t="s">
        <v>309</v>
      </c>
      <c r="C8" s="10" t="s">
        <v>1105</v>
      </c>
      <c r="D8" s="10">
        <v>3</v>
      </c>
      <c r="E8" s="10">
        <v>2</v>
      </c>
      <c r="F8" s="10">
        <f>COUNTIF('All Tasks'!$B:$B,B8)</f>
        <v>6</v>
      </c>
      <c r="G8" s="11">
        <f>AVERAGEIF('All Tasks'!$B:$B,B8,'All Tasks'!$O:$O)</f>
        <v>0.51833333333333331</v>
      </c>
      <c r="H8" s="12">
        <f>SUMIF('All Tasks'!$B:$B,B8,'All Tasks'!$P:$P)</f>
        <v>1.5549999999999999</v>
      </c>
      <c r="I8" s="12">
        <f t="shared" si="0"/>
        <v>1.4450000000000001</v>
      </c>
      <c r="J8" s="13">
        <f t="shared" si="1"/>
        <v>0.51833333333333331</v>
      </c>
      <c r="K8" s="10"/>
    </row>
    <row r="9" spans="1:11" x14ac:dyDescent="0.25">
      <c r="A9" s="10" t="s">
        <v>23</v>
      </c>
      <c r="B9" s="10" t="s">
        <v>342</v>
      </c>
      <c r="C9" s="10" t="s">
        <v>1106</v>
      </c>
      <c r="D9" s="10">
        <v>5</v>
      </c>
      <c r="E9" s="10">
        <v>1</v>
      </c>
      <c r="F9" s="10">
        <f>COUNTIF('All Tasks'!$B:$B,B9)</f>
        <v>6</v>
      </c>
      <c r="G9" s="11">
        <f>AVERAGEIF('All Tasks'!$B:$B,B9,'All Tasks'!$O:$O)</f>
        <v>0.31749999999999995</v>
      </c>
      <c r="H9" s="12">
        <f>SUMIF('All Tasks'!$B:$B,B9,'All Tasks'!$P:$P)</f>
        <v>1.5875000000000001</v>
      </c>
      <c r="I9" s="12">
        <f t="shared" si="0"/>
        <v>3.4124999999999996</v>
      </c>
      <c r="J9" s="13">
        <f t="shared" si="1"/>
        <v>0.3175</v>
      </c>
      <c r="K9" s="10"/>
    </row>
    <row r="10" spans="1:11" x14ac:dyDescent="0.25">
      <c r="A10" s="14"/>
      <c r="B10" s="14" t="s">
        <v>1107</v>
      </c>
      <c r="C10" s="14" t="s">
        <v>1083</v>
      </c>
      <c r="D10" s="14">
        <f>SUM(D2:D9)</f>
        <v>39</v>
      </c>
      <c r="E10" s="14"/>
      <c r="F10" s="14"/>
      <c r="G10" s="14"/>
      <c r="H10" s="15">
        <f>SUM(H2:H9)</f>
        <v>24.06642857142857</v>
      </c>
      <c r="I10" s="15">
        <f t="shared" si="0"/>
        <v>14.93357142857143</v>
      </c>
      <c r="J10" s="16">
        <f t="shared" si="1"/>
        <v>0.61708791208791203</v>
      </c>
      <c r="K10" s="14"/>
    </row>
    <row r="11" spans="1:11" x14ac:dyDescent="0.25">
      <c r="A11" s="10" t="s">
        <v>375</v>
      </c>
      <c r="B11" s="10" t="s">
        <v>376</v>
      </c>
      <c r="C11" s="10" t="s">
        <v>1108</v>
      </c>
      <c r="D11" s="10">
        <v>5</v>
      </c>
      <c r="E11" s="10">
        <v>2</v>
      </c>
      <c r="F11" s="10">
        <f>COUNTIF('All Tasks'!$B:$B,B11)</f>
        <v>6</v>
      </c>
      <c r="G11" s="11">
        <f>AVERAGEIF('All Tasks'!$B:$B,B11,'All Tasks'!$O:$O)</f>
        <v>0.56666666666666665</v>
      </c>
      <c r="H11" s="12">
        <f>SUMIF('All Tasks'!$B:$B,B11,'All Tasks'!$P:$P)</f>
        <v>2.8333333333333335</v>
      </c>
      <c r="I11" s="12">
        <f t="shared" si="0"/>
        <v>2.1666666666666665</v>
      </c>
      <c r="J11" s="13">
        <f t="shared" si="1"/>
        <v>0.56666666666666665</v>
      </c>
      <c r="K11" s="10"/>
    </row>
    <row r="12" spans="1:11" x14ac:dyDescent="0.25">
      <c r="A12" s="10" t="s">
        <v>375</v>
      </c>
      <c r="B12" s="10" t="s">
        <v>408</v>
      </c>
      <c r="C12" s="10" t="s">
        <v>1109</v>
      </c>
      <c r="D12" s="10">
        <v>5</v>
      </c>
      <c r="E12" s="10">
        <v>1</v>
      </c>
      <c r="F12" s="10">
        <f>COUNTIF('All Tasks'!$B:$B,B12)</f>
        <v>6</v>
      </c>
      <c r="G12" s="11">
        <f>AVERAGEIF('All Tasks'!$B:$B,B12,'All Tasks'!$O:$O)</f>
        <v>0.48333333333333334</v>
      </c>
      <c r="H12" s="12">
        <f>SUMIF('All Tasks'!$B:$B,B12,'All Tasks'!$P:$P)</f>
        <v>2.4166666666666665</v>
      </c>
      <c r="I12" s="12">
        <f t="shared" si="0"/>
        <v>2.5833333333333335</v>
      </c>
      <c r="J12" s="13">
        <f t="shared" si="1"/>
        <v>0.48333333333333328</v>
      </c>
      <c r="K12" s="10"/>
    </row>
    <row r="13" spans="1:11" x14ac:dyDescent="0.25">
      <c r="A13" s="10" t="s">
        <v>375</v>
      </c>
      <c r="B13" s="10" t="s">
        <v>444</v>
      </c>
      <c r="C13" s="10" t="s">
        <v>1110</v>
      </c>
      <c r="D13" s="10">
        <v>45</v>
      </c>
      <c r="E13" s="10">
        <v>3</v>
      </c>
      <c r="F13" s="10">
        <f>COUNTIF('All Tasks'!$B:$B,B13)</f>
        <v>9</v>
      </c>
      <c r="G13" s="11">
        <f>AVERAGEIF('All Tasks'!$B:$B,B13,'All Tasks'!$O:$O)</f>
        <v>0.52500000000000002</v>
      </c>
      <c r="H13" s="12">
        <f>SUMIF('All Tasks'!$B:$B,B13,'All Tasks'!$P:$P)</f>
        <v>23.625</v>
      </c>
      <c r="I13" s="12">
        <f t="shared" si="0"/>
        <v>21.375</v>
      </c>
      <c r="J13" s="13">
        <f t="shared" si="1"/>
        <v>0.52500000000000002</v>
      </c>
      <c r="K13" s="10"/>
    </row>
    <row r="14" spans="1:11" x14ac:dyDescent="0.25">
      <c r="A14" s="10" t="s">
        <v>375</v>
      </c>
      <c r="B14" s="10" t="s">
        <v>474</v>
      </c>
      <c r="C14" s="10" t="s">
        <v>1111</v>
      </c>
      <c r="D14" s="10">
        <v>30</v>
      </c>
      <c r="E14" s="10">
        <v>3</v>
      </c>
      <c r="F14" s="10">
        <f>COUNTIF('All Tasks'!$B:$B,B14)</f>
        <v>6</v>
      </c>
      <c r="G14" s="11">
        <f>AVERAGEIF('All Tasks'!$B:$B,B14,'All Tasks'!$O:$O)</f>
        <v>0.45</v>
      </c>
      <c r="H14" s="12">
        <f>SUMIF('All Tasks'!$B:$B,B14,'All Tasks'!$P:$P)</f>
        <v>13.5</v>
      </c>
      <c r="I14" s="12">
        <f t="shared" si="0"/>
        <v>16.5</v>
      </c>
      <c r="J14" s="13">
        <f t="shared" si="1"/>
        <v>0.45</v>
      </c>
      <c r="K14" s="10"/>
    </row>
    <row r="15" spans="1:11" x14ac:dyDescent="0.25">
      <c r="A15" s="10" t="s">
        <v>375</v>
      </c>
      <c r="B15" s="10" t="s">
        <v>489</v>
      </c>
      <c r="C15" s="10" t="s">
        <v>1112</v>
      </c>
      <c r="D15" s="10">
        <v>20</v>
      </c>
      <c r="E15" s="10">
        <v>2</v>
      </c>
      <c r="F15" s="10">
        <f>COUNTIF('All Tasks'!$B:$B,B15)</f>
        <v>6</v>
      </c>
      <c r="G15" s="11">
        <f>AVERAGEIF('All Tasks'!$B:$B,B15,'All Tasks'!$O:$O)</f>
        <v>0.51250000000000007</v>
      </c>
      <c r="H15" s="12">
        <f>SUMIF('All Tasks'!$B:$B,B15,'All Tasks'!$P:$P)</f>
        <v>10.25</v>
      </c>
      <c r="I15" s="12">
        <f t="shared" si="0"/>
        <v>9.75</v>
      </c>
      <c r="J15" s="13">
        <f t="shared" si="1"/>
        <v>0.51249999999999996</v>
      </c>
      <c r="K15" s="10"/>
    </row>
    <row r="16" spans="1:11" x14ac:dyDescent="0.25">
      <c r="A16" s="10" t="s">
        <v>375</v>
      </c>
      <c r="B16" s="10" t="s">
        <v>506</v>
      </c>
      <c r="C16" s="10" t="s">
        <v>1113</v>
      </c>
      <c r="D16" s="10">
        <v>8</v>
      </c>
      <c r="E16" s="10">
        <v>1</v>
      </c>
      <c r="F16" s="10">
        <f>COUNTIF('All Tasks'!$B:$B,B16)</f>
        <v>5</v>
      </c>
      <c r="G16" s="11">
        <f>AVERAGEIF('All Tasks'!$B:$B,B16,'All Tasks'!$O:$O)</f>
        <v>0.52399999999999991</v>
      </c>
      <c r="H16" s="12">
        <f>SUMIF('All Tasks'!$B:$B,B16,'All Tasks'!$P:$P)</f>
        <v>4.1920000000000002</v>
      </c>
      <c r="I16" s="12">
        <f t="shared" si="0"/>
        <v>3.8079999999999998</v>
      </c>
      <c r="J16" s="13">
        <f t="shared" si="1"/>
        <v>0.52400000000000002</v>
      </c>
      <c r="K16" s="10"/>
    </row>
    <row r="17" spans="1:11" x14ac:dyDescent="0.25">
      <c r="A17" s="10" t="s">
        <v>375</v>
      </c>
      <c r="B17" s="10" t="s">
        <v>520</v>
      </c>
      <c r="C17" s="10" t="s">
        <v>1114</v>
      </c>
      <c r="D17" s="10">
        <v>16</v>
      </c>
      <c r="E17" s="10">
        <v>2</v>
      </c>
      <c r="F17" s="10">
        <f>COUNTIF('All Tasks'!$B:$B,B17)</f>
        <v>6</v>
      </c>
      <c r="G17" s="11">
        <f>AVERAGEIF('All Tasks'!$B:$B,B17,'All Tasks'!$O:$O)</f>
        <v>0.39791666666666664</v>
      </c>
      <c r="H17" s="12">
        <f>SUMIF('All Tasks'!$B:$B,B17,'All Tasks'!$P:$P)</f>
        <v>6.3666666666666671</v>
      </c>
      <c r="I17" s="12">
        <f t="shared" si="0"/>
        <v>9.6333333333333329</v>
      </c>
      <c r="J17" s="13">
        <f t="shared" si="1"/>
        <v>0.3979166666666667</v>
      </c>
      <c r="K17" s="10"/>
    </row>
    <row r="18" spans="1:11" x14ac:dyDescent="0.25">
      <c r="A18" s="10" t="s">
        <v>375</v>
      </c>
      <c r="B18" s="10" t="s">
        <v>536</v>
      </c>
      <c r="C18" s="10" t="s">
        <v>1115</v>
      </c>
      <c r="D18" s="10">
        <v>5</v>
      </c>
      <c r="E18" s="10">
        <v>1</v>
      </c>
      <c r="F18" s="10">
        <f>COUNTIF('All Tasks'!$B:$B,B18)</f>
        <v>8</v>
      </c>
      <c r="G18" s="11">
        <f>AVERAGEIF('All Tasks'!$B:$B,B18,'All Tasks'!$O:$O)</f>
        <v>0.47406249999999994</v>
      </c>
      <c r="H18" s="12">
        <f>SUMIF('All Tasks'!$B:$B,B18,'All Tasks'!$P:$P)</f>
        <v>2.3703125000000003</v>
      </c>
      <c r="I18" s="12">
        <f t="shared" si="0"/>
        <v>2.6296874999999997</v>
      </c>
      <c r="J18" s="13">
        <f t="shared" si="1"/>
        <v>0.47406250000000005</v>
      </c>
      <c r="K18" s="10"/>
    </row>
    <row r="19" spans="1:11" x14ac:dyDescent="0.25">
      <c r="A19" s="10" t="s">
        <v>375</v>
      </c>
      <c r="B19" s="10" t="s">
        <v>555</v>
      </c>
      <c r="C19" s="10" t="s">
        <v>1116</v>
      </c>
      <c r="D19" s="10">
        <v>5</v>
      </c>
      <c r="E19" s="10">
        <v>1</v>
      </c>
      <c r="F19" s="10">
        <f>COUNTIF('All Tasks'!$B:$B,B19)</f>
        <v>5</v>
      </c>
      <c r="G19" s="11">
        <f>AVERAGEIF('All Tasks'!$B:$B,B19,'All Tasks'!$O:$O)</f>
        <v>0.44749999999999995</v>
      </c>
      <c r="H19" s="12">
        <f>SUMIF('All Tasks'!$B:$B,B19,'All Tasks'!$P:$P)</f>
        <v>2.2374999999999998</v>
      </c>
      <c r="I19" s="12">
        <f t="shared" si="0"/>
        <v>2.7625000000000002</v>
      </c>
      <c r="J19" s="13">
        <f t="shared" si="1"/>
        <v>0.44749999999999995</v>
      </c>
      <c r="K19" s="10"/>
    </row>
    <row r="20" spans="1:11" x14ac:dyDescent="0.25">
      <c r="A20" s="10" t="s">
        <v>375</v>
      </c>
      <c r="B20" s="10" t="s">
        <v>567</v>
      </c>
      <c r="C20" s="10" t="s">
        <v>1117</v>
      </c>
      <c r="D20" s="10">
        <v>3</v>
      </c>
      <c r="E20" s="10">
        <v>1</v>
      </c>
      <c r="F20" s="10">
        <f>COUNTIF('All Tasks'!$B:$B,B20)</f>
        <v>6</v>
      </c>
      <c r="G20" s="11">
        <f>AVERAGEIF('All Tasks'!$B:$B,B20,'All Tasks'!$O:$O)</f>
        <v>0.51249999999999996</v>
      </c>
      <c r="H20" s="12">
        <f>SUMIF('All Tasks'!$B:$B,B20,'All Tasks'!$P:$P)</f>
        <v>1.5374999999999999</v>
      </c>
      <c r="I20" s="12">
        <f t="shared" si="0"/>
        <v>1.4625000000000001</v>
      </c>
      <c r="J20" s="13">
        <f t="shared" si="1"/>
        <v>0.51249999999999996</v>
      </c>
      <c r="K20" s="10"/>
    </row>
    <row r="21" spans="1:11" x14ac:dyDescent="0.25">
      <c r="A21" s="10" t="s">
        <v>375</v>
      </c>
      <c r="B21" s="10" t="s">
        <v>581</v>
      </c>
      <c r="C21" s="10" t="s">
        <v>1118</v>
      </c>
      <c r="D21" s="10">
        <v>3</v>
      </c>
      <c r="E21" s="10">
        <v>1</v>
      </c>
      <c r="F21" s="10">
        <f>COUNTIF('All Tasks'!$B:$B,B21)</f>
        <v>4</v>
      </c>
      <c r="G21" s="11">
        <f>AVERAGEIF('All Tasks'!$B:$B,B21,'All Tasks'!$O:$O)</f>
        <v>0.41499999999999992</v>
      </c>
      <c r="H21" s="12">
        <f>SUMIF('All Tasks'!$B:$B,B21,'All Tasks'!$P:$P)</f>
        <v>1.2449999999999997</v>
      </c>
      <c r="I21" s="12">
        <f t="shared" si="0"/>
        <v>1.7550000000000003</v>
      </c>
      <c r="J21" s="13">
        <f t="shared" si="1"/>
        <v>0.41499999999999987</v>
      </c>
      <c r="K21" s="10"/>
    </row>
    <row r="22" spans="1:11" x14ac:dyDescent="0.25">
      <c r="A22" s="10" t="s">
        <v>375</v>
      </c>
      <c r="B22" s="10" t="s">
        <v>592</v>
      </c>
      <c r="C22" s="10" t="s">
        <v>1119</v>
      </c>
      <c r="D22" s="10">
        <v>3</v>
      </c>
      <c r="E22" s="10">
        <v>1</v>
      </c>
      <c r="F22" s="10">
        <f>COUNTIF('All Tasks'!$B:$B,B22)</f>
        <v>5</v>
      </c>
      <c r="G22" s="11">
        <f>AVERAGEIF('All Tasks'!$B:$B,B22,'All Tasks'!$O:$O)</f>
        <v>0.45999999999999996</v>
      </c>
      <c r="H22" s="12">
        <f>SUMIF('All Tasks'!$B:$B,B22,'All Tasks'!$P:$P)</f>
        <v>1.3799999999999997</v>
      </c>
      <c r="I22" s="12">
        <f t="shared" si="0"/>
        <v>1.6200000000000003</v>
      </c>
      <c r="J22" s="13">
        <f t="shared" si="1"/>
        <v>0.45999999999999991</v>
      </c>
      <c r="K22" s="10"/>
    </row>
    <row r="23" spans="1:11" x14ac:dyDescent="0.25">
      <c r="A23" s="14"/>
      <c r="B23" s="14" t="s">
        <v>1120</v>
      </c>
      <c r="C23" s="14" t="s">
        <v>1084</v>
      </c>
      <c r="D23" s="14">
        <f>SUM(D11:D22)</f>
        <v>148</v>
      </c>
      <c r="E23" s="14"/>
      <c r="F23" s="14"/>
      <c r="G23" s="14"/>
      <c r="H23" s="15">
        <f>SUM(H11:H22)</f>
        <v>71.953979166666656</v>
      </c>
      <c r="I23" s="15">
        <f t="shared" si="0"/>
        <v>76.046020833333344</v>
      </c>
      <c r="J23" s="16">
        <f t="shared" si="1"/>
        <v>0.48617553490990983</v>
      </c>
      <c r="K23" s="14"/>
    </row>
    <row r="24" spans="1:11" x14ac:dyDescent="0.25">
      <c r="A24" s="10" t="s">
        <v>605</v>
      </c>
      <c r="B24" s="10" t="s">
        <v>606</v>
      </c>
      <c r="C24" s="10" t="s">
        <v>1121</v>
      </c>
      <c r="D24" s="10">
        <v>8</v>
      </c>
      <c r="E24" s="10">
        <v>1</v>
      </c>
      <c r="F24" s="10">
        <f>COUNTIF('All Tasks'!$B:$B,B24)</f>
        <v>7</v>
      </c>
      <c r="G24" s="11">
        <f>AVERAGEIF('All Tasks'!$B:$B,B24,'All Tasks'!$O:$O)</f>
        <v>0.47785714285714276</v>
      </c>
      <c r="H24" s="12">
        <f>SUMIF('All Tasks'!$B:$B,B24,'All Tasks'!$P:$P)</f>
        <v>3.822857142857143</v>
      </c>
      <c r="I24" s="12">
        <f t="shared" si="0"/>
        <v>4.177142857142857</v>
      </c>
      <c r="J24" s="13">
        <f t="shared" si="1"/>
        <v>0.47785714285714287</v>
      </c>
      <c r="K24" s="10"/>
    </row>
    <row r="25" spans="1:11" x14ac:dyDescent="0.25">
      <c r="A25" s="10" t="s">
        <v>605</v>
      </c>
      <c r="B25" s="10" t="s">
        <v>623</v>
      </c>
      <c r="C25" s="10" t="s">
        <v>1122</v>
      </c>
      <c r="D25" s="10">
        <v>3</v>
      </c>
      <c r="E25" s="10">
        <v>1</v>
      </c>
      <c r="F25" s="10">
        <f>COUNTIF('All Tasks'!$B:$B,B25)</f>
        <v>6</v>
      </c>
      <c r="G25" s="11">
        <f>AVERAGEIF('All Tasks'!$B:$B,B25,'All Tasks'!$O:$O)</f>
        <v>0.54375000000000007</v>
      </c>
      <c r="H25" s="12">
        <f>SUMIF('All Tasks'!$B:$B,B25,'All Tasks'!$P:$P)</f>
        <v>1.6312500000000001</v>
      </c>
      <c r="I25" s="12">
        <f t="shared" si="0"/>
        <v>1.3687499999999999</v>
      </c>
      <c r="J25" s="13">
        <f t="shared" si="1"/>
        <v>0.54375000000000007</v>
      </c>
      <c r="K25" s="10"/>
    </row>
    <row r="26" spans="1:11" x14ac:dyDescent="0.25">
      <c r="A26" s="10" t="s">
        <v>605</v>
      </c>
      <c r="B26" s="10" t="s">
        <v>637</v>
      </c>
      <c r="C26" s="10" t="s">
        <v>1123</v>
      </c>
      <c r="D26" s="10">
        <v>5</v>
      </c>
      <c r="E26" s="10">
        <v>1</v>
      </c>
      <c r="F26" s="10">
        <f>COUNTIF('All Tasks'!$B:$B,B26)</f>
        <v>6</v>
      </c>
      <c r="G26" s="11">
        <f>AVERAGEIF('All Tasks'!$B:$B,B26,'All Tasks'!$O:$O)</f>
        <v>0.44750000000000001</v>
      </c>
      <c r="H26" s="12">
        <f>SUMIF('All Tasks'!$B:$B,B26,'All Tasks'!$P:$P)</f>
        <v>2.2375000000000003</v>
      </c>
      <c r="I26" s="12">
        <f t="shared" si="0"/>
        <v>2.7624999999999997</v>
      </c>
      <c r="J26" s="13">
        <f t="shared" si="1"/>
        <v>0.44750000000000006</v>
      </c>
      <c r="K26" s="10"/>
    </row>
    <row r="27" spans="1:11" x14ac:dyDescent="0.25">
      <c r="A27" s="10" t="s">
        <v>605</v>
      </c>
      <c r="B27" s="10" t="s">
        <v>651</v>
      </c>
      <c r="C27" s="10" t="s">
        <v>1124</v>
      </c>
      <c r="D27" s="10">
        <v>5</v>
      </c>
      <c r="E27" s="10">
        <v>1</v>
      </c>
      <c r="F27" s="10">
        <f>COUNTIF('All Tasks'!$B:$B,B27)</f>
        <v>6</v>
      </c>
      <c r="G27" s="11">
        <f>AVERAGEIF('All Tasks'!$B:$B,B27,'All Tasks'!$O:$O)</f>
        <v>0.37666666666666665</v>
      </c>
      <c r="H27" s="12">
        <f>SUMIF('All Tasks'!$B:$B,B27,'All Tasks'!$P:$P)</f>
        <v>1.8833333333333333</v>
      </c>
      <c r="I27" s="12">
        <f t="shared" si="0"/>
        <v>3.1166666666666667</v>
      </c>
      <c r="J27" s="13">
        <f t="shared" si="1"/>
        <v>0.37666666666666665</v>
      </c>
      <c r="K27" s="10"/>
    </row>
    <row r="28" spans="1:11" x14ac:dyDescent="0.25">
      <c r="A28" s="10" t="s">
        <v>605</v>
      </c>
      <c r="B28" s="10" t="s">
        <v>665</v>
      </c>
      <c r="C28" s="10" t="s">
        <v>1125</v>
      </c>
      <c r="D28" s="10">
        <v>3</v>
      </c>
      <c r="E28" s="10">
        <v>1</v>
      </c>
      <c r="F28" s="10">
        <f>COUNTIF('All Tasks'!$B:$B,B28)</f>
        <v>5</v>
      </c>
      <c r="G28" s="11">
        <f>AVERAGEIF('All Tasks'!$B:$B,B28,'All Tasks'!$O:$O)</f>
        <v>0.53249999999999997</v>
      </c>
      <c r="H28" s="12">
        <f>SUMIF('All Tasks'!$B:$B,B28,'All Tasks'!$P:$P)</f>
        <v>1.5974999999999999</v>
      </c>
      <c r="I28" s="12">
        <f t="shared" si="0"/>
        <v>1.4025000000000001</v>
      </c>
      <c r="J28" s="13">
        <f t="shared" si="1"/>
        <v>0.53249999999999997</v>
      </c>
      <c r="K28" s="10"/>
    </row>
    <row r="29" spans="1:11" x14ac:dyDescent="0.25">
      <c r="A29" s="10" t="s">
        <v>605</v>
      </c>
      <c r="B29" s="10" t="s">
        <v>677</v>
      </c>
      <c r="C29" s="10" t="s">
        <v>1126</v>
      </c>
      <c r="D29" s="10">
        <v>5</v>
      </c>
      <c r="E29" s="10">
        <v>1</v>
      </c>
      <c r="F29" s="10">
        <f>COUNTIF('All Tasks'!$B:$B,B29)</f>
        <v>4</v>
      </c>
      <c r="G29" s="11">
        <f>AVERAGEIF('All Tasks'!$B:$B,B29,'All Tasks'!$O:$O)</f>
        <v>0.44750000000000001</v>
      </c>
      <c r="H29" s="12">
        <f>SUMIF('All Tasks'!$B:$B,B29,'All Tasks'!$P:$P)</f>
        <v>2.2374999999999998</v>
      </c>
      <c r="I29" s="12">
        <f t="shared" si="0"/>
        <v>2.7625000000000002</v>
      </c>
      <c r="J29" s="13">
        <f t="shared" si="1"/>
        <v>0.44749999999999995</v>
      </c>
      <c r="K29" s="10"/>
    </row>
    <row r="30" spans="1:11" x14ac:dyDescent="0.25">
      <c r="A30" s="10" t="s">
        <v>605</v>
      </c>
      <c r="B30" s="10" t="s">
        <v>687</v>
      </c>
      <c r="C30" s="10" t="s">
        <v>1127</v>
      </c>
      <c r="D30" s="10">
        <v>3</v>
      </c>
      <c r="E30" s="10">
        <v>1</v>
      </c>
      <c r="F30" s="10">
        <f>COUNTIF('All Tasks'!$B:$B,B30)</f>
        <v>5</v>
      </c>
      <c r="G30" s="11">
        <f>AVERAGEIF('All Tasks'!$B:$B,B30,'All Tasks'!$O:$O)</f>
        <v>0.45999999999999996</v>
      </c>
      <c r="H30" s="12">
        <f>SUMIF('All Tasks'!$B:$B,B30,'All Tasks'!$P:$P)</f>
        <v>1.3799999999999997</v>
      </c>
      <c r="I30" s="12">
        <f t="shared" si="0"/>
        <v>1.6200000000000003</v>
      </c>
      <c r="J30" s="13">
        <f t="shared" si="1"/>
        <v>0.45999999999999991</v>
      </c>
      <c r="K30" s="10"/>
    </row>
    <row r="31" spans="1:11" x14ac:dyDescent="0.25">
      <c r="A31" s="14"/>
      <c r="B31" s="14" t="s">
        <v>1128</v>
      </c>
      <c r="C31" s="14" t="s">
        <v>1085</v>
      </c>
      <c r="D31" s="14">
        <f>SUM(D24:D30)</f>
        <v>32</v>
      </c>
      <c r="E31" s="14"/>
      <c r="F31" s="14"/>
      <c r="G31" s="14"/>
      <c r="H31" s="15">
        <f>SUM(H24:H30)</f>
        <v>14.789940476190477</v>
      </c>
      <c r="I31" s="15">
        <f t="shared" si="0"/>
        <v>17.210059523809523</v>
      </c>
      <c r="J31" s="16">
        <f t="shared" si="1"/>
        <v>0.4621856398809524</v>
      </c>
      <c r="K31" s="14"/>
    </row>
    <row r="32" spans="1:11" x14ac:dyDescent="0.25">
      <c r="A32" s="10" t="s">
        <v>700</v>
      </c>
      <c r="B32" s="10" t="s">
        <v>701</v>
      </c>
      <c r="C32" s="10" t="s">
        <v>1129</v>
      </c>
      <c r="D32" s="10">
        <v>8</v>
      </c>
      <c r="E32" s="10">
        <v>1</v>
      </c>
      <c r="F32" s="10">
        <f>COUNTIF('All Tasks'!$B:$B,B32)</f>
        <v>4</v>
      </c>
      <c r="G32" s="11">
        <f>AVERAGEIF('All Tasks'!$B:$B,B32,'All Tasks'!$O:$O)</f>
        <v>0.47124999999999995</v>
      </c>
      <c r="H32" s="12">
        <f>SUMIF('All Tasks'!$B:$B,B32,'All Tasks'!$P:$P)</f>
        <v>3.7699999999999996</v>
      </c>
      <c r="I32" s="12">
        <f t="shared" si="0"/>
        <v>4.2300000000000004</v>
      </c>
      <c r="J32" s="13">
        <f t="shared" si="1"/>
        <v>0.47124999999999995</v>
      </c>
      <c r="K32" s="10"/>
    </row>
    <row r="33" spans="1:11" x14ac:dyDescent="0.25">
      <c r="A33" s="10" t="s">
        <v>700</v>
      </c>
      <c r="B33" s="10" t="s">
        <v>712</v>
      </c>
      <c r="C33" s="10" t="s">
        <v>1130</v>
      </c>
      <c r="D33" s="10">
        <v>3</v>
      </c>
      <c r="E33" s="10">
        <v>1</v>
      </c>
      <c r="F33" s="10">
        <f>COUNTIF('All Tasks'!$B:$B,B33)</f>
        <v>3</v>
      </c>
      <c r="G33" s="11">
        <f>AVERAGEIF('All Tasks'!$B:$B,B33,'All Tasks'!$O:$O)</f>
        <v>0.48999999999999994</v>
      </c>
      <c r="H33" s="12">
        <f>SUMIF('All Tasks'!$B:$B,B33,'All Tasks'!$P:$P)</f>
        <v>1.4699999999999998</v>
      </c>
      <c r="I33" s="12">
        <f t="shared" si="0"/>
        <v>1.5300000000000002</v>
      </c>
      <c r="J33" s="13">
        <f t="shared" si="1"/>
        <v>0.48999999999999994</v>
      </c>
      <c r="K33" s="10"/>
    </row>
    <row r="34" spans="1:11" x14ac:dyDescent="0.25">
      <c r="A34" s="10" t="s">
        <v>700</v>
      </c>
      <c r="B34" s="10" t="s">
        <v>720</v>
      </c>
      <c r="C34" s="10" t="s">
        <v>1131</v>
      </c>
      <c r="D34" s="10">
        <v>3</v>
      </c>
      <c r="E34" s="10">
        <v>1</v>
      </c>
      <c r="F34" s="10">
        <f>COUNTIF('All Tasks'!$B:$B,B34)</f>
        <v>3</v>
      </c>
      <c r="G34" s="11">
        <f>AVERAGEIF('All Tasks'!$B:$B,B34,'All Tasks'!$O:$O)</f>
        <v>0.41499999999999987</v>
      </c>
      <c r="H34" s="12">
        <f>SUMIF('All Tasks'!$B:$B,B34,'All Tasks'!$P:$P)</f>
        <v>1.2449999999999997</v>
      </c>
      <c r="I34" s="12">
        <f t="shared" ref="I34:I65" si="2">D34-H34</f>
        <v>1.7550000000000003</v>
      </c>
      <c r="J34" s="13">
        <f t="shared" ref="J34:J65" si="3">IF(D34&gt;0,H34/D34,0)</f>
        <v>0.41499999999999987</v>
      </c>
      <c r="K34" s="10"/>
    </row>
    <row r="35" spans="1:11" x14ac:dyDescent="0.25">
      <c r="A35" s="10" t="s">
        <v>700</v>
      </c>
      <c r="B35" s="10" t="s">
        <v>728</v>
      </c>
      <c r="C35" s="10" t="s">
        <v>1132</v>
      </c>
      <c r="D35" s="10">
        <v>5</v>
      </c>
      <c r="E35" s="10">
        <v>1</v>
      </c>
      <c r="F35" s="10">
        <f>COUNTIF('All Tasks'!$B:$B,B35)</f>
        <v>3</v>
      </c>
      <c r="G35" s="11">
        <f>AVERAGEIF('All Tasks'!$B:$B,B35,'All Tasks'!$O:$O)</f>
        <v>0.33999999999999991</v>
      </c>
      <c r="H35" s="12">
        <f>SUMIF('All Tasks'!$B:$B,B35,'All Tasks'!$P:$P)</f>
        <v>1.6999999999999997</v>
      </c>
      <c r="I35" s="12">
        <f t="shared" si="2"/>
        <v>3.3000000000000003</v>
      </c>
      <c r="J35" s="13">
        <f t="shared" si="3"/>
        <v>0.33999999999999997</v>
      </c>
      <c r="K35" s="10"/>
    </row>
    <row r="36" spans="1:11" x14ac:dyDescent="0.25">
      <c r="A36" s="10" t="s">
        <v>700</v>
      </c>
      <c r="B36" s="10" t="s">
        <v>736</v>
      </c>
      <c r="C36" s="10" t="s">
        <v>1133</v>
      </c>
      <c r="D36" s="10">
        <v>5</v>
      </c>
      <c r="E36" s="10">
        <v>1</v>
      </c>
      <c r="F36" s="10">
        <f>COUNTIF('All Tasks'!$B:$B,B36)</f>
        <v>3</v>
      </c>
      <c r="G36" s="11">
        <f>AVERAGEIF('All Tasks'!$B:$B,B36,'All Tasks'!$O:$O)</f>
        <v>0.41499999999999987</v>
      </c>
      <c r="H36" s="12">
        <f>SUMIF('All Tasks'!$B:$B,B36,'All Tasks'!$P:$P)</f>
        <v>2.0749999999999997</v>
      </c>
      <c r="I36" s="12">
        <f t="shared" si="2"/>
        <v>2.9250000000000003</v>
      </c>
      <c r="J36" s="13">
        <f t="shared" si="3"/>
        <v>0.41499999999999992</v>
      </c>
      <c r="K36" s="10"/>
    </row>
    <row r="37" spans="1:11" x14ac:dyDescent="0.25">
      <c r="A37" s="10" t="s">
        <v>700</v>
      </c>
      <c r="B37" s="10" t="s">
        <v>744</v>
      </c>
      <c r="C37" s="10" t="s">
        <v>1134</v>
      </c>
      <c r="D37" s="10">
        <v>5</v>
      </c>
      <c r="E37" s="10">
        <v>1</v>
      </c>
      <c r="F37" s="10">
        <f>COUNTIF('All Tasks'!$B:$B,B37)</f>
        <v>3</v>
      </c>
      <c r="G37" s="11">
        <f>AVERAGEIF('All Tasks'!$B:$B,B37,'All Tasks'!$O:$O)</f>
        <v>0.41499999999999987</v>
      </c>
      <c r="H37" s="12">
        <f>SUMIF('All Tasks'!$B:$B,B37,'All Tasks'!$P:$P)</f>
        <v>2.0749999999999997</v>
      </c>
      <c r="I37" s="12">
        <f t="shared" si="2"/>
        <v>2.9250000000000003</v>
      </c>
      <c r="J37" s="13">
        <f t="shared" si="3"/>
        <v>0.41499999999999992</v>
      </c>
      <c r="K37" s="10"/>
    </row>
    <row r="38" spans="1:11" x14ac:dyDescent="0.25">
      <c r="A38" s="14"/>
      <c r="B38" s="14" t="s">
        <v>1135</v>
      </c>
      <c r="C38" s="14" t="s">
        <v>1086</v>
      </c>
      <c r="D38" s="14">
        <f>SUM(D32:D37)</f>
        <v>29</v>
      </c>
      <c r="E38" s="14"/>
      <c r="F38" s="14"/>
      <c r="G38" s="14"/>
      <c r="H38" s="15">
        <f>SUM(H32:H37)</f>
        <v>12.334999999999997</v>
      </c>
      <c r="I38" s="15">
        <f t="shared" si="2"/>
        <v>16.665000000000003</v>
      </c>
      <c r="J38" s="16">
        <f t="shared" si="3"/>
        <v>0.42534482758620679</v>
      </c>
      <c r="K38" s="14"/>
    </row>
    <row r="39" spans="1:11" x14ac:dyDescent="0.25">
      <c r="A39" s="10" t="s">
        <v>752</v>
      </c>
      <c r="B39" s="10" t="s">
        <v>753</v>
      </c>
      <c r="C39" s="10" t="s">
        <v>1136</v>
      </c>
      <c r="D39" s="10">
        <v>8</v>
      </c>
      <c r="E39" s="10">
        <v>1</v>
      </c>
      <c r="F39" s="10">
        <f>COUNTIF('All Tasks'!$B:$B,B39)</f>
        <v>4</v>
      </c>
      <c r="G39" s="11">
        <f>AVERAGEIF('All Tasks'!$B:$B,B39,'All Tasks'!$O:$O)</f>
        <v>0.44750000000000001</v>
      </c>
      <c r="H39" s="12">
        <f>SUMIF('All Tasks'!$B:$B,B39,'All Tasks'!$P:$P)</f>
        <v>3.58</v>
      </c>
      <c r="I39" s="12">
        <f t="shared" si="2"/>
        <v>4.42</v>
      </c>
      <c r="J39" s="13">
        <f t="shared" si="3"/>
        <v>0.44750000000000001</v>
      </c>
      <c r="K39" s="10"/>
    </row>
    <row r="40" spans="1:11" x14ac:dyDescent="0.25">
      <c r="A40" s="10" t="s">
        <v>752</v>
      </c>
      <c r="B40" s="10" t="s">
        <v>763</v>
      </c>
      <c r="C40" s="10" t="s">
        <v>1137</v>
      </c>
      <c r="D40" s="10">
        <v>5</v>
      </c>
      <c r="E40" s="10">
        <v>1</v>
      </c>
      <c r="F40" s="10">
        <f>COUNTIF('All Tasks'!$B:$B,B40)</f>
        <v>4</v>
      </c>
      <c r="G40" s="11">
        <f>AVERAGEIF('All Tasks'!$B:$B,B40,'All Tasks'!$O:$O)</f>
        <v>0.42999999999999994</v>
      </c>
      <c r="H40" s="12">
        <f>SUMIF('All Tasks'!$B:$B,B40,'All Tasks'!$P:$P)</f>
        <v>2.1499999999999995</v>
      </c>
      <c r="I40" s="12">
        <f t="shared" si="2"/>
        <v>2.8500000000000005</v>
      </c>
      <c r="J40" s="13">
        <f t="shared" si="3"/>
        <v>0.42999999999999988</v>
      </c>
      <c r="K40" s="10"/>
    </row>
    <row r="41" spans="1:11" x14ac:dyDescent="0.25">
      <c r="A41" s="10" t="s">
        <v>752</v>
      </c>
      <c r="B41" s="10" t="s">
        <v>773</v>
      </c>
      <c r="C41" s="10" t="s">
        <v>1138</v>
      </c>
      <c r="D41" s="10">
        <v>5</v>
      </c>
      <c r="E41" s="10">
        <v>1</v>
      </c>
      <c r="F41" s="10">
        <f>COUNTIF('All Tasks'!$B:$B,B41)</f>
        <v>3</v>
      </c>
      <c r="G41" s="11">
        <f>AVERAGEIF('All Tasks'!$B:$B,B41,'All Tasks'!$O:$O)</f>
        <v>0.48</v>
      </c>
      <c r="H41" s="12">
        <f>SUMIF('All Tasks'!$B:$B,B41,'All Tasks'!$P:$P)</f>
        <v>2.4</v>
      </c>
      <c r="I41" s="12">
        <f t="shared" si="2"/>
        <v>2.6</v>
      </c>
      <c r="J41" s="13">
        <f t="shared" si="3"/>
        <v>0.48</v>
      </c>
      <c r="K41" s="10"/>
    </row>
    <row r="42" spans="1:11" x14ac:dyDescent="0.25">
      <c r="A42" s="10" t="s">
        <v>752</v>
      </c>
      <c r="B42" s="10" t="s">
        <v>781</v>
      </c>
      <c r="C42" s="10" t="s">
        <v>1139</v>
      </c>
      <c r="D42" s="10">
        <v>3</v>
      </c>
      <c r="E42" s="10">
        <v>1</v>
      </c>
      <c r="F42" s="10">
        <f>COUNTIF('All Tasks'!$B:$B,B42)</f>
        <v>3</v>
      </c>
      <c r="G42" s="11">
        <f>AVERAGEIF('All Tasks'!$B:$B,B42,'All Tasks'!$O:$O)</f>
        <v>0.41333333333333327</v>
      </c>
      <c r="H42" s="12">
        <f>SUMIF('All Tasks'!$B:$B,B42,'All Tasks'!$P:$P)</f>
        <v>1.2399999999999998</v>
      </c>
      <c r="I42" s="12">
        <f t="shared" si="2"/>
        <v>1.7600000000000002</v>
      </c>
      <c r="J42" s="13">
        <f t="shared" si="3"/>
        <v>0.41333333333333327</v>
      </c>
      <c r="K42" s="10"/>
    </row>
    <row r="43" spans="1:11" x14ac:dyDescent="0.25">
      <c r="A43" s="10" t="s">
        <v>752</v>
      </c>
      <c r="B43" s="10" t="s">
        <v>789</v>
      </c>
      <c r="C43" s="10" t="s">
        <v>1140</v>
      </c>
      <c r="D43" s="10">
        <v>3</v>
      </c>
      <c r="E43" s="10">
        <v>1</v>
      </c>
      <c r="F43" s="10">
        <f>COUNTIF('All Tasks'!$B:$B,B43)</f>
        <v>2</v>
      </c>
      <c r="G43" s="11">
        <f>AVERAGEIF('All Tasks'!$B:$B,B43,'All Tasks'!$O:$O)</f>
        <v>0.50124999999999997</v>
      </c>
      <c r="H43" s="12">
        <f>SUMIF('All Tasks'!$B:$B,B43,'All Tasks'!$P:$P)</f>
        <v>1.5037500000000001</v>
      </c>
      <c r="I43" s="12">
        <f t="shared" si="2"/>
        <v>1.4962499999999999</v>
      </c>
      <c r="J43" s="13">
        <f t="shared" si="3"/>
        <v>0.50125000000000008</v>
      </c>
      <c r="K43" s="10"/>
    </row>
    <row r="44" spans="1:11" x14ac:dyDescent="0.25">
      <c r="A44" s="10" t="s">
        <v>752</v>
      </c>
      <c r="B44" s="10" t="s">
        <v>795</v>
      </c>
      <c r="C44" s="10" t="s">
        <v>1141</v>
      </c>
      <c r="D44" s="10">
        <v>5</v>
      </c>
      <c r="E44" s="10">
        <v>1</v>
      </c>
      <c r="F44" s="10">
        <f>COUNTIF('All Tasks'!$B:$B,B44)</f>
        <v>3</v>
      </c>
      <c r="G44" s="11">
        <f>AVERAGEIF('All Tasks'!$B:$B,B44,'All Tasks'!$O:$O)</f>
        <v>0.38250000000000001</v>
      </c>
      <c r="H44" s="12">
        <f>SUMIF('All Tasks'!$B:$B,B44,'All Tasks'!$P:$P)</f>
        <v>1.9125000000000003</v>
      </c>
      <c r="I44" s="12">
        <f t="shared" si="2"/>
        <v>3.0874999999999995</v>
      </c>
      <c r="J44" s="13">
        <f t="shared" si="3"/>
        <v>0.38250000000000006</v>
      </c>
      <c r="K44" s="10"/>
    </row>
    <row r="45" spans="1:11" x14ac:dyDescent="0.25">
      <c r="A45" s="14"/>
      <c r="B45" s="14" t="s">
        <v>1142</v>
      </c>
      <c r="C45" s="14" t="s">
        <v>1087</v>
      </c>
      <c r="D45" s="14">
        <f>SUM(D39:D44)</f>
        <v>29</v>
      </c>
      <c r="E45" s="14"/>
      <c r="F45" s="14"/>
      <c r="G45" s="14"/>
      <c r="H45" s="15">
        <f>SUM(H39:H44)</f>
        <v>12.786249999999999</v>
      </c>
      <c r="I45" s="15">
        <f t="shared" si="2"/>
        <v>16.213750000000001</v>
      </c>
      <c r="J45" s="16">
        <f t="shared" si="3"/>
        <v>0.44090517241379307</v>
      </c>
      <c r="K45" s="14"/>
    </row>
    <row r="46" spans="1:11" x14ac:dyDescent="0.25">
      <c r="A46" s="10" t="s">
        <v>803</v>
      </c>
      <c r="B46" s="10" t="s">
        <v>804</v>
      </c>
      <c r="C46" s="10" t="s">
        <v>1143</v>
      </c>
      <c r="D46" s="10">
        <v>5</v>
      </c>
      <c r="E46" s="10">
        <v>1</v>
      </c>
      <c r="F46" s="10">
        <f>COUNTIF('All Tasks'!$B:$B,B46)</f>
        <v>3</v>
      </c>
      <c r="G46" s="11">
        <f>AVERAGEIF('All Tasks'!$B:$B,B46,'All Tasks'!$O:$O)</f>
        <v>0.41499999999999987</v>
      </c>
      <c r="H46" s="12">
        <f>SUMIF('All Tasks'!$B:$B,B46,'All Tasks'!$P:$P)</f>
        <v>2.0749999999999997</v>
      </c>
      <c r="I46" s="12">
        <f t="shared" si="2"/>
        <v>2.9250000000000003</v>
      </c>
      <c r="J46" s="13">
        <f t="shared" si="3"/>
        <v>0.41499999999999992</v>
      </c>
      <c r="K46" s="10"/>
    </row>
    <row r="47" spans="1:11" x14ac:dyDescent="0.25">
      <c r="A47" s="10" t="s">
        <v>803</v>
      </c>
      <c r="B47" s="10" t="s">
        <v>813</v>
      </c>
      <c r="C47" s="10" t="s">
        <v>1144</v>
      </c>
      <c r="D47" s="10">
        <v>10</v>
      </c>
      <c r="E47" s="10">
        <v>2</v>
      </c>
      <c r="F47" s="10">
        <f>COUNTIF('All Tasks'!$B:$B,B47)</f>
        <v>3</v>
      </c>
      <c r="G47" s="11">
        <f>AVERAGEIF('All Tasks'!$B:$B,B47,'All Tasks'!$O:$O)</f>
        <v>0.33999999999999991</v>
      </c>
      <c r="H47" s="12">
        <f>SUMIF('All Tasks'!$B:$B,B47,'All Tasks'!$P:$P)</f>
        <v>3.3999999999999995</v>
      </c>
      <c r="I47" s="12">
        <f t="shared" si="2"/>
        <v>6.6000000000000005</v>
      </c>
      <c r="J47" s="13">
        <f t="shared" si="3"/>
        <v>0.33999999999999997</v>
      </c>
      <c r="K47" s="10"/>
    </row>
    <row r="48" spans="1:11" x14ac:dyDescent="0.25">
      <c r="A48" s="10" t="s">
        <v>803</v>
      </c>
      <c r="B48" s="10" t="s">
        <v>821</v>
      </c>
      <c r="C48" s="10" t="s">
        <v>1145</v>
      </c>
      <c r="D48" s="10">
        <v>15</v>
      </c>
      <c r="E48" s="10">
        <v>1</v>
      </c>
      <c r="F48" s="10">
        <f>COUNTIF('All Tasks'!$B:$B,B48)</f>
        <v>3</v>
      </c>
      <c r="G48" s="11">
        <f>AVERAGEIF('All Tasks'!$B:$B,B48,'All Tasks'!$O:$O)</f>
        <v>0.26499999999999996</v>
      </c>
      <c r="H48" s="12">
        <f>SUMIF('All Tasks'!$B:$B,B48,'All Tasks'!$P:$P)</f>
        <v>3.9749999999999992</v>
      </c>
      <c r="I48" s="12">
        <f t="shared" si="2"/>
        <v>11.025</v>
      </c>
      <c r="J48" s="13">
        <f t="shared" si="3"/>
        <v>0.26499999999999996</v>
      </c>
      <c r="K48" s="10"/>
    </row>
    <row r="49" spans="1:11" x14ac:dyDescent="0.25">
      <c r="A49" s="10" t="s">
        <v>803</v>
      </c>
      <c r="B49" s="10" t="s">
        <v>831</v>
      </c>
      <c r="C49" s="10" t="s">
        <v>1146</v>
      </c>
      <c r="D49" s="10">
        <v>8</v>
      </c>
      <c r="E49" s="10">
        <v>1</v>
      </c>
      <c r="F49" s="10">
        <f>COUNTIF('All Tasks'!$B:$B,B49)</f>
        <v>2</v>
      </c>
      <c r="G49" s="11">
        <f>AVERAGEIF('All Tasks'!$B:$B,B49,'All Tasks'!$O:$O)</f>
        <v>0.30249999999999994</v>
      </c>
      <c r="H49" s="12">
        <f>SUMIF('All Tasks'!$B:$B,B49,'All Tasks'!$P:$P)</f>
        <v>2.4199999999999995</v>
      </c>
      <c r="I49" s="12">
        <f t="shared" si="2"/>
        <v>5.58</v>
      </c>
      <c r="J49" s="13">
        <f t="shared" si="3"/>
        <v>0.30249999999999994</v>
      </c>
      <c r="K49" s="10"/>
    </row>
    <row r="50" spans="1:11" x14ac:dyDescent="0.25">
      <c r="A50" s="10" t="s">
        <v>803</v>
      </c>
      <c r="B50" s="10" t="s">
        <v>837</v>
      </c>
      <c r="C50" s="10" t="s">
        <v>1147</v>
      </c>
      <c r="D50" s="10">
        <v>5</v>
      </c>
      <c r="E50" s="10">
        <v>2</v>
      </c>
      <c r="F50" s="10">
        <f>COUNTIF('All Tasks'!$B:$B,B50)</f>
        <v>2</v>
      </c>
      <c r="G50" s="11">
        <f>AVERAGEIF('All Tasks'!$B:$B,B50,'All Tasks'!$O:$O)</f>
        <v>0.52749999999999986</v>
      </c>
      <c r="H50" s="12">
        <f>SUMIF('All Tasks'!$B:$B,B50,'All Tasks'!$P:$P)</f>
        <v>2.6374999999999993</v>
      </c>
      <c r="I50" s="12">
        <f t="shared" si="2"/>
        <v>2.3625000000000007</v>
      </c>
      <c r="J50" s="13">
        <f t="shared" si="3"/>
        <v>0.52749999999999986</v>
      </c>
      <c r="K50" s="10"/>
    </row>
    <row r="51" spans="1:11" x14ac:dyDescent="0.25">
      <c r="A51" s="10" t="s">
        <v>803</v>
      </c>
      <c r="B51" s="10" t="s">
        <v>843</v>
      </c>
      <c r="C51" s="10" t="s">
        <v>1148</v>
      </c>
      <c r="D51" s="10">
        <v>5</v>
      </c>
      <c r="E51" s="10">
        <v>1</v>
      </c>
      <c r="F51" s="10">
        <f>COUNTIF('All Tasks'!$B:$B,B51)</f>
        <v>3</v>
      </c>
      <c r="G51" s="11">
        <f>AVERAGEIF('All Tasks'!$B:$B,B51,'All Tasks'!$O:$O)</f>
        <v>0.26499999999999996</v>
      </c>
      <c r="H51" s="12">
        <f>SUMIF('All Tasks'!$B:$B,B51,'All Tasks'!$P:$P)</f>
        <v>1.3249999999999997</v>
      </c>
      <c r="I51" s="12">
        <f t="shared" si="2"/>
        <v>3.6750000000000003</v>
      </c>
      <c r="J51" s="13">
        <f t="shared" si="3"/>
        <v>0.26499999999999996</v>
      </c>
      <c r="K51" s="10"/>
    </row>
    <row r="52" spans="1:11" x14ac:dyDescent="0.25">
      <c r="A52" s="14"/>
      <c r="B52" s="14" t="s">
        <v>1149</v>
      </c>
      <c r="C52" s="14" t="s">
        <v>1088</v>
      </c>
      <c r="D52" s="14">
        <f>SUM(D46:D51)</f>
        <v>48</v>
      </c>
      <c r="E52" s="14"/>
      <c r="F52" s="14"/>
      <c r="G52" s="14"/>
      <c r="H52" s="15">
        <f>SUM(H46:H51)</f>
        <v>15.832499999999998</v>
      </c>
      <c r="I52" s="15">
        <f t="shared" si="2"/>
        <v>32.167500000000004</v>
      </c>
      <c r="J52" s="16">
        <f t="shared" si="3"/>
        <v>0.32984374999999994</v>
      </c>
      <c r="K52" s="14"/>
    </row>
    <row r="53" spans="1:11" x14ac:dyDescent="0.25">
      <c r="A53" s="10" t="s">
        <v>851</v>
      </c>
      <c r="B53" s="10" t="s">
        <v>852</v>
      </c>
      <c r="C53" s="10" t="s">
        <v>1150</v>
      </c>
      <c r="D53" s="10">
        <v>3</v>
      </c>
      <c r="E53" s="10">
        <v>1</v>
      </c>
      <c r="F53" s="10">
        <f>COUNTIF('All Tasks'!$B:$B,B53)</f>
        <v>2</v>
      </c>
      <c r="G53" s="11">
        <f>AVERAGEIF('All Tasks'!$B:$B,B53,'All Tasks'!$O:$O)</f>
        <v>0.54999999999999993</v>
      </c>
      <c r="H53" s="12">
        <f>SUMIF('All Tasks'!$B:$B,B53,'All Tasks'!$P:$P)</f>
        <v>1.65</v>
      </c>
      <c r="I53" s="12">
        <f t="shared" si="2"/>
        <v>1.35</v>
      </c>
      <c r="J53" s="13">
        <f t="shared" si="3"/>
        <v>0.54999999999999993</v>
      </c>
      <c r="K53" s="10"/>
    </row>
    <row r="54" spans="1:11" x14ac:dyDescent="0.25">
      <c r="A54" s="10" t="s">
        <v>851</v>
      </c>
      <c r="B54" s="10" t="s">
        <v>858</v>
      </c>
      <c r="C54" s="10" t="s">
        <v>1151</v>
      </c>
      <c r="D54" s="10">
        <v>2</v>
      </c>
      <c r="E54" s="10">
        <v>1</v>
      </c>
      <c r="F54" s="10">
        <f>COUNTIF('All Tasks'!$B:$B,B54)</f>
        <v>1</v>
      </c>
      <c r="G54" s="11">
        <f>AVERAGEIF('All Tasks'!$B:$B,B54,'All Tasks'!$O:$O)</f>
        <v>0.6399999999999999</v>
      </c>
      <c r="H54" s="12">
        <f>SUMIF('All Tasks'!$B:$B,B54,'All Tasks'!$P:$P)</f>
        <v>1.2799999999999998</v>
      </c>
      <c r="I54" s="12">
        <f t="shared" si="2"/>
        <v>0.7200000000000002</v>
      </c>
      <c r="J54" s="13">
        <f t="shared" si="3"/>
        <v>0.6399999999999999</v>
      </c>
      <c r="K54" s="10"/>
    </row>
    <row r="55" spans="1:11" x14ac:dyDescent="0.25">
      <c r="A55" s="10" t="s">
        <v>851</v>
      </c>
      <c r="B55" s="10" t="s">
        <v>862</v>
      </c>
      <c r="C55" s="10" t="s">
        <v>1152</v>
      </c>
      <c r="D55" s="10">
        <v>1</v>
      </c>
      <c r="E55" s="10">
        <v>1</v>
      </c>
      <c r="F55" s="10">
        <f>COUNTIF('All Tasks'!$B:$B,B55)</f>
        <v>1</v>
      </c>
      <c r="G55" s="11">
        <f>AVERAGEIF('All Tasks'!$B:$B,B55,'All Tasks'!$O:$O)</f>
        <v>0.6399999999999999</v>
      </c>
      <c r="H55" s="12">
        <f>SUMIF('All Tasks'!$B:$B,B55,'All Tasks'!$P:$P)</f>
        <v>0.6399999999999999</v>
      </c>
      <c r="I55" s="12">
        <f t="shared" si="2"/>
        <v>0.3600000000000001</v>
      </c>
      <c r="J55" s="13">
        <f t="shared" si="3"/>
        <v>0.6399999999999999</v>
      </c>
      <c r="K55" s="10"/>
    </row>
    <row r="56" spans="1:11" ht="24" x14ac:dyDescent="0.25">
      <c r="A56" s="10" t="s">
        <v>851</v>
      </c>
      <c r="B56" s="10" t="s">
        <v>866</v>
      </c>
      <c r="C56" s="10" t="s">
        <v>1153</v>
      </c>
      <c r="D56" s="10">
        <v>0</v>
      </c>
      <c r="E56" s="10">
        <v>1</v>
      </c>
      <c r="F56" s="10">
        <f>COUNTIF('All Tasks'!$B:$B,B56)</f>
        <v>2</v>
      </c>
      <c r="G56" s="11">
        <f>AVERAGEIF('All Tasks'!$B:$B,B56,'All Tasks'!$O:$O)</f>
        <v>0.41499999999999992</v>
      </c>
      <c r="H56" s="12">
        <f>SUMIF('All Tasks'!$B:$B,B56,'All Tasks'!$P:$P)</f>
        <v>0</v>
      </c>
      <c r="I56" s="12">
        <f t="shared" si="2"/>
        <v>0</v>
      </c>
      <c r="J56" s="13">
        <f t="shared" si="3"/>
        <v>0</v>
      </c>
      <c r="K56" s="10" t="s">
        <v>1154</v>
      </c>
    </row>
    <row r="57" spans="1:11" ht="24" x14ac:dyDescent="0.25">
      <c r="A57" s="10" t="s">
        <v>851</v>
      </c>
      <c r="B57" s="10" t="s">
        <v>872</v>
      </c>
      <c r="C57" s="10" t="s">
        <v>1155</v>
      </c>
      <c r="D57" s="10">
        <v>0</v>
      </c>
      <c r="E57" s="10">
        <v>1</v>
      </c>
      <c r="F57" s="10">
        <f>COUNTIF('All Tasks'!$B:$B,B57)</f>
        <v>1</v>
      </c>
      <c r="G57" s="11">
        <f>AVERAGEIF('All Tasks'!$B:$B,B57,'All Tasks'!$O:$O)</f>
        <v>0.6399999999999999</v>
      </c>
      <c r="H57" s="12">
        <f>SUMIF('All Tasks'!$B:$B,B57,'All Tasks'!$P:$P)</f>
        <v>0</v>
      </c>
      <c r="I57" s="12">
        <f t="shared" si="2"/>
        <v>0</v>
      </c>
      <c r="J57" s="13">
        <f t="shared" si="3"/>
        <v>0</v>
      </c>
      <c r="K57" s="10" t="s">
        <v>1154</v>
      </c>
    </row>
    <row r="58" spans="1:11" ht="24" x14ac:dyDescent="0.25">
      <c r="A58" s="10" t="s">
        <v>851</v>
      </c>
      <c r="B58" s="10" t="s">
        <v>877</v>
      </c>
      <c r="C58" s="10" t="s">
        <v>1156</v>
      </c>
      <c r="D58" s="10">
        <v>0</v>
      </c>
      <c r="E58" s="10">
        <v>1</v>
      </c>
      <c r="F58" s="10">
        <f>COUNTIF('All Tasks'!$B:$B,B58)</f>
        <v>2</v>
      </c>
      <c r="G58" s="11">
        <f>AVERAGEIF('All Tasks'!$B:$B,B58,'All Tasks'!$O:$O)</f>
        <v>0.6399999999999999</v>
      </c>
      <c r="H58" s="12">
        <f>SUMIF('All Tasks'!$B:$B,B58,'All Tasks'!$P:$P)</f>
        <v>0</v>
      </c>
      <c r="I58" s="12">
        <f t="shared" si="2"/>
        <v>0</v>
      </c>
      <c r="J58" s="13">
        <f t="shared" si="3"/>
        <v>0</v>
      </c>
      <c r="K58" s="10" t="s">
        <v>1154</v>
      </c>
    </row>
    <row r="59" spans="1:11" x14ac:dyDescent="0.25">
      <c r="A59" s="10" t="s">
        <v>851</v>
      </c>
      <c r="B59" s="10" t="s">
        <v>883</v>
      </c>
      <c r="C59" s="10" t="s">
        <v>1157</v>
      </c>
      <c r="D59" s="10">
        <v>3</v>
      </c>
      <c r="E59" s="10">
        <v>1</v>
      </c>
      <c r="F59" s="10">
        <f>COUNTIF('All Tasks'!$B:$B,B59)</f>
        <v>2</v>
      </c>
      <c r="G59" s="11">
        <f>AVERAGEIF('All Tasks'!$B:$B,B59,'All Tasks'!$O:$O)</f>
        <v>0.52749999999999986</v>
      </c>
      <c r="H59" s="12">
        <f>SUMIF('All Tasks'!$B:$B,B59,'All Tasks'!$P:$P)</f>
        <v>1.5824999999999996</v>
      </c>
      <c r="I59" s="12">
        <f t="shared" si="2"/>
        <v>1.4175000000000004</v>
      </c>
      <c r="J59" s="13">
        <f t="shared" si="3"/>
        <v>0.52749999999999986</v>
      </c>
      <c r="K59" s="10"/>
    </row>
    <row r="60" spans="1:11" x14ac:dyDescent="0.25">
      <c r="A60" s="10" t="s">
        <v>851</v>
      </c>
      <c r="B60" s="10" t="s">
        <v>889</v>
      </c>
      <c r="C60" s="10" t="s">
        <v>1158</v>
      </c>
      <c r="D60" s="10">
        <v>2</v>
      </c>
      <c r="E60" s="10">
        <v>1</v>
      </c>
      <c r="F60" s="10">
        <f>COUNTIF('All Tasks'!$B:$B,B60)</f>
        <v>1</v>
      </c>
      <c r="G60" s="11">
        <f>AVERAGEIF('All Tasks'!$B:$B,B60,'All Tasks'!$O:$O)</f>
        <v>0.41499999999999992</v>
      </c>
      <c r="H60" s="12">
        <f>SUMIF('All Tasks'!$B:$B,B60,'All Tasks'!$P:$P)</f>
        <v>0.82999999999999985</v>
      </c>
      <c r="I60" s="12">
        <f t="shared" si="2"/>
        <v>1.1700000000000002</v>
      </c>
      <c r="J60" s="13">
        <f t="shared" si="3"/>
        <v>0.41499999999999992</v>
      </c>
      <c r="K60" s="10"/>
    </row>
    <row r="61" spans="1:11" ht="24" x14ac:dyDescent="0.25">
      <c r="A61" s="10" t="s">
        <v>851</v>
      </c>
      <c r="B61" s="10" t="s">
        <v>893</v>
      </c>
      <c r="C61" s="10" t="s">
        <v>1159</v>
      </c>
      <c r="D61" s="10">
        <v>0</v>
      </c>
      <c r="E61" s="10">
        <v>2</v>
      </c>
      <c r="F61" s="10">
        <f>COUNTIF('All Tasks'!$B:$B,B61)</f>
        <v>2</v>
      </c>
      <c r="G61" s="11">
        <f>AVERAGEIF('All Tasks'!$B:$B,B61,'All Tasks'!$O:$O)</f>
        <v>0.48249999999999998</v>
      </c>
      <c r="H61" s="12">
        <f>SUMIF('All Tasks'!$B:$B,B61,'All Tasks'!$P:$P)</f>
        <v>0</v>
      </c>
      <c r="I61" s="12">
        <f t="shared" si="2"/>
        <v>0</v>
      </c>
      <c r="J61" s="13">
        <f t="shared" si="3"/>
        <v>0</v>
      </c>
      <c r="K61" s="10" t="s">
        <v>1154</v>
      </c>
    </row>
    <row r="62" spans="1:11" x14ac:dyDescent="0.25">
      <c r="A62" s="10" t="s">
        <v>851</v>
      </c>
      <c r="B62" s="10" t="s">
        <v>899</v>
      </c>
      <c r="C62" s="10" t="s">
        <v>1160</v>
      </c>
      <c r="D62" s="10">
        <v>5</v>
      </c>
      <c r="E62" s="10">
        <v>2</v>
      </c>
      <c r="F62" s="10">
        <f>COUNTIF('All Tasks'!$B:$B,B62)</f>
        <v>3</v>
      </c>
      <c r="G62" s="11">
        <f>AVERAGEIF('All Tasks'!$B:$B,B62,'All Tasks'!$O:$O)</f>
        <v>0.54500000000000004</v>
      </c>
      <c r="H62" s="12">
        <f>SUMIF('All Tasks'!$B:$B,B62,'All Tasks'!$P:$P)</f>
        <v>2.7250000000000001</v>
      </c>
      <c r="I62" s="12">
        <f t="shared" si="2"/>
        <v>2.2749999999999999</v>
      </c>
      <c r="J62" s="13">
        <f t="shared" si="3"/>
        <v>0.54500000000000004</v>
      </c>
      <c r="K62" s="10"/>
    </row>
    <row r="63" spans="1:11" x14ac:dyDescent="0.25">
      <c r="A63" s="10" t="s">
        <v>851</v>
      </c>
      <c r="B63" s="10" t="s">
        <v>907</v>
      </c>
      <c r="C63" s="10" t="s">
        <v>1161</v>
      </c>
      <c r="D63" s="10">
        <v>1</v>
      </c>
      <c r="E63" s="10">
        <v>1</v>
      </c>
      <c r="F63" s="10">
        <f>COUNTIF('All Tasks'!$B:$B,B63)</f>
        <v>1</v>
      </c>
      <c r="G63" s="11">
        <f>AVERAGEIF('All Tasks'!$B:$B,B63,'All Tasks'!$O:$O)</f>
        <v>0.18999999999999995</v>
      </c>
      <c r="H63" s="12">
        <f>SUMIF('All Tasks'!$B:$B,B63,'All Tasks'!$P:$P)</f>
        <v>0.18999999999999995</v>
      </c>
      <c r="I63" s="12">
        <f t="shared" si="2"/>
        <v>0.81</v>
      </c>
      <c r="J63" s="13">
        <f t="shared" si="3"/>
        <v>0.18999999999999995</v>
      </c>
      <c r="K63" s="10"/>
    </row>
    <row r="64" spans="1:11" x14ac:dyDescent="0.25">
      <c r="A64" s="10" t="s">
        <v>851</v>
      </c>
      <c r="B64" s="10" t="s">
        <v>911</v>
      </c>
      <c r="C64" s="10" t="s">
        <v>1162</v>
      </c>
      <c r="D64" s="10">
        <v>3</v>
      </c>
      <c r="E64" s="10">
        <v>1</v>
      </c>
      <c r="F64" s="10">
        <f>COUNTIF('All Tasks'!$B:$B,B64)</f>
        <v>3</v>
      </c>
      <c r="G64" s="11">
        <f>AVERAGEIF('All Tasks'!$B:$B,B64,'All Tasks'!$O:$O)</f>
        <v>0.41499999999999987</v>
      </c>
      <c r="H64" s="12">
        <f>SUMIF('All Tasks'!$B:$B,B64,'All Tasks'!$P:$P)</f>
        <v>1.2449999999999997</v>
      </c>
      <c r="I64" s="12">
        <f t="shared" si="2"/>
        <v>1.7550000000000003</v>
      </c>
      <c r="J64" s="13">
        <f t="shared" si="3"/>
        <v>0.41499999999999987</v>
      </c>
      <c r="K64" s="10"/>
    </row>
    <row r="65" spans="1:11" ht="24" x14ac:dyDescent="0.25">
      <c r="A65" s="10" t="s">
        <v>851</v>
      </c>
      <c r="B65" s="10" t="s">
        <v>919</v>
      </c>
      <c r="C65" s="10" t="s">
        <v>1163</v>
      </c>
      <c r="D65" s="10">
        <v>0</v>
      </c>
      <c r="E65" s="10">
        <v>1</v>
      </c>
      <c r="F65" s="10">
        <f>COUNTIF('All Tasks'!$B:$B,B65)</f>
        <v>2</v>
      </c>
      <c r="G65" s="11">
        <f>AVERAGEIF('All Tasks'!$B:$B,B65,'All Tasks'!$O:$O)</f>
        <v>0.52749999999999986</v>
      </c>
      <c r="H65" s="12">
        <f>SUMIF('All Tasks'!$B:$B,B65,'All Tasks'!$P:$P)</f>
        <v>0</v>
      </c>
      <c r="I65" s="12">
        <f t="shared" si="2"/>
        <v>0</v>
      </c>
      <c r="J65" s="13">
        <f t="shared" si="3"/>
        <v>0</v>
      </c>
      <c r="K65" s="10" t="s">
        <v>1154</v>
      </c>
    </row>
    <row r="66" spans="1:11" x14ac:dyDescent="0.25">
      <c r="A66" s="10" t="s">
        <v>851</v>
      </c>
      <c r="B66" s="10" t="s">
        <v>925</v>
      </c>
      <c r="C66" s="10" t="s">
        <v>1164</v>
      </c>
      <c r="D66" s="10">
        <v>5</v>
      </c>
      <c r="E66" s="10">
        <v>1</v>
      </c>
      <c r="F66" s="10">
        <f>COUNTIF('All Tasks'!$B:$B,B66)</f>
        <v>2</v>
      </c>
      <c r="G66" s="11">
        <f>AVERAGEIF('All Tasks'!$B:$B,B66,'All Tasks'!$O:$O)</f>
        <v>0.55374999999999996</v>
      </c>
      <c r="H66" s="12">
        <f>SUMIF('All Tasks'!$B:$B,B66,'All Tasks'!$P:$P)</f>
        <v>2.7687499999999998</v>
      </c>
      <c r="I66" s="12">
        <f t="shared" ref="I66:I97" si="4">D66-H66</f>
        <v>2.2312500000000002</v>
      </c>
      <c r="J66" s="13">
        <f t="shared" ref="J66:J96" si="5">IF(D66&gt;0,H66/D66,0)</f>
        <v>0.55374999999999996</v>
      </c>
      <c r="K66" s="10"/>
    </row>
    <row r="67" spans="1:11" x14ac:dyDescent="0.25">
      <c r="A67" s="10" t="s">
        <v>851</v>
      </c>
      <c r="B67" s="10" t="s">
        <v>931</v>
      </c>
      <c r="C67" s="10" t="s">
        <v>1165</v>
      </c>
      <c r="D67" s="10">
        <v>3</v>
      </c>
      <c r="E67" s="10">
        <v>2</v>
      </c>
      <c r="F67" s="10">
        <f>COUNTIF('All Tasks'!$B:$B,B67)</f>
        <v>2</v>
      </c>
      <c r="G67" s="11">
        <f>AVERAGEIF('All Tasks'!$B:$B,B67,'All Tasks'!$O:$O)</f>
        <v>0.55374999999999996</v>
      </c>
      <c r="H67" s="12">
        <f>SUMIF('All Tasks'!$B:$B,B67,'All Tasks'!$P:$P)</f>
        <v>1.6612499999999999</v>
      </c>
      <c r="I67" s="12">
        <f t="shared" si="4"/>
        <v>1.3387500000000001</v>
      </c>
      <c r="J67" s="13">
        <f t="shared" si="5"/>
        <v>0.55374999999999996</v>
      </c>
      <c r="K67" s="10"/>
    </row>
    <row r="68" spans="1:11" x14ac:dyDescent="0.25">
      <c r="A68" s="10" t="s">
        <v>851</v>
      </c>
      <c r="B68" s="10" t="s">
        <v>937</v>
      </c>
      <c r="C68" s="10" t="s">
        <v>1166</v>
      </c>
      <c r="D68" s="10">
        <v>2</v>
      </c>
      <c r="E68" s="10">
        <v>1</v>
      </c>
      <c r="F68" s="10">
        <f>COUNTIF('All Tasks'!$B:$B,B68)</f>
        <v>2</v>
      </c>
      <c r="G68" s="11">
        <f>AVERAGEIF('All Tasks'!$B:$B,B68,'All Tasks'!$O:$O)</f>
        <v>0.34125</v>
      </c>
      <c r="H68" s="12">
        <f>SUMIF('All Tasks'!$B:$B,B68,'All Tasks'!$P:$P)</f>
        <v>0.6825</v>
      </c>
      <c r="I68" s="12">
        <f t="shared" si="4"/>
        <v>1.3174999999999999</v>
      </c>
      <c r="J68" s="13">
        <f t="shared" si="5"/>
        <v>0.34125</v>
      </c>
      <c r="K68" s="10"/>
    </row>
    <row r="69" spans="1:11" x14ac:dyDescent="0.25">
      <c r="A69" s="14"/>
      <c r="B69" s="14" t="s">
        <v>1167</v>
      </c>
      <c r="C69" s="14" t="s">
        <v>1089</v>
      </c>
      <c r="D69" s="14">
        <f>SUM(D53:D68)</f>
        <v>30</v>
      </c>
      <c r="E69" s="14"/>
      <c r="F69" s="14"/>
      <c r="G69" s="14"/>
      <c r="H69" s="15">
        <f>SUM(H53:H68)</f>
        <v>15.254999999999997</v>
      </c>
      <c r="I69" s="15">
        <f t="shared" si="4"/>
        <v>14.745000000000003</v>
      </c>
      <c r="J69" s="16">
        <f t="shared" si="5"/>
        <v>0.50849999999999995</v>
      </c>
      <c r="K69" s="14"/>
    </row>
    <row r="70" spans="1:11" x14ac:dyDescent="0.25">
      <c r="A70" s="10" t="s">
        <v>943</v>
      </c>
      <c r="B70" s="10" t="s">
        <v>944</v>
      </c>
      <c r="C70" s="10" t="s">
        <v>1168</v>
      </c>
      <c r="D70" s="10">
        <v>3</v>
      </c>
      <c r="E70" s="10">
        <v>1</v>
      </c>
      <c r="F70" s="10">
        <f>COUNTIF('All Tasks'!$B:$B,B70)</f>
        <v>2</v>
      </c>
      <c r="G70" s="11">
        <f>AVERAGEIF('All Tasks'!$B:$B,B70,'All Tasks'!$O:$O)</f>
        <v>0.67999999999999994</v>
      </c>
      <c r="H70" s="12">
        <f>SUMIF('All Tasks'!$B:$B,B70,'All Tasks'!$P:$P)</f>
        <v>2.04</v>
      </c>
      <c r="I70" s="12">
        <f t="shared" si="4"/>
        <v>0.96</v>
      </c>
      <c r="J70" s="13">
        <f t="shared" si="5"/>
        <v>0.68</v>
      </c>
      <c r="K70" s="10"/>
    </row>
    <row r="71" spans="1:11" x14ac:dyDescent="0.25">
      <c r="A71" s="10" t="s">
        <v>943</v>
      </c>
      <c r="B71" s="10" t="s">
        <v>950</v>
      </c>
      <c r="C71" s="10" t="s">
        <v>1169</v>
      </c>
      <c r="D71" s="10">
        <v>60</v>
      </c>
      <c r="E71" s="10">
        <v>4</v>
      </c>
      <c r="F71" s="10">
        <f>COUNTIF('All Tasks'!$B:$B,B71)</f>
        <v>3</v>
      </c>
      <c r="G71" s="11">
        <f>AVERAGEIF('All Tasks'!$B:$B,B71,'All Tasks'!$O:$O)</f>
        <v>0.60333333333333339</v>
      </c>
      <c r="H71" s="12">
        <f>SUMIF('All Tasks'!$B:$B,B71,'All Tasks'!$P:$P)</f>
        <v>36.199999999999996</v>
      </c>
      <c r="I71" s="12">
        <f t="shared" si="4"/>
        <v>23.800000000000004</v>
      </c>
      <c r="J71" s="13">
        <f t="shared" si="5"/>
        <v>0.60333333333333328</v>
      </c>
      <c r="K71" s="10"/>
    </row>
    <row r="72" spans="1:11" x14ac:dyDescent="0.25">
      <c r="A72" s="10" t="s">
        <v>943</v>
      </c>
      <c r="B72" s="10" t="s">
        <v>959</v>
      </c>
      <c r="C72" s="10" t="s">
        <v>1170</v>
      </c>
      <c r="D72" s="10">
        <v>16</v>
      </c>
      <c r="E72" s="10">
        <v>2</v>
      </c>
      <c r="F72" s="10">
        <f>COUNTIF('All Tasks'!$B:$B,B72)</f>
        <v>2</v>
      </c>
      <c r="G72" s="11">
        <f>AVERAGEIF('All Tasks'!$B:$B,B72,'All Tasks'!$O:$O)</f>
        <v>0.60624999999999996</v>
      </c>
      <c r="H72" s="12">
        <f>SUMIF('All Tasks'!$B:$B,B72,'All Tasks'!$P:$P)</f>
        <v>9.6999999999999993</v>
      </c>
      <c r="I72" s="12">
        <f t="shared" si="4"/>
        <v>6.3000000000000007</v>
      </c>
      <c r="J72" s="13">
        <f t="shared" si="5"/>
        <v>0.60624999999999996</v>
      </c>
      <c r="K72" s="10"/>
    </row>
    <row r="73" spans="1:11" x14ac:dyDescent="0.25">
      <c r="A73" s="10" t="s">
        <v>943</v>
      </c>
      <c r="B73" s="10" t="s">
        <v>966</v>
      </c>
      <c r="C73" s="10" t="s">
        <v>1171</v>
      </c>
      <c r="D73" s="10">
        <v>5</v>
      </c>
      <c r="E73" s="10">
        <v>1</v>
      </c>
      <c r="F73" s="10">
        <f>COUNTIF('All Tasks'!$B:$B,B73)</f>
        <v>2</v>
      </c>
      <c r="G73" s="11">
        <f>AVERAGEIF('All Tasks'!$B:$B,B73,'All Tasks'!$O:$O)</f>
        <v>0.57999999999999996</v>
      </c>
      <c r="H73" s="12">
        <f>SUMIF('All Tasks'!$B:$B,B73,'All Tasks'!$P:$P)</f>
        <v>2.8999999999999995</v>
      </c>
      <c r="I73" s="12">
        <f t="shared" si="4"/>
        <v>2.1000000000000005</v>
      </c>
      <c r="J73" s="13">
        <f t="shared" si="5"/>
        <v>0.57999999999999985</v>
      </c>
      <c r="K73" s="10"/>
    </row>
    <row r="74" spans="1:11" x14ac:dyDescent="0.25">
      <c r="A74" s="10" t="s">
        <v>943</v>
      </c>
      <c r="B74" s="10" t="s">
        <v>973</v>
      </c>
      <c r="C74" s="10" t="s">
        <v>1172</v>
      </c>
      <c r="D74" s="10">
        <v>3</v>
      </c>
      <c r="E74" s="10">
        <v>1</v>
      </c>
      <c r="F74" s="10">
        <f>COUNTIF('All Tasks'!$B:$B,B74)</f>
        <v>2</v>
      </c>
      <c r="G74" s="11">
        <f>AVERAGEIF('All Tasks'!$B:$B,B74,'All Tasks'!$O:$O)</f>
        <v>0.34125</v>
      </c>
      <c r="H74" s="12">
        <f>SUMIF('All Tasks'!$B:$B,B74,'All Tasks'!$P:$P)</f>
        <v>1.0237499999999999</v>
      </c>
      <c r="I74" s="12">
        <f t="shared" si="4"/>
        <v>1.9762500000000001</v>
      </c>
      <c r="J74" s="13">
        <f t="shared" si="5"/>
        <v>0.34125</v>
      </c>
      <c r="K74" s="10"/>
    </row>
    <row r="75" spans="1:11" x14ac:dyDescent="0.25">
      <c r="A75" s="10" t="s">
        <v>943</v>
      </c>
      <c r="B75" s="10" t="s">
        <v>980</v>
      </c>
      <c r="C75" s="10" t="s">
        <v>1173</v>
      </c>
      <c r="D75" s="10">
        <v>5</v>
      </c>
      <c r="E75" s="10">
        <v>1</v>
      </c>
      <c r="F75" s="10">
        <f>COUNTIF('All Tasks'!$B:$B,B75)</f>
        <v>2</v>
      </c>
      <c r="G75" s="11">
        <f>AVERAGEIF('All Tasks'!$B:$B,B75,'All Tasks'!$O:$O)</f>
        <v>0.34125</v>
      </c>
      <c r="H75" s="12">
        <f>SUMIF('All Tasks'!$B:$B,B75,'All Tasks'!$P:$P)</f>
        <v>1.7062499999999998</v>
      </c>
      <c r="I75" s="12">
        <f t="shared" si="4"/>
        <v>3.2937500000000002</v>
      </c>
      <c r="J75" s="13">
        <f t="shared" si="5"/>
        <v>0.34124999999999994</v>
      </c>
      <c r="K75" s="10"/>
    </row>
    <row r="76" spans="1:11" x14ac:dyDescent="0.25">
      <c r="A76" s="10" t="s">
        <v>943</v>
      </c>
      <c r="B76" s="10" t="s">
        <v>986</v>
      </c>
      <c r="C76" s="10" t="s">
        <v>1174</v>
      </c>
      <c r="D76" s="10">
        <v>3</v>
      </c>
      <c r="E76" s="10">
        <v>1</v>
      </c>
      <c r="F76" s="10">
        <f>COUNTIF('All Tasks'!$B:$B,B76)</f>
        <v>1</v>
      </c>
      <c r="G76" s="11">
        <f>AVERAGEIF('All Tasks'!$B:$B,B76,'All Tasks'!$O:$O)</f>
        <v>0.23499999999999999</v>
      </c>
      <c r="H76" s="12">
        <f>SUMIF('All Tasks'!$B:$B,B76,'All Tasks'!$P:$P)</f>
        <v>0.70499999999999996</v>
      </c>
      <c r="I76" s="12">
        <f t="shared" si="4"/>
        <v>2.2949999999999999</v>
      </c>
      <c r="J76" s="13">
        <f t="shared" si="5"/>
        <v>0.23499999999999999</v>
      </c>
      <c r="K76" s="10"/>
    </row>
    <row r="77" spans="1:11" x14ac:dyDescent="0.25">
      <c r="A77" s="10" t="s">
        <v>943</v>
      </c>
      <c r="B77" s="10" t="s">
        <v>990</v>
      </c>
      <c r="C77" s="10" t="s">
        <v>1175</v>
      </c>
      <c r="D77" s="10">
        <v>3</v>
      </c>
      <c r="E77" s="10">
        <v>1</v>
      </c>
      <c r="F77" s="10">
        <f>COUNTIF('All Tasks'!$B:$B,B77)</f>
        <v>2</v>
      </c>
      <c r="G77" s="11">
        <f>AVERAGEIF('All Tasks'!$B:$B,B77,'All Tasks'!$O:$O)</f>
        <v>0.52749999999999986</v>
      </c>
      <c r="H77" s="12">
        <f>SUMIF('All Tasks'!$B:$B,B77,'All Tasks'!$P:$P)</f>
        <v>1.5824999999999996</v>
      </c>
      <c r="I77" s="12">
        <f t="shared" si="4"/>
        <v>1.4175000000000004</v>
      </c>
      <c r="J77" s="13">
        <f t="shared" si="5"/>
        <v>0.52749999999999986</v>
      </c>
      <c r="K77" s="10"/>
    </row>
    <row r="78" spans="1:11" x14ac:dyDescent="0.25">
      <c r="A78" s="10" t="s">
        <v>943</v>
      </c>
      <c r="B78" s="10" t="s">
        <v>996</v>
      </c>
      <c r="C78" s="10" t="s">
        <v>1176</v>
      </c>
      <c r="D78" s="10">
        <v>2</v>
      </c>
      <c r="E78" s="10">
        <v>1</v>
      </c>
      <c r="F78" s="10">
        <f>COUNTIF('All Tasks'!$B:$B,B78)</f>
        <v>2</v>
      </c>
      <c r="G78" s="11">
        <f>AVERAGEIF('All Tasks'!$B:$B,B78,'All Tasks'!$O:$O)</f>
        <v>0.30249999999999994</v>
      </c>
      <c r="H78" s="12">
        <f>SUMIF('All Tasks'!$B:$B,B78,'All Tasks'!$P:$P)</f>
        <v>0.60499999999999987</v>
      </c>
      <c r="I78" s="12">
        <f t="shared" si="4"/>
        <v>1.395</v>
      </c>
      <c r="J78" s="13">
        <f t="shared" si="5"/>
        <v>0.30249999999999994</v>
      </c>
      <c r="K78" s="10"/>
    </row>
    <row r="79" spans="1:11" x14ac:dyDescent="0.25">
      <c r="A79" s="14"/>
      <c r="B79" s="14" t="s">
        <v>1177</v>
      </c>
      <c r="C79" s="14" t="s">
        <v>1090</v>
      </c>
      <c r="D79" s="14">
        <f>SUM(D70:D78)</f>
        <v>100</v>
      </c>
      <c r="E79" s="14"/>
      <c r="F79" s="14"/>
      <c r="G79" s="14"/>
      <c r="H79" s="15">
        <f>SUM(H70:H78)</f>
        <v>56.462499999999984</v>
      </c>
      <c r="I79" s="15">
        <f t="shared" si="4"/>
        <v>43.537500000000016</v>
      </c>
      <c r="J79" s="16">
        <f t="shared" si="5"/>
        <v>0.56462499999999982</v>
      </c>
      <c r="K79" s="14"/>
    </row>
    <row r="80" spans="1:11" x14ac:dyDescent="0.25">
      <c r="A80" s="10" t="s">
        <v>1002</v>
      </c>
      <c r="B80" s="10" t="s">
        <v>1003</v>
      </c>
      <c r="C80" s="10" t="s">
        <v>1178</v>
      </c>
      <c r="D80" s="10">
        <v>2</v>
      </c>
      <c r="E80" s="10">
        <v>1</v>
      </c>
      <c r="F80" s="10">
        <f>COUNTIF('All Tasks'!$B:$B,B80)</f>
        <v>2</v>
      </c>
      <c r="G80" s="11">
        <f>AVERAGEIF('All Tasks'!$B:$B,B80,'All Tasks'!$O:$O)</f>
        <v>0.41499999999999992</v>
      </c>
      <c r="H80" s="12">
        <f>SUMIF('All Tasks'!$B:$B,B80,'All Tasks'!$P:$P)</f>
        <v>0.82999999999999985</v>
      </c>
      <c r="I80" s="12">
        <f t="shared" si="4"/>
        <v>1.1700000000000002</v>
      </c>
      <c r="J80" s="13">
        <f t="shared" si="5"/>
        <v>0.41499999999999992</v>
      </c>
      <c r="K80" s="10"/>
    </row>
    <row r="81" spans="1:11" x14ac:dyDescent="0.25">
      <c r="A81" s="10" t="s">
        <v>1002</v>
      </c>
      <c r="B81" s="10" t="s">
        <v>1009</v>
      </c>
      <c r="C81" s="10" t="s">
        <v>1179</v>
      </c>
      <c r="D81" s="10">
        <v>2</v>
      </c>
      <c r="E81" s="10">
        <v>1</v>
      </c>
      <c r="F81" s="10">
        <f>COUNTIF('All Tasks'!$B:$B,B81)</f>
        <v>2</v>
      </c>
      <c r="G81" s="11">
        <f>AVERAGEIF('All Tasks'!$B:$B,B81,'All Tasks'!$O:$O)</f>
        <v>0.41499999999999992</v>
      </c>
      <c r="H81" s="12">
        <f>SUMIF('All Tasks'!$B:$B,B81,'All Tasks'!$P:$P)</f>
        <v>0.82999999999999985</v>
      </c>
      <c r="I81" s="12">
        <f t="shared" si="4"/>
        <v>1.1700000000000002</v>
      </c>
      <c r="J81" s="13">
        <f t="shared" si="5"/>
        <v>0.41499999999999992</v>
      </c>
      <c r="K81" s="10"/>
    </row>
    <row r="82" spans="1:11" x14ac:dyDescent="0.25">
      <c r="A82" s="10" t="s">
        <v>1002</v>
      </c>
      <c r="B82" s="10" t="s">
        <v>1015</v>
      </c>
      <c r="C82" s="10" t="s">
        <v>1180</v>
      </c>
      <c r="D82" s="10">
        <v>2</v>
      </c>
      <c r="E82" s="10">
        <v>1</v>
      </c>
      <c r="F82" s="10">
        <f>COUNTIF('All Tasks'!$B:$B,B82)</f>
        <v>2</v>
      </c>
      <c r="G82" s="11">
        <f>AVERAGEIF('All Tasks'!$B:$B,B82,'All Tasks'!$O:$O)</f>
        <v>0.41499999999999992</v>
      </c>
      <c r="H82" s="12">
        <f>SUMIF('All Tasks'!$B:$B,B82,'All Tasks'!$P:$P)</f>
        <v>0.82999999999999985</v>
      </c>
      <c r="I82" s="12">
        <f t="shared" si="4"/>
        <v>1.1700000000000002</v>
      </c>
      <c r="J82" s="13">
        <f t="shared" si="5"/>
        <v>0.41499999999999992</v>
      </c>
      <c r="K82" s="10"/>
    </row>
    <row r="83" spans="1:11" x14ac:dyDescent="0.25">
      <c r="A83" s="10" t="s">
        <v>1002</v>
      </c>
      <c r="B83" s="10" t="s">
        <v>1021</v>
      </c>
      <c r="C83" s="10" t="s">
        <v>1181</v>
      </c>
      <c r="D83" s="10">
        <v>2</v>
      </c>
      <c r="E83" s="10">
        <v>1</v>
      </c>
      <c r="F83" s="10">
        <f>COUNTIF('All Tasks'!$B:$B,B83)</f>
        <v>2</v>
      </c>
      <c r="G83" s="11">
        <f>AVERAGEIF('All Tasks'!$B:$B,B83,'All Tasks'!$O:$O)</f>
        <v>0.41499999999999992</v>
      </c>
      <c r="H83" s="12">
        <f>SUMIF('All Tasks'!$B:$B,B83,'All Tasks'!$P:$P)</f>
        <v>0.82999999999999985</v>
      </c>
      <c r="I83" s="12">
        <f t="shared" si="4"/>
        <v>1.1700000000000002</v>
      </c>
      <c r="J83" s="13">
        <f t="shared" si="5"/>
        <v>0.41499999999999992</v>
      </c>
      <c r="K83" s="10"/>
    </row>
    <row r="84" spans="1:11" x14ac:dyDescent="0.25">
      <c r="A84" s="10" t="s">
        <v>1002</v>
      </c>
      <c r="B84" s="10" t="s">
        <v>1027</v>
      </c>
      <c r="C84" s="10" t="s">
        <v>1182</v>
      </c>
      <c r="D84" s="10">
        <v>1</v>
      </c>
      <c r="E84" s="10">
        <v>1</v>
      </c>
      <c r="F84" s="10">
        <f>COUNTIF('All Tasks'!$B:$B,B84)</f>
        <v>1</v>
      </c>
      <c r="G84" s="11">
        <f>AVERAGEIF('All Tasks'!$B:$B,B84,'All Tasks'!$O:$O)</f>
        <v>0.18999999999999995</v>
      </c>
      <c r="H84" s="12">
        <f>SUMIF('All Tasks'!$B:$B,B84,'All Tasks'!$P:$P)</f>
        <v>0.18999999999999995</v>
      </c>
      <c r="I84" s="12">
        <f t="shared" si="4"/>
        <v>0.81</v>
      </c>
      <c r="J84" s="13">
        <f t="shared" si="5"/>
        <v>0.18999999999999995</v>
      </c>
      <c r="K84" s="10"/>
    </row>
    <row r="85" spans="1:11" x14ac:dyDescent="0.25">
      <c r="A85" s="10" t="s">
        <v>1002</v>
      </c>
      <c r="B85" s="10" t="s">
        <v>1031</v>
      </c>
      <c r="C85" s="10" t="s">
        <v>1183</v>
      </c>
      <c r="D85" s="10">
        <v>2</v>
      </c>
      <c r="E85" s="10">
        <v>1</v>
      </c>
      <c r="F85" s="10">
        <f>COUNTIF('All Tasks'!$B:$B,B85)</f>
        <v>2</v>
      </c>
      <c r="G85" s="11">
        <f>AVERAGEIF('All Tasks'!$B:$B,B85,'All Tasks'!$O:$O)</f>
        <v>0.41499999999999992</v>
      </c>
      <c r="H85" s="12">
        <f>SUMIF('All Tasks'!$B:$B,B85,'All Tasks'!$P:$P)</f>
        <v>0.82999999999999985</v>
      </c>
      <c r="I85" s="12">
        <f t="shared" si="4"/>
        <v>1.1700000000000002</v>
      </c>
      <c r="J85" s="13">
        <f t="shared" si="5"/>
        <v>0.41499999999999992</v>
      </c>
      <c r="K85" s="10"/>
    </row>
    <row r="86" spans="1:11" x14ac:dyDescent="0.25">
      <c r="A86" s="14"/>
      <c r="B86" s="14" t="s">
        <v>1184</v>
      </c>
      <c r="C86" s="14" t="s">
        <v>1091</v>
      </c>
      <c r="D86" s="14">
        <f>SUM(D80:D85)</f>
        <v>11</v>
      </c>
      <c r="E86" s="14"/>
      <c r="F86" s="14"/>
      <c r="G86" s="14"/>
      <c r="H86" s="15">
        <f>SUM(H80:H85)</f>
        <v>4.339999999999999</v>
      </c>
      <c r="I86" s="15">
        <f t="shared" si="4"/>
        <v>6.660000000000001</v>
      </c>
      <c r="J86" s="16">
        <f t="shared" si="5"/>
        <v>0.39454545454545448</v>
      </c>
      <c r="K86" s="14"/>
    </row>
    <row r="87" spans="1:11" x14ac:dyDescent="0.25">
      <c r="A87" s="10" t="s">
        <v>1037</v>
      </c>
      <c r="B87" s="10" t="s">
        <v>1038</v>
      </c>
      <c r="C87" s="10" t="s">
        <v>1185</v>
      </c>
      <c r="D87" s="10">
        <v>10</v>
      </c>
      <c r="E87" s="10">
        <v>2</v>
      </c>
      <c r="F87" s="10">
        <f>COUNTIF('All Tasks'!$B:$B,B87)</f>
        <v>2</v>
      </c>
      <c r="G87" s="11">
        <f>AVERAGEIF('All Tasks'!$B:$B,B87,'All Tasks'!$O:$O)</f>
        <v>0.34125</v>
      </c>
      <c r="H87" s="12">
        <f>SUMIF('All Tasks'!$B:$B,B87,'All Tasks'!$P:$P)</f>
        <v>3.4124999999999996</v>
      </c>
      <c r="I87" s="12">
        <f t="shared" si="4"/>
        <v>6.5875000000000004</v>
      </c>
      <c r="J87" s="13">
        <f t="shared" si="5"/>
        <v>0.34124999999999994</v>
      </c>
      <c r="K87" s="10"/>
    </row>
    <row r="88" spans="1:11" x14ac:dyDescent="0.25">
      <c r="A88" s="10" t="s">
        <v>1037</v>
      </c>
      <c r="B88" s="10" t="s">
        <v>1044</v>
      </c>
      <c r="C88" s="10" t="s">
        <v>1186</v>
      </c>
      <c r="D88" s="10">
        <v>3</v>
      </c>
      <c r="E88" s="10">
        <v>1</v>
      </c>
      <c r="F88" s="10">
        <f>COUNTIF('All Tasks'!$B:$B,B88)</f>
        <v>1</v>
      </c>
      <c r="G88" s="11">
        <f>AVERAGEIF('All Tasks'!$B:$B,B88,'All Tasks'!$O:$O)</f>
        <v>0.14500000000000002</v>
      </c>
      <c r="H88" s="12">
        <f>SUMIF('All Tasks'!$B:$B,B88,'All Tasks'!$P:$P)</f>
        <v>0.43500000000000005</v>
      </c>
      <c r="I88" s="12">
        <f t="shared" si="4"/>
        <v>2.5649999999999999</v>
      </c>
      <c r="J88" s="13">
        <f t="shared" si="5"/>
        <v>0.14500000000000002</v>
      </c>
      <c r="K88" s="10"/>
    </row>
    <row r="89" spans="1:11" x14ac:dyDescent="0.25">
      <c r="A89" s="10" t="s">
        <v>1037</v>
      </c>
      <c r="B89" s="10" t="s">
        <v>1048</v>
      </c>
      <c r="C89" s="10" t="s">
        <v>1187</v>
      </c>
      <c r="D89" s="10">
        <v>1</v>
      </c>
      <c r="E89" s="10">
        <v>1</v>
      </c>
      <c r="F89" s="10">
        <f>COUNTIF('All Tasks'!$B:$B,B89)</f>
        <v>1</v>
      </c>
      <c r="G89" s="11">
        <f>AVERAGEIF('All Tasks'!$B:$B,B89,'All Tasks'!$O:$O)</f>
        <v>0.14500000000000002</v>
      </c>
      <c r="H89" s="12">
        <f>SUMIF('All Tasks'!$B:$B,B89,'All Tasks'!$P:$P)</f>
        <v>0.14500000000000002</v>
      </c>
      <c r="I89" s="12">
        <f t="shared" si="4"/>
        <v>0.85499999999999998</v>
      </c>
      <c r="J89" s="13">
        <f t="shared" si="5"/>
        <v>0.14500000000000002</v>
      </c>
      <c r="K89" s="10"/>
    </row>
    <row r="90" spans="1:11" x14ac:dyDescent="0.25">
      <c r="A90" s="10" t="s">
        <v>1037</v>
      </c>
      <c r="B90" s="10" t="s">
        <v>1052</v>
      </c>
      <c r="C90" s="10" t="s">
        <v>1188</v>
      </c>
      <c r="D90" s="10">
        <v>5</v>
      </c>
      <c r="E90" s="10">
        <v>2</v>
      </c>
      <c r="F90" s="10">
        <f>COUNTIF('All Tasks'!$B:$B,B90)</f>
        <v>2</v>
      </c>
      <c r="G90" s="11">
        <f>AVERAGEIF('All Tasks'!$B:$B,B90,'All Tasks'!$O:$O)</f>
        <v>0.55374999999999996</v>
      </c>
      <c r="H90" s="12">
        <f>SUMIF('All Tasks'!$B:$B,B90,'All Tasks'!$P:$P)</f>
        <v>2.7687499999999998</v>
      </c>
      <c r="I90" s="12">
        <f t="shared" si="4"/>
        <v>2.2312500000000002</v>
      </c>
      <c r="J90" s="13">
        <f t="shared" si="5"/>
        <v>0.55374999999999996</v>
      </c>
      <c r="K90" s="10"/>
    </row>
    <row r="91" spans="1:11" x14ac:dyDescent="0.25">
      <c r="A91" s="10" t="s">
        <v>1037</v>
      </c>
      <c r="B91" s="10" t="s">
        <v>1058</v>
      </c>
      <c r="C91" s="10" t="s">
        <v>1189</v>
      </c>
      <c r="D91" s="10">
        <v>10</v>
      </c>
      <c r="E91" s="10">
        <v>2</v>
      </c>
      <c r="F91" s="10">
        <f>COUNTIF('All Tasks'!$B:$B,B91)</f>
        <v>2</v>
      </c>
      <c r="G91" s="11">
        <f>AVERAGEIF('All Tasks'!$B:$B,B91,'All Tasks'!$O:$O)</f>
        <v>0.44750000000000001</v>
      </c>
      <c r="H91" s="12">
        <f>SUMIF('All Tasks'!$B:$B,B91,'All Tasks'!$P:$P)</f>
        <v>4.4749999999999996</v>
      </c>
      <c r="I91" s="12">
        <f t="shared" si="4"/>
        <v>5.5250000000000004</v>
      </c>
      <c r="J91" s="13">
        <f t="shared" si="5"/>
        <v>0.44749999999999995</v>
      </c>
      <c r="K91" s="10"/>
    </row>
    <row r="92" spans="1:11" x14ac:dyDescent="0.25">
      <c r="A92" s="10" t="s">
        <v>1037</v>
      </c>
      <c r="B92" s="10" t="s">
        <v>1064</v>
      </c>
      <c r="C92" s="10" t="s">
        <v>1190</v>
      </c>
      <c r="D92" s="10">
        <v>2</v>
      </c>
      <c r="E92" s="10">
        <v>1</v>
      </c>
      <c r="F92" s="10">
        <f>COUNTIF('All Tasks'!$B:$B,B92)</f>
        <v>1</v>
      </c>
      <c r="G92" s="11">
        <f>AVERAGEIF('All Tasks'!$B:$B,B92,'All Tasks'!$O:$O)</f>
        <v>0.14500000000000002</v>
      </c>
      <c r="H92" s="12">
        <f>SUMIF('All Tasks'!$B:$B,B92,'All Tasks'!$P:$P)</f>
        <v>0.29000000000000004</v>
      </c>
      <c r="I92" s="12">
        <f t="shared" si="4"/>
        <v>1.71</v>
      </c>
      <c r="J92" s="13">
        <f t="shared" si="5"/>
        <v>0.14500000000000002</v>
      </c>
      <c r="K92" s="10"/>
    </row>
    <row r="93" spans="1:11" x14ac:dyDescent="0.25">
      <c r="A93" s="10" t="s">
        <v>1037</v>
      </c>
      <c r="B93" s="10" t="s">
        <v>1068</v>
      </c>
      <c r="C93" s="10" t="s">
        <v>1191</v>
      </c>
      <c r="D93" s="10">
        <v>5</v>
      </c>
      <c r="E93" s="10">
        <v>1</v>
      </c>
      <c r="F93" s="10">
        <f>COUNTIF('All Tasks'!$B:$B,B93)</f>
        <v>1</v>
      </c>
      <c r="G93" s="11">
        <f>AVERAGEIF('All Tasks'!$B:$B,B93,'All Tasks'!$O:$O)</f>
        <v>0.14500000000000002</v>
      </c>
      <c r="H93" s="12">
        <f>SUMIF('All Tasks'!$B:$B,B93,'All Tasks'!$P:$P)</f>
        <v>0.72500000000000009</v>
      </c>
      <c r="I93" s="12">
        <f t="shared" si="4"/>
        <v>4.2750000000000004</v>
      </c>
      <c r="J93" s="13">
        <f t="shared" si="5"/>
        <v>0.14500000000000002</v>
      </c>
      <c r="K93" s="10"/>
    </row>
    <row r="94" spans="1:11" x14ac:dyDescent="0.25">
      <c r="A94" s="10" t="s">
        <v>1037</v>
      </c>
      <c r="B94" s="10" t="s">
        <v>1072</v>
      </c>
      <c r="C94" s="10" t="s">
        <v>1192</v>
      </c>
      <c r="D94" s="10">
        <v>3</v>
      </c>
      <c r="E94" s="10">
        <v>1</v>
      </c>
      <c r="F94" s="10">
        <f>COUNTIF('All Tasks'!$B:$B,B94)</f>
        <v>2</v>
      </c>
      <c r="G94" s="11">
        <f>AVERAGEIF('All Tasks'!$B:$B,B94,'All Tasks'!$O:$O)</f>
        <v>0.26375000000000004</v>
      </c>
      <c r="H94" s="12">
        <f>SUMIF('All Tasks'!$B:$B,B94,'All Tasks'!$P:$P)</f>
        <v>0.79125000000000012</v>
      </c>
      <c r="I94" s="12">
        <f t="shared" si="4"/>
        <v>2.2087499999999998</v>
      </c>
      <c r="J94" s="13">
        <f t="shared" si="5"/>
        <v>0.26375000000000004</v>
      </c>
      <c r="K94" s="10"/>
    </row>
    <row r="95" spans="1:11" x14ac:dyDescent="0.25">
      <c r="A95" s="14"/>
      <c r="B95" s="14" t="s">
        <v>1193</v>
      </c>
      <c r="C95" s="14" t="s">
        <v>1092</v>
      </c>
      <c r="D95" s="14">
        <f>SUM(D87:D94)</f>
        <v>39</v>
      </c>
      <c r="E95" s="14"/>
      <c r="F95" s="14"/>
      <c r="G95" s="14"/>
      <c r="H95" s="15">
        <f>SUM(H87:H94)</f>
        <v>13.042499999999997</v>
      </c>
      <c r="I95" s="15">
        <f t="shared" si="4"/>
        <v>25.957500000000003</v>
      </c>
      <c r="J95" s="16">
        <f t="shared" si="5"/>
        <v>0.33442307692307682</v>
      </c>
      <c r="K95" s="14"/>
    </row>
    <row r="96" spans="1:11" x14ac:dyDescent="0.25">
      <c r="A96" s="17"/>
      <c r="B96" s="17" t="s">
        <v>1093</v>
      </c>
      <c r="C96" s="17" t="s">
        <v>1194</v>
      </c>
      <c r="D96" s="17">
        <v>505</v>
      </c>
      <c r="E96" s="17"/>
      <c r="F96" s="17">
        <v>296</v>
      </c>
      <c r="G96" s="17"/>
      <c r="H96" s="18">
        <f>SUM('All Tasks'!$P:$P)</f>
        <v>240.86409821428543</v>
      </c>
      <c r="I96" s="18">
        <f t="shared" si="4"/>
        <v>264.13590178571457</v>
      </c>
      <c r="J96" s="19">
        <f t="shared" si="5"/>
        <v>0.47695861032531767</v>
      </c>
      <c r="K96" s="17"/>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C49438"/>
  </sheetPr>
  <dimension ref="A1:J50"/>
  <sheetViews>
    <sheetView workbookViewId="0"/>
  </sheetViews>
  <sheetFormatPr defaultRowHeight="15" x14ac:dyDescent="0.25"/>
  <cols>
    <col min="1" max="1" width="14" customWidth="1"/>
    <col min="2" max="3" width="22" customWidth="1"/>
    <col min="4" max="7" width="14" customWidth="1"/>
    <col min="8" max="8" width="58" customWidth="1"/>
    <col min="9" max="10" width="8" customWidth="1"/>
  </cols>
  <sheetData>
    <row r="1" spans="1:10" x14ac:dyDescent="0.25">
      <c r="A1" s="36" t="s">
        <v>1195</v>
      </c>
      <c r="B1" s="37"/>
      <c r="C1" s="37"/>
      <c r="D1" s="37"/>
      <c r="E1" s="37"/>
      <c r="F1" s="37"/>
      <c r="G1" s="37"/>
      <c r="H1" s="37"/>
      <c r="I1" s="37"/>
      <c r="J1" s="37"/>
    </row>
    <row r="2" spans="1:10" ht="39.950000000000003" customHeight="1" x14ac:dyDescent="0.25">
      <c r="A2" s="38" t="s">
        <v>1196</v>
      </c>
      <c r="B2" s="39"/>
      <c r="C2" s="39"/>
      <c r="D2" s="39"/>
      <c r="E2" s="39"/>
      <c r="F2" s="39"/>
      <c r="G2" s="39"/>
      <c r="H2" s="39"/>
      <c r="I2" s="39"/>
      <c r="J2" s="39"/>
    </row>
    <row r="4" spans="1:10" x14ac:dyDescent="0.25">
      <c r="A4" s="34" t="s">
        <v>1197</v>
      </c>
      <c r="B4" s="35"/>
      <c r="C4" s="35"/>
      <c r="D4" s="35"/>
      <c r="E4" s="35"/>
      <c r="F4" s="35"/>
      <c r="G4" s="35"/>
      <c r="H4" s="35"/>
      <c r="I4" s="35"/>
      <c r="J4" s="35"/>
    </row>
    <row r="5" spans="1:10" ht="25.5" x14ac:dyDescent="0.25">
      <c r="A5" s="20" t="s">
        <v>1198</v>
      </c>
      <c r="B5" s="20" t="s">
        <v>1199</v>
      </c>
      <c r="C5" s="20" t="s">
        <v>1200</v>
      </c>
      <c r="D5" s="20" t="s">
        <v>1201</v>
      </c>
      <c r="E5" s="20" t="s">
        <v>1202</v>
      </c>
      <c r="F5" s="20" t="s">
        <v>1203</v>
      </c>
      <c r="G5" s="20"/>
      <c r="H5" s="20"/>
      <c r="I5" s="20"/>
      <c r="J5" s="20"/>
    </row>
    <row r="6" spans="1:10" ht="24" x14ac:dyDescent="0.25">
      <c r="A6" s="21" t="s">
        <v>1204</v>
      </c>
      <c r="B6" s="22">
        <v>1600</v>
      </c>
      <c r="C6" s="23">
        <v>55</v>
      </c>
      <c r="D6" s="22">
        <v>88000</v>
      </c>
      <c r="E6" s="24">
        <v>2.682926829268293E-2</v>
      </c>
      <c r="F6" s="21" t="s">
        <v>1205</v>
      </c>
      <c r="G6" s="21"/>
      <c r="H6" s="21"/>
      <c r="I6" s="21"/>
      <c r="J6" s="21"/>
    </row>
    <row r="7" spans="1:10" x14ac:dyDescent="0.25">
      <c r="A7" s="21" t="s">
        <v>261</v>
      </c>
      <c r="B7" s="22">
        <v>850</v>
      </c>
      <c r="C7" s="23">
        <v>204</v>
      </c>
      <c r="D7" s="22">
        <v>173400</v>
      </c>
      <c r="E7" s="24">
        <v>9.9512195121951225E-2</v>
      </c>
      <c r="F7" s="21" t="s">
        <v>1205</v>
      </c>
      <c r="G7" s="21"/>
      <c r="H7" s="21"/>
      <c r="I7" s="21"/>
      <c r="J7" s="21"/>
    </row>
    <row r="8" spans="1:10" ht="24" x14ac:dyDescent="0.25">
      <c r="A8" s="21" t="s">
        <v>1206</v>
      </c>
      <c r="B8" s="22">
        <v>850</v>
      </c>
      <c r="C8" s="23">
        <v>126</v>
      </c>
      <c r="D8" s="22">
        <v>107100</v>
      </c>
      <c r="E8" s="24">
        <v>6.1463414634146341E-2</v>
      </c>
      <c r="F8" s="21" t="s">
        <v>1207</v>
      </c>
      <c r="G8" s="21"/>
      <c r="H8" s="21"/>
      <c r="I8" s="21"/>
      <c r="J8" s="21"/>
    </row>
    <row r="9" spans="1:10" ht="24" x14ac:dyDescent="0.25">
      <c r="A9" s="21" t="s">
        <v>182</v>
      </c>
      <c r="B9" s="22">
        <v>650</v>
      </c>
      <c r="C9" s="23">
        <v>187.5</v>
      </c>
      <c r="D9" s="22">
        <v>121875</v>
      </c>
      <c r="E9" s="24">
        <v>9.1463414634146339E-2</v>
      </c>
      <c r="F9" s="21" t="s">
        <v>1208</v>
      </c>
      <c r="G9" s="21"/>
      <c r="H9" s="21"/>
      <c r="I9" s="21"/>
      <c r="J9" s="21"/>
    </row>
    <row r="10" spans="1:10" ht="24" x14ac:dyDescent="0.25">
      <c r="A10" s="21" t="s">
        <v>1209</v>
      </c>
      <c r="B10" s="22">
        <v>850</v>
      </c>
      <c r="C10" s="23">
        <v>201</v>
      </c>
      <c r="D10" s="22">
        <v>170850</v>
      </c>
      <c r="E10" s="24">
        <v>9.8048780487804882E-2</v>
      </c>
      <c r="F10" s="21" t="s">
        <v>1210</v>
      </c>
      <c r="G10" s="21"/>
      <c r="H10" s="21"/>
      <c r="I10" s="21"/>
      <c r="J10" s="21"/>
    </row>
    <row r="11" spans="1:10" ht="36" x14ac:dyDescent="0.25">
      <c r="A11" s="21" t="s">
        <v>1211</v>
      </c>
      <c r="B11" s="22">
        <v>850</v>
      </c>
      <c r="C11" s="23">
        <v>231</v>
      </c>
      <c r="D11" s="22">
        <v>196350</v>
      </c>
      <c r="E11" s="24">
        <v>0.1126829268292683</v>
      </c>
      <c r="F11" s="21" t="s">
        <v>1212</v>
      </c>
      <c r="G11" s="21"/>
      <c r="H11" s="21"/>
      <c r="I11" s="21"/>
      <c r="J11" s="21"/>
    </row>
    <row r="12" spans="1:10" ht="24" x14ac:dyDescent="0.25">
      <c r="A12" s="21" t="s">
        <v>95</v>
      </c>
      <c r="B12" s="22">
        <v>850</v>
      </c>
      <c r="C12" s="23">
        <v>123</v>
      </c>
      <c r="D12" s="22">
        <v>104550</v>
      </c>
      <c r="E12" s="24">
        <v>0.06</v>
      </c>
      <c r="F12" s="21" t="s">
        <v>1213</v>
      </c>
      <c r="G12" s="21"/>
      <c r="H12" s="21"/>
      <c r="I12" s="21"/>
      <c r="J12" s="21"/>
    </row>
    <row r="13" spans="1:10" ht="24" x14ac:dyDescent="0.25">
      <c r="A13" s="21" t="s">
        <v>108</v>
      </c>
      <c r="B13" s="22">
        <v>850</v>
      </c>
      <c r="C13" s="23">
        <v>165</v>
      </c>
      <c r="D13" s="22">
        <v>140250</v>
      </c>
      <c r="E13" s="24">
        <v>8.0487804878048783E-2</v>
      </c>
      <c r="F13" s="21" t="s">
        <v>1214</v>
      </c>
      <c r="G13" s="21"/>
      <c r="H13" s="21"/>
      <c r="I13" s="21"/>
      <c r="J13" s="21"/>
    </row>
    <row r="14" spans="1:10" x14ac:dyDescent="0.25">
      <c r="A14" s="21" t="s">
        <v>1215</v>
      </c>
      <c r="B14" s="22">
        <v>850</v>
      </c>
      <c r="C14" s="23">
        <v>464</v>
      </c>
      <c r="D14" s="22">
        <v>394400</v>
      </c>
      <c r="E14" s="24">
        <v>0.22634146341463421</v>
      </c>
      <c r="F14" s="21" t="s">
        <v>1216</v>
      </c>
      <c r="G14" s="21"/>
      <c r="H14" s="21"/>
      <c r="I14" s="21"/>
      <c r="J14" s="21"/>
    </row>
    <row r="15" spans="1:10" ht="36" x14ac:dyDescent="0.25">
      <c r="A15" s="21" t="s">
        <v>1217</v>
      </c>
      <c r="B15" s="22">
        <v>550</v>
      </c>
      <c r="C15" s="23">
        <v>160</v>
      </c>
      <c r="D15" s="22">
        <v>88000</v>
      </c>
      <c r="E15" s="24">
        <v>7.8048780487804878E-2</v>
      </c>
      <c r="F15" s="21" t="s">
        <v>943</v>
      </c>
      <c r="G15" s="21"/>
      <c r="H15" s="21"/>
      <c r="I15" s="21"/>
      <c r="J15" s="21"/>
    </row>
    <row r="16" spans="1:10" x14ac:dyDescent="0.25">
      <c r="A16" s="21" t="s">
        <v>963</v>
      </c>
      <c r="B16" s="22">
        <v>350</v>
      </c>
      <c r="C16" s="23">
        <v>91.5</v>
      </c>
      <c r="D16" s="22">
        <v>32025</v>
      </c>
      <c r="E16" s="24">
        <v>4.4634146341463413E-2</v>
      </c>
      <c r="F16" s="21" t="s">
        <v>1218</v>
      </c>
      <c r="G16" s="21"/>
      <c r="H16" s="21"/>
      <c r="I16" s="21"/>
      <c r="J16" s="21"/>
    </row>
    <row r="17" spans="1:10" x14ac:dyDescent="0.25">
      <c r="A17" s="21" t="s">
        <v>1219</v>
      </c>
      <c r="B17" s="22">
        <v>650</v>
      </c>
      <c r="C17" s="23">
        <v>42</v>
      </c>
      <c r="D17" s="22">
        <v>27300</v>
      </c>
      <c r="E17" s="24">
        <v>2.0487804878048781E-2</v>
      </c>
      <c r="F17" s="21" t="s">
        <v>1220</v>
      </c>
      <c r="G17" s="21"/>
      <c r="H17" s="21"/>
      <c r="I17" s="21"/>
      <c r="J17" s="21"/>
    </row>
    <row r="18" spans="1:10" x14ac:dyDescent="0.25">
      <c r="A18" s="25" t="s">
        <v>1093</v>
      </c>
      <c r="B18" s="25"/>
      <c r="C18" s="26">
        <v>2050</v>
      </c>
      <c r="D18" s="27">
        <v>1644100</v>
      </c>
      <c r="E18" s="28">
        <v>1</v>
      </c>
      <c r="F18" s="25"/>
      <c r="G18" s="25"/>
      <c r="H18" s="25"/>
      <c r="I18" s="25"/>
      <c r="J18" s="25"/>
    </row>
    <row r="20" spans="1:10" x14ac:dyDescent="0.25">
      <c r="A20" s="34" t="s">
        <v>1221</v>
      </c>
      <c r="B20" s="35"/>
      <c r="C20" s="35"/>
      <c r="D20" s="35"/>
      <c r="E20" s="35"/>
      <c r="F20" s="35"/>
      <c r="G20" s="35"/>
      <c r="H20" s="35"/>
      <c r="I20" s="35"/>
      <c r="J20" s="35"/>
    </row>
    <row r="21" spans="1:10" x14ac:dyDescent="0.25">
      <c r="A21" s="20" t="s">
        <v>1222</v>
      </c>
      <c r="B21" s="20" t="s">
        <v>1223</v>
      </c>
      <c r="C21" s="20" t="s">
        <v>1224</v>
      </c>
      <c r="D21" s="20" t="s">
        <v>1201</v>
      </c>
      <c r="E21" s="20" t="s">
        <v>1202</v>
      </c>
      <c r="F21" s="20"/>
      <c r="G21" s="20"/>
      <c r="H21" s="20"/>
      <c r="I21" s="20"/>
      <c r="J21" s="20"/>
    </row>
    <row r="22" spans="1:10" x14ac:dyDescent="0.25">
      <c r="A22" s="21" t="s">
        <v>1225</v>
      </c>
      <c r="B22" s="21">
        <v>3</v>
      </c>
      <c r="C22" s="23">
        <v>43.5</v>
      </c>
      <c r="D22" s="22">
        <v>38925</v>
      </c>
      <c r="E22" s="24">
        <v>2.1219512195121949E-2</v>
      </c>
      <c r="F22" s="21"/>
      <c r="G22" s="21"/>
      <c r="H22" s="21"/>
      <c r="I22" s="21"/>
      <c r="J22" s="21"/>
    </row>
    <row r="23" spans="1:10" x14ac:dyDescent="0.25">
      <c r="A23" s="21" t="s">
        <v>1226</v>
      </c>
      <c r="B23" s="21">
        <v>2</v>
      </c>
      <c r="C23" s="23">
        <v>188</v>
      </c>
      <c r="D23" s="22">
        <v>142100</v>
      </c>
      <c r="E23" s="24">
        <v>9.170731707317073E-2</v>
      </c>
      <c r="F23" s="21"/>
      <c r="G23" s="21"/>
      <c r="H23" s="21"/>
      <c r="I23" s="21"/>
      <c r="J23" s="21"/>
    </row>
    <row r="24" spans="1:10" ht="24" x14ac:dyDescent="0.25">
      <c r="A24" s="21" t="s">
        <v>1227</v>
      </c>
      <c r="B24" s="21">
        <v>6</v>
      </c>
      <c r="C24" s="23">
        <v>1278</v>
      </c>
      <c r="D24" s="22">
        <v>1004100</v>
      </c>
      <c r="E24" s="24">
        <v>0.62341463414634146</v>
      </c>
      <c r="F24" s="21"/>
      <c r="G24" s="21"/>
      <c r="H24" s="21"/>
      <c r="I24" s="21"/>
      <c r="J24" s="21"/>
    </row>
    <row r="25" spans="1:10" ht="24" x14ac:dyDescent="0.25">
      <c r="A25" s="21" t="s">
        <v>1228</v>
      </c>
      <c r="B25" s="21">
        <v>1</v>
      </c>
      <c r="C25" s="23">
        <v>233</v>
      </c>
      <c r="D25" s="22">
        <v>178350</v>
      </c>
      <c r="E25" s="24">
        <v>0.1136585365853659</v>
      </c>
      <c r="F25" s="21"/>
      <c r="G25" s="21"/>
      <c r="H25" s="21"/>
      <c r="I25" s="21"/>
      <c r="J25" s="21"/>
    </row>
    <row r="26" spans="1:10" ht="24" x14ac:dyDescent="0.25">
      <c r="A26" s="21" t="s">
        <v>1229</v>
      </c>
      <c r="B26" s="21">
        <v>1</v>
      </c>
      <c r="C26" s="23">
        <v>27.5</v>
      </c>
      <c r="D26" s="22">
        <v>23825</v>
      </c>
      <c r="E26" s="24">
        <v>1.341463414634146E-2</v>
      </c>
      <c r="F26" s="21"/>
      <c r="G26" s="21"/>
      <c r="H26" s="21"/>
      <c r="I26" s="21"/>
      <c r="J26" s="21"/>
    </row>
    <row r="27" spans="1:10" ht="24" x14ac:dyDescent="0.25">
      <c r="A27" s="21" t="s">
        <v>1230</v>
      </c>
      <c r="B27" s="21">
        <v>2</v>
      </c>
      <c r="C27" s="23">
        <v>63</v>
      </c>
      <c r="D27" s="22">
        <v>52850</v>
      </c>
      <c r="E27" s="24">
        <v>3.073170731707317E-2</v>
      </c>
      <c r="F27" s="21"/>
      <c r="G27" s="21"/>
      <c r="H27" s="21"/>
      <c r="I27" s="21"/>
      <c r="J27" s="21"/>
    </row>
    <row r="28" spans="1:10" x14ac:dyDescent="0.25">
      <c r="A28" s="21" t="s">
        <v>1231</v>
      </c>
      <c r="B28" s="21">
        <v>3</v>
      </c>
      <c r="C28" s="23">
        <v>217</v>
      </c>
      <c r="D28" s="22">
        <v>203950</v>
      </c>
      <c r="E28" s="24">
        <v>0.1058536585365854</v>
      </c>
      <c r="F28" s="21"/>
      <c r="G28" s="21"/>
      <c r="H28" s="21"/>
      <c r="I28" s="21"/>
      <c r="J28" s="21"/>
    </row>
    <row r="30" spans="1:10" x14ac:dyDescent="0.25">
      <c r="A30" s="34" t="s">
        <v>1232</v>
      </c>
      <c r="B30" s="35"/>
      <c r="C30" s="35"/>
      <c r="D30" s="35"/>
      <c r="E30" s="35"/>
      <c r="F30" s="35"/>
      <c r="G30" s="35"/>
      <c r="H30" s="35"/>
      <c r="I30" s="35"/>
      <c r="J30" s="35"/>
    </row>
    <row r="31" spans="1:10" ht="25.5" x14ac:dyDescent="0.25">
      <c r="A31" s="20" t="s">
        <v>0</v>
      </c>
      <c r="B31" s="20" t="s">
        <v>1233</v>
      </c>
      <c r="C31" s="20" t="s">
        <v>1234</v>
      </c>
      <c r="D31" s="20" t="s">
        <v>1235</v>
      </c>
      <c r="E31" s="20" t="s">
        <v>1236</v>
      </c>
      <c r="F31" s="20" t="s">
        <v>1237</v>
      </c>
      <c r="G31" s="20" t="s">
        <v>1238</v>
      </c>
      <c r="H31" s="20" t="s">
        <v>1239</v>
      </c>
      <c r="I31" s="20" t="s">
        <v>1240</v>
      </c>
      <c r="J31" s="20" t="s">
        <v>1241</v>
      </c>
    </row>
    <row r="32" spans="1:10" x14ac:dyDescent="0.25">
      <c r="A32" s="21" t="s">
        <v>1083</v>
      </c>
      <c r="B32" s="23">
        <v>153.30000000000001</v>
      </c>
      <c r="C32" s="22">
        <v>142680</v>
      </c>
      <c r="D32" s="29">
        <v>39</v>
      </c>
      <c r="E32" s="30">
        <f t="shared" ref="E32:E42" si="0">IF(D32&gt;0,B32/D32,0)</f>
        <v>3.930769230769231</v>
      </c>
      <c r="F32" s="24">
        <f>'Summary by Workstream'!J2</f>
        <v>0.61708791208791247</v>
      </c>
      <c r="G32" s="23">
        <f t="shared" ref="G32:G41" si="1">B32*F32</f>
        <v>94.599576923076995</v>
      </c>
      <c r="H32" s="22">
        <f t="shared" ref="H32:H41" si="2">C32*F32</f>
        <v>88046.103296703353</v>
      </c>
      <c r="I32" s="23">
        <f t="shared" ref="I32:I41" si="3">B32-G32</f>
        <v>58.700423076923016</v>
      </c>
      <c r="J32" s="22">
        <f t="shared" ref="J32:J41" si="4">C32-H32</f>
        <v>54633.896703296647</v>
      </c>
    </row>
    <row r="33" spans="1:10" x14ac:dyDescent="0.25">
      <c r="A33" s="21" t="s">
        <v>1084</v>
      </c>
      <c r="B33" s="23">
        <v>553.40000000000009</v>
      </c>
      <c r="C33" s="22">
        <v>470390</v>
      </c>
      <c r="D33" s="29">
        <v>148</v>
      </c>
      <c r="E33" s="30">
        <f t="shared" si="0"/>
        <v>3.7391891891891897</v>
      </c>
      <c r="F33" s="24">
        <f>'Summary by Workstream'!J3</f>
        <v>0.48617553490990972</v>
      </c>
      <c r="G33" s="23">
        <f t="shared" si="1"/>
        <v>269.0495410191441</v>
      </c>
      <c r="H33" s="22">
        <f t="shared" si="2"/>
        <v>228692.10986627243</v>
      </c>
      <c r="I33" s="23">
        <f t="shared" si="3"/>
        <v>284.35045898085599</v>
      </c>
      <c r="J33" s="22">
        <f t="shared" si="4"/>
        <v>241697.89013372757</v>
      </c>
    </row>
    <row r="34" spans="1:10" ht="24" x14ac:dyDescent="0.25">
      <c r="A34" s="21" t="s">
        <v>1085</v>
      </c>
      <c r="B34" s="23">
        <v>102.6</v>
      </c>
      <c r="C34" s="22">
        <v>86370</v>
      </c>
      <c r="D34" s="29">
        <v>32</v>
      </c>
      <c r="E34" s="30">
        <f t="shared" si="0"/>
        <v>3.2062499999999998</v>
      </c>
      <c r="F34" s="24">
        <f>'Summary by Workstream'!J4</f>
        <v>0.46218563988095235</v>
      </c>
      <c r="G34" s="23">
        <f t="shared" si="1"/>
        <v>47.42024665178571</v>
      </c>
      <c r="H34" s="22">
        <f t="shared" si="2"/>
        <v>39918.973716517852</v>
      </c>
      <c r="I34" s="23">
        <f t="shared" si="3"/>
        <v>55.179753348214284</v>
      </c>
      <c r="J34" s="22">
        <f t="shared" si="4"/>
        <v>46451.026283482148</v>
      </c>
    </row>
    <row r="35" spans="1:10" ht="24" x14ac:dyDescent="0.25">
      <c r="A35" s="21" t="s">
        <v>1086</v>
      </c>
      <c r="B35" s="23">
        <v>33.6</v>
      </c>
      <c r="C35" s="22">
        <v>21840</v>
      </c>
      <c r="D35" s="29">
        <v>29</v>
      </c>
      <c r="E35" s="30">
        <f t="shared" si="0"/>
        <v>1.1586206896551725</v>
      </c>
      <c r="F35" s="24">
        <f>'Summary by Workstream'!J5</f>
        <v>0.42534482758620679</v>
      </c>
      <c r="G35" s="23">
        <f t="shared" si="1"/>
        <v>14.291586206896548</v>
      </c>
      <c r="H35" s="22">
        <f t="shared" si="2"/>
        <v>9289.5310344827558</v>
      </c>
      <c r="I35" s="23">
        <f t="shared" si="3"/>
        <v>19.308413793103455</v>
      </c>
      <c r="J35" s="22">
        <f t="shared" si="4"/>
        <v>12550.468965517244</v>
      </c>
    </row>
    <row r="36" spans="1:10" ht="24" x14ac:dyDescent="0.25">
      <c r="A36" s="21" t="s">
        <v>1087</v>
      </c>
      <c r="B36" s="23">
        <v>201.9</v>
      </c>
      <c r="C36" s="22">
        <v>171615</v>
      </c>
      <c r="D36" s="29">
        <v>29</v>
      </c>
      <c r="E36" s="30">
        <f t="shared" si="0"/>
        <v>6.9620689655172416</v>
      </c>
      <c r="F36" s="24">
        <f>'Summary by Workstream'!J6</f>
        <v>0.44090517241379307</v>
      </c>
      <c r="G36" s="23">
        <f t="shared" si="1"/>
        <v>89.018754310344818</v>
      </c>
      <c r="H36" s="22">
        <f t="shared" si="2"/>
        <v>75665.941163793104</v>
      </c>
      <c r="I36" s="23">
        <f t="shared" si="3"/>
        <v>112.88124568965519</v>
      </c>
      <c r="J36" s="22">
        <f t="shared" si="4"/>
        <v>95949.058836206896</v>
      </c>
    </row>
    <row r="37" spans="1:10" ht="24" x14ac:dyDescent="0.25">
      <c r="A37" s="21" t="s">
        <v>1088</v>
      </c>
      <c r="B37" s="23">
        <v>111.1</v>
      </c>
      <c r="C37" s="22">
        <v>85285</v>
      </c>
      <c r="D37" s="29">
        <v>48</v>
      </c>
      <c r="E37" s="30">
        <f t="shared" si="0"/>
        <v>2.3145833333333332</v>
      </c>
      <c r="F37" s="24">
        <f>'Summary by Workstream'!J7</f>
        <v>0.32984374999999994</v>
      </c>
      <c r="G37" s="23">
        <f t="shared" si="1"/>
        <v>36.645640624999992</v>
      </c>
      <c r="H37" s="22">
        <f t="shared" si="2"/>
        <v>28130.724218749994</v>
      </c>
      <c r="I37" s="23">
        <f t="shared" si="3"/>
        <v>74.454359374999996</v>
      </c>
      <c r="J37" s="22">
        <f t="shared" si="4"/>
        <v>57154.275781250006</v>
      </c>
    </row>
    <row r="38" spans="1:10" ht="24" x14ac:dyDescent="0.25">
      <c r="A38" s="21" t="s">
        <v>1089</v>
      </c>
      <c r="B38" s="23">
        <v>264.2</v>
      </c>
      <c r="C38" s="22">
        <v>200345</v>
      </c>
      <c r="D38" s="29">
        <v>30</v>
      </c>
      <c r="E38" s="30">
        <f t="shared" si="0"/>
        <v>8.8066666666666666</v>
      </c>
      <c r="F38" s="24">
        <f>'Summary by Workstream'!J8</f>
        <v>0.50849999999999995</v>
      </c>
      <c r="G38" s="23">
        <f t="shared" si="1"/>
        <v>134.34569999999999</v>
      </c>
      <c r="H38" s="22">
        <f t="shared" si="2"/>
        <v>101875.4325</v>
      </c>
      <c r="I38" s="23">
        <f t="shared" si="3"/>
        <v>129.85429999999999</v>
      </c>
      <c r="J38" s="22">
        <f t="shared" si="4"/>
        <v>98469.567500000005</v>
      </c>
    </row>
    <row r="39" spans="1:10" ht="24" x14ac:dyDescent="0.25">
      <c r="A39" s="21" t="s">
        <v>1090</v>
      </c>
      <c r="B39" s="23">
        <v>464.1</v>
      </c>
      <c r="C39" s="22">
        <v>312360</v>
      </c>
      <c r="D39" s="29">
        <v>100</v>
      </c>
      <c r="E39" s="30">
        <f t="shared" si="0"/>
        <v>4.641</v>
      </c>
      <c r="F39" s="24">
        <f>'Summary by Workstream'!J9</f>
        <v>0.56462499999999993</v>
      </c>
      <c r="G39" s="23">
        <f t="shared" si="1"/>
        <v>262.0424625</v>
      </c>
      <c r="H39" s="22">
        <f t="shared" si="2"/>
        <v>176366.26499999998</v>
      </c>
      <c r="I39" s="23">
        <f t="shared" si="3"/>
        <v>202.05753750000002</v>
      </c>
      <c r="J39" s="22">
        <f t="shared" si="4"/>
        <v>135993.73500000002</v>
      </c>
    </row>
    <row r="40" spans="1:10" ht="24" x14ac:dyDescent="0.25">
      <c r="A40" s="21" t="s">
        <v>1091</v>
      </c>
      <c r="B40" s="23">
        <v>107.45</v>
      </c>
      <c r="C40" s="22">
        <v>108207.5</v>
      </c>
      <c r="D40" s="29">
        <v>11</v>
      </c>
      <c r="E40" s="30">
        <f t="shared" si="0"/>
        <v>9.7681818181818176</v>
      </c>
      <c r="F40" s="24">
        <f>'Summary by Workstream'!J10</f>
        <v>0.39454545454545453</v>
      </c>
      <c r="G40" s="23">
        <f t="shared" si="1"/>
        <v>42.393909090909091</v>
      </c>
      <c r="H40" s="22">
        <f t="shared" si="2"/>
        <v>42692.777272727268</v>
      </c>
      <c r="I40" s="23">
        <f t="shared" si="3"/>
        <v>65.056090909090912</v>
      </c>
      <c r="J40" s="22">
        <f t="shared" si="4"/>
        <v>65514.722727272732</v>
      </c>
    </row>
    <row r="41" spans="1:10" ht="24" x14ac:dyDescent="0.25">
      <c r="A41" s="21" t="s">
        <v>1092</v>
      </c>
      <c r="B41" s="23">
        <v>58.350000000000009</v>
      </c>
      <c r="C41" s="22">
        <v>45007.5</v>
      </c>
      <c r="D41" s="29">
        <v>39</v>
      </c>
      <c r="E41" s="30">
        <f t="shared" si="0"/>
        <v>1.4961538461538464</v>
      </c>
      <c r="F41" s="24">
        <f>'Summary by Workstream'!J11</f>
        <v>0.33442307692307693</v>
      </c>
      <c r="G41" s="23">
        <f t="shared" si="1"/>
        <v>19.513586538461542</v>
      </c>
      <c r="H41" s="22">
        <f t="shared" si="2"/>
        <v>15051.546634615384</v>
      </c>
      <c r="I41" s="23">
        <f t="shared" si="3"/>
        <v>38.83641346153847</v>
      </c>
      <c r="J41" s="22">
        <f t="shared" si="4"/>
        <v>29955.953365384616</v>
      </c>
    </row>
    <row r="42" spans="1:10" x14ac:dyDescent="0.25">
      <c r="A42" s="25" t="s">
        <v>1093</v>
      </c>
      <c r="B42" s="26">
        <f>SUM(B32:B41)</f>
        <v>2050.0000000000005</v>
      </c>
      <c r="C42" s="27">
        <f>SUM(C32:C41)</f>
        <v>1644100</v>
      </c>
      <c r="D42" s="31">
        <f>SUM(D32:D41)</f>
        <v>505</v>
      </c>
      <c r="E42" s="32">
        <f t="shared" si="0"/>
        <v>4.0594059405940603</v>
      </c>
      <c r="F42" s="28">
        <f>IF(B42&gt;0,G42/B42,0)</f>
        <v>0.49235170920274079</v>
      </c>
      <c r="G42" s="26">
        <f>SUM(G32:G41)</f>
        <v>1009.3210038656189</v>
      </c>
      <c r="H42" s="27">
        <f>SUM(H32:H41)</f>
        <v>805729.40470386215</v>
      </c>
      <c r="I42" s="26">
        <f>SUM(I32:I41)</f>
        <v>1040.6789961343814</v>
      </c>
      <c r="J42" s="27">
        <f>SUM(J32:J41)</f>
        <v>838370.59529613785</v>
      </c>
    </row>
    <row r="44" spans="1:10" x14ac:dyDescent="0.25">
      <c r="A44" s="34" t="s">
        <v>1242</v>
      </c>
      <c r="B44" s="35"/>
      <c r="C44" s="35"/>
      <c r="D44" s="35"/>
      <c r="E44" s="35"/>
      <c r="F44" s="35"/>
      <c r="G44" s="35"/>
      <c r="H44" s="35"/>
      <c r="I44" s="35"/>
      <c r="J44" s="35"/>
    </row>
    <row r="45" spans="1:10" x14ac:dyDescent="0.25">
      <c r="A45" s="20" t="s">
        <v>1243</v>
      </c>
      <c r="B45" s="20" t="s">
        <v>1244</v>
      </c>
      <c r="C45" s="20" t="s">
        <v>1245</v>
      </c>
      <c r="D45" s="20" t="s">
        <v>1246</v>
      </c>
      <c r="E45" s="20" t="s">
        <v>1247</v>
      </c>
      <c r="F45" s="20" t="s">
        <v>1248</v>
      </c>
      <c r="G45" s="20" t="s">
        <v>1249</v>
      </c>
      <c r="H45" s="20" t="s">
        <v>1250</v>
      </c>
      <c r="I45" s="20"/>
      <c r="J45" s="20"/>
    </row>
    <row r="46" spans="1:10" x14ac:dyDescent="0.25">
      <c r="A46" s="33" t="s">
        <v>1251</v>
      </c>
      <c r="B46" s="21" t="s">
        <v>1252</v>
      </c>
      <c r="C46" s="21" t="s">
        <v>1253</v>
      </c>
      <c r="D46" s="23">
        <f>G42</f>
        <v>1009.3210038656189</v>
      </c>
      <c r="E46" s="21"/>
      <c r="F46" s="21"/>
      <c r="G46" s="21"/>
      <c r="H46" s="21" t="s">
        <v>1254</v>
      </c>
      <c r="I46" s="21"/>
      <c r="J46" s="21"/>
    </row>
    <row r="47" spans="1:10" x14ac:dyDescent="0.25">
      <c r="A47" s="21"/>
      <c r="B47" s="21" t="s">
        <v>1255</v>
      </c>
      <c r="C47" s="21" t="s">
        <v>1256</v>
      </c>
      <c r="D47" s="22">
        <f>H42</f>
        <v>805729.40470386215</v>
      </c>
      <c r="E47" s="22">
        <f>D47*1.4</f>
        <v>1128021.166585407</v>
      </c>
      <c r="F47" s="22">
        <f>D47*3</f>
        <v>2417188.2141115866</v>
      </c>
      <c r="G47" s="22">
        <f>D47*5</f>
        <v>4028647.0235193106</v>
      </c>
      <c r="H47" s="21" t="s">
        <v>1257</v>
      </c>
      <c r="I47" s="21"/>
      <c r="J47" s="21"/>
    </row>
    <row r="48" spans="1:10" ht="24" x14ac:dyDescent="0.25">
      <c r="A48" s="33" t="s">
        <v>1258</v>
      </c>
      <c r="B48" s="21" t="s">
        <v>1259</v>
      </c>
      <c r="C48" s="21" t="s">
        <v>1260</v>
      </c>
      <c r="D48" s="22">
        <v>411025</v>
      </c>
      <c r="E48" s="22">
        <f>D48*1.4</f>
        <v>575435</v>
      </c>
      <c r="F48" s="22">
        <f>D48*3</f>
        <v>1233075</v>
      </c>
      <c r="G48" s="22">
        <f>D48*5</f>
        <v>2055125</v>
      </c>
      <c r="H48" s="21" t="s">
        <v>1261</v>
      </c>
      <c r="I48" s="21"/>
      <c r="J48" s="21"/>
    </row>
    <row r="49" spans="1:10" x14ac:dyDescent="0.25">
      <c r="A49" s="33" t="s">
        <v>1262</v>
      </c>
      <c r="B49" s="21" t="s">
        <v>1263</v>
      </c>
      <c r="C49" s="21" t="s">
        <v>1264</v>
      </c>
      <c r="D49" s="21"/>
      <c r="E49" s="21"/>
      <c r="F49" s="21"/>
      <c r="G49" s="21"/>
      <c r="H49" s="21" t="s">
        <v>1265</v>
      </c>
      <c r="I49" s="21"/>
      <c r="J49" s="21"/>
    </row>
    <row r="50" spans="1:10" x14ac:dyDescent="0.25">
      <c r="A50" s="33" t="s">
        <v>1266</v>
      </c>
      <c r="B50" s="21" t="s">
        <v>1267</v>
      </c>
      <c r="C50" s="21" t="s">
        <v>1268</v>
      </c>
      <c r="D50" s="22">
        <v>1463075</v>
      </c>
      <c r="E50" s="22">
        <f>D50*1.4</f>
        <v>2048304.9999999998</v>
      </c>
      <c r="F50" s="22">
        <f>D50*3</f>
        <v>4389225</v>
      </c>
      <c r="G50" s="22">
        <f>D50*5</f>
        <v>7315375</v>
      </c>
      <c r="H50" s="21" t="s">
        <v>1269</v>
      </c>
      <c r="I50" s="21"/>
      <c r="J50" s="21"/>
    </row>
  </sheetData>
  <mergeCells count="6">
    <mergeCell ref="A44:J44"/>
    <mergeCell ref="A1:J1"/>
    <mergeCell ref="A30:J30"/>
    <mergeCell ref="A4:J4"/>
    <mergeCell ref="A20:J20"/>
    <mergeCell ref="A2:J2"/>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
  <sheetViews>
    <sheetView workbookViewId="0"/>
  </sheetViews>
  <sheetFormatPr defaultRowHeight="15" x14ac:dyDescent="0.25"/>
  <cols>
    <col min="1" max="1" width="6" customWidth="1"/>
    <col min="2" max="3" width="35" customWidth="1"/>
    <col min="4" max="4" width="55" customWidth="1"/>
    <col min="5" max="5" width="12" customWidth="1"/>
    <col min="6" max="6" width="18" customWidth="1"/>
    <col min="7" max="7" width="16" customWidth="1"/>
    <col min="8" max="8" width="25" customWidth="1"/>
  </cols>
  <sheetData>
    <row r="1" spans="1:8" ht="25.5" x14ac:dyDescent="0.25">
      <c r="A1" s="1" t="s">
        <v>1270</v>
      </c>
      <c r="B1" s="1" t="s">
        <v>1271</v>
      </c>
      <c r="C1" s="1" t="s">
        <v>1272</v>
      </c>
      <c r="D1" s="1" t="s">
        <v>1273</v>
      </c>
      <c r="E1" s="1" t="s">
        <v>1274</v>
      </c>
      <c r="F1" s="1" t="s">
        <v>1275</v>
      </c>
      <c r="G1" s="1" t="s">
        <v>21</v>
      </c>
      <c r="H1" s="1" t="s">
        <v>1276</v>
      </c>
    </row>
    <row r="2" spans="1:8" ht="24" x14ac:dyDescent="0.25">
      <c r="A2" s="2">
        <v>1</v>
      </c>
      <c r="B2" s="2" t="s">
        <v>1277</v>
      </c>
      <c r="C2" s="2" t="s">
        <v>1278</v>
      </c>
      <c r="D2" s="2" t="s">
        <v>1279</v>
      </c>
      <c r="E2" s="2" t="s">
        <v>1280</v>
      </c>
      <c r="F2" s="2" t="s">
        <v>108</v>
      </c>
      <c r="G2" s="2" t="s">
        <v>208</v>
      </c>
      <c r="H2" s="2"/>
    </row>
    <row r="3" spans="1:8" ht="24" x14ac:dyDescent="0.25">
      <c r="A3" s="2">
        <v>2</v>
      </c>
      <c r="B3" s="2" t="s">
        <v>951</v>
      </c>
      <c r="C3" s="2" t="s">
        <v>1281</v>
      </c>
      <c r="D3" s="2" t="s">
        <v>1282</v>
      </c>
      <c r="E3" s="2" t="s">
        <v>1283</v>
      </c>
      <c r="F3" s="2" t="s">
        <v>954</v>
      </c>
      <c r="G3" s="2" t="s">
        <v>195</v>
      </c>
      <c r="H3" s="2"/>
    </row>
    <row r="4" spans="1:8" ht="24" x14ac:dyDescent="0.25">
      <c r="A4" s="2">
        <v>3</v>
      </c>
      <c r="B4" s="2" t="s">
        <v>1284</v>
      </c>
      <c r="C4" s="2" t="s">
        <v>1285</v>
      </c>
      <c r="D4" s="2" t="s">
        <v>1286</v>
      </c>
      <c r="E4" s="2" t="s">
        <v>1287</v>
      </c>
      <c r="F4" s="2" t="s">
        <v>182</v>
      </c>
      <c r="G4" s="2" t="s">
        <v>208</v>
      </c>
      <c r="H4" s="2"/>
    </row>
    <row r="5" spans="1:8" ht="24" x14ac:dyDescent="0.25">
      <c r="A5" s="2">
        <v>4</v>
      </c>
      <c r="B5" s="2" t="s">
        <v>945</v>
      </c>
      <c r="C5" s="2" t="s">
        <v>1288</v>
      </c>
      <c r="D5" s="2" t="s">
        <v>1289</v>
      </c>
      <c r="E5" s="2" t="s">
        <v>1280</v>
      </c>
      <c r="F5" s="2" t="s">
        <v>182</v>
      </c>
      <c r="G5" s="2" t="s">
        <v>208</v>
      </c>
      <c r="H5" s="2"/>
    </row>
    <row r="6" spans="1:8" ht="24" x14ac:dyDescent="0.25">
      <c r="A6" s="2">
        <v>5</v>
      </c>
      <c r="B6" s="2" t="s">
        <v>251</v>
      </c>
      <c r="C6" s="2" t="s">
        <v>1290</v>
      </c>
      <c r="D6" s="2" t="s">
        <v>1291</v>
      </c>
      <c r="E6" s="2" t="s">
        <v>1292</v>
      </c>
      <c r="F6" s="2" t="s">
        <v>182</v>
      </c>
      <c r="G6" s="2" t="s">
        <v>208</v>
      </c>
      <c r="H6" s="2"/>
    </row>
    <row r="7" spans="1:8" ht="24" x14ac:dyDescent="0.25">
      <c r="A7" s="2">
        <v>6</v>
      </c>
      <c r="B7" s="2" t="s">
        <v>1293</v>
      </c>
      <c r="C7" s="2" t="s">
        <v>1294</v>
      </c>
      <c r="D7" s="2" t="s">
        <v>1295</v>
      </c>
      <c r="E7" s="2" t="s">
        <v>1296</v>
      </c>
      <c r="F7" s="2" t="s">
        <v>95</v>
      </c>
      <c r="G7" s="2" t="s">
        <v>610</v>
      </c>
      <c r="H7" s="2"/>
    </row>
    <row r="8" spans="1:8" ht="24" x14ac:dyDescent="0.25">
      <c r="A8" s="2">
        <v>7</v>
      </c>
      <c r="B8" s="2" t="s">
        <v>702</v>
      </c>
      <c r="C8" s="2" t="s">
        <v>1297</v>
      </c>
      <c r="D8" s="2" t="s">
        <v>1298</v>
      </c>
      <c r="E8" s="2" t="s">
        <v>1299</v>
      </c>
      <c r="F8" s="2" t="s">
        <v>705</v>
      </c>
      <c r="G8" s="2" t="s">
        <v>208</v>
      </c>
      <c r="H8" s="2"/>
    </row>
    <row r="9" spans="1:8" ht="24" x14ac:dyDescent="0.25">
      <c r="A9" s="2">
        <v>8</v>
      </c>
      <c r="B9" s="2" t="s">
        <v>1300</v>
      </c>
      <c r="C9" s="2" t="s">
        <v>1301</v>
      </c>
      <c r="D9" s="2" t="s">
        <v>1302</v>
      </c>
      <c r="E9" s="2" t="s">
        <v>1280</v>
      </c>
      <c r="F9" s="2" t="s">
        <v>31</v>
      </c>
      <c r="G9" s="2" t="s">
        <v>36</v>
      </c>
      <c r="H9" s="2"/>
    </row>
    <row r="10" spans="1:8" ht="24" x14ac:dyDescent="0.25">
      <c r="A10" s="2">
        <v>9</v>
      </c>
      <c r="B10" s="2" t="s">
        <v>1303</v>
      </c>
      <c r="C10" s="2" t="s">
        <v>1304</v>
      </c>
      <c r="D10" s="2" t="s">
        <v>1305</v>
      </c>
      <c r="E10" s="2" t="s">
        <v>1299</v>
      </c>
      <c r="F10" s="2" t="s">
        <v>182</v>
      </c>
      <c r="G10" s="2" t="s">
        <v>596</v>
      </c>
      <c r="H10" s="2"/>
    </row>
    <row r="11" spans="1:8" ht="24" x14ac:dyDescent="0.25">
      <c r="A11" s="2">
        <v>10</v>
      </c>
      <c r="B11" s="2" t="s">
        <v>1306</v>
      </c>
      <c r="C11" s="2" t="s">
        <v>1307</v>
      </c>
      <c r="D11" s="2" t="s">
        <v>1308</v>
      </c>
      <c r="E11" s="2" t="s">
        <v>1280</v>
      </c>
      <c r="F11" s="2" t="s">
        <v>182</v>
      </c>
      <c r="G11" s="2" t="s">
        <v>36</v>
      </c>
      <c r="H11" s="2"/>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6"/>
  <sheetViews>
    <sheetView workbookViewId="0"/>
  </sheetViews>
  <sheetFormatPr defaultRowHeight="15" x14ac:dyDescent="0.25"/>
  <cols>
    <col min="1" max="1" width="28" customWidth="1"/>
    <col min="2" max="3" width="55" customWidth="1"/>
    <col min="4" max="4" width="60" customWidth="1"/>
    <col min="5" max="5" width="25" customWidth="1"/>
  </cols>
  <sheetData>
    <row r="1" spans="1:5" x14ac:dyDescent="0.25">
      <c r="A1" s="1" t="s">
        <v>1222</v>
      </c>
      <c r="B1" s="1" t="s">
        <v>1309</v>
      </c>
      <c r="C1" s="1" t="s">
        <v>1310</v>
      </c>
      <c r="D1" s="1" t="s">
        <v>1311</v>
      </c>
      <c r="E1" s="1" t="s">
        <v>1276</v>
      </c>
    </row>
    <row r="2" spans="1:5" ht="24" x14ac:dyDescent="0.25">
      <c r="A2" s="2" t="s">
        <v>1312</v>
      </c>
      <c r="B2" s="2" t="s">
        <v>1313</v>
      </c>
      <c r="C2" s="2" t="s">
        <v>1314</v>
      </c>
      <c r="D2" s="2" t="s">
        <v>1315</v>
      </c>
      <c r="E2" s="2"/>
    </row>
    <row r="3" spans="1:5" ht="24" x14ac:dyDescent="0.25">
      <c r="A3" s="2" t="s">
        <v>1316</v>
      </c>
      <c r="B3" s="2" t="s">
        <v>1317</v>
      </c>
      <c r="C3" s="2" t="s">
        <v>1318</v>
      </c>
      <c r="D3" s="2" t="s">
        <v>1319</v>
      </c>
      <c r="E3" s="2"/>
    </row>
    <row r="4" spans="1:5" ht="24" x14ac:dyDescent="0.25">
      <c r="A4" s="2" t="s">
        <v>1320</v>
      </c>
      <c r="B4" s="2" t="s">
        <v>1321</v>
      </c>
      <c r="C4" s="2" t="s">
        <v>1322</v>
      </c>
      <c r="D4" s="2" t="s">
        <v>1323</v>
      </c>
      <c r="E4" s="2"/>
    </row>
    <row r="5" spans="1:5" ht="24" x14ac:dyDescent="0.25">
      <c r="A5" s="2" t="s">
        <v>1324</v>
      </c>
      <c r="B5" s="2" t="s">
        <v>1325</v>
      </c>
      <c r="C5" s="2" t="s">
        <v>1326</v>
      </c>
      <c r="D5" s="2" t="s">
        <v>1327</v>
      </c>
      <c r="E5" s="2"/>
    </row>
    <row r="6" spans="1:5" ht="24" x14ac:dyDescent="0.25">
      <c r="A6" s="2" t="s">
        <v>1328</v>
      </c>
      <c r="B6" s="2" t="s">
        <v>1329</v>
      </c>
      <c r="C6" s="2" t="s">
        <v>1330</v>
      </c>
      <c r="D6" s="2" t="s">
        <v>1331</v>
      </c>
      <c r="E6" s="2"/>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9"/>
  <sheetViews>
    <sheetView workbookViewId="0"/>
  </sheetViews>
  <sheetFormatPr defaultRowHeight="15" x14ac:dyDescent="0.25"/>
  <cols>
    <col min="1" max="1" width="30" customWidth="1"/>
    <col min="2" max="2" width="65" customWidth="1"/>
    <col min="3" max="3" width="12" customWidth="1"/>
    <col min="4" max="4" width="55" customWidth="1"/>
    <col min="5" max="5" width="25" customWidth="1"/>
  </cols>
  <sheetData>
    <row r="1" spans="1:5" x14ac:dyDescent="0.25">
      <c r="A1" s="1" t="s">
        <v>1332</v>
      </c>
      <c r="B1" s="1" t="s">
        <v>1333</v>
      </c>
      <c r="C1" s="1" t="s">
        <v>1334</v>
      </c>
      <c r="D1" s="1" t="s">
        <v>1335</v>
      </c>
      <c r="E1" s="1" t="s">
        <v>1276</v>
      </c>
    </row>
    <row r="2" spans="1:5" ht="24" x14ac:dyDescent="0.25">
      <c r="A2" s="2" t="s">
        <v>35</v>
      </c>
      <c r="B2" s="2" t="s">
        <v>1336</v>
      </c>
      <c r="C2" s="2" t="s">
        <v>1337</v>
      </c>
      <c r="D2" s="2" t="s">
        <v>1338</v>
      </c>
      <c r="E2" s="2"/>
    </row>
    <row r="3" spans="1:5" x14ac:dyDescent="0.25">
      <c r="A3" s="2" t="s">
        <v>141</v>
      </c>
      <c r="B3" s="2" t="s">
        <v>1339</v>
      </c>
      <c r="C3" s="2" t="s">
        <v>26</v>
      </c>
      <c r="D3" s="2" t="s">
        <v>1340</v>
      </c>
      <c r="E3" s="2"/>
    </row>
    <row r="4" spans="1:5" ht="24" x14ac:dyDescent="0.25">
      <c r="A4" s="2" t="s">
        <v>1341</v>
      </c>
      <c r="B4" s="2" t="s">
        <v>1342</v>
      </c>
      <c r="C4" s="2" t="s">
        <v>1337</v>
      </c>
      <c r="D4" s="2" t="s">
        <v>1343</v>
      </c>
      <c r="E4" s="2"/>
    </row>
    <row r="5" spans="1:5" x14ac:dyDescent="0.25">
      <c r="A5" s="2" t="s">
        <v>42</v>
      </c>
      <c r="B5" s="2" t="s">
        <v>1344</v>
      </c>
      <c r="C5" s="2" t="s">
        <v>26</v>
      </c>
      <c r="D5" s="2" t="s">
        <v>1345</v>
      </c>
      <c r="E5" s="2"/>
    </row>
    <row r="6" spans="1:5" ht="24" x14ac:dyDescent="0.25">
      <c r="A6" s="2" t="s">
        <v>1346</v>
      </c>
      <c r="B6" s="2" t="s">
        <v>1347</v>
      </c>
      <c r="C6" s="2" t="s">
        <v>1337</v>
      </c>
      <c r="D6" s="2" t="s">
        <v>1348</v>
      </c>
      <c r="E6" s="2"/>
    </row>
    <row r="7" spans="1:5" x14ac:dyDescent="0.25">
      <c r="A7" s="2" t="s">
        <v>96</v>
      </c>
      <c r="B7" s="2" t="s">
        <v>1349</v>
      </c>
      <c r="C7" s="2" t="s">
        <v>26</v>
      </c>
      <c r="D7" s="2" t="s">
        <v>1350</v>
      </c>
      <c r="E7" s="2"/>
    </row>
    <row r="8" spans="1:5" x14ac:dyDescent="0.25">
      <c r="A8" s="2" t="s">
        <v>1351</v>
      </c>
      <c r="B8" s="2" t="s">
        <v>1352</v>
      </c>
      <c r="C8" s="2" t="s">
        <v>55</v>
      </c>
      <c r="D8" s="2" t="s">
        <v>1353</v>
      </c>
      <c r="E8" s="2"/>
    </row>
    <row r="9" spans="1:5" x14ac:dyDescent="0.25">
      <c r="A9" s="2" t="s">
        <v>1354</v>
      </c>
      <c r="B9" s="2" t="s">
        <v>1355</v>
      </c>
      <c r="C9" s="2" t="s">
        <v>55</v>
      </c>
      <c r="D9" s="2" t="s">
        <v>1356</v>
      </c>
      <c r="E9" s="2"/>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All Tasks</vt:lpstr>
      <vt:lpstr>Summary by Workstream</vt:lpstr>
      <vt:lpstr>Effort Reduction Summary</vt:lpstr>
      <vt:lpstr>Real-World AI Impact</vt:lpstr>
      <vt:lpstr>Top 10 AI Applications</vt:lpstr>
      <vt:lpstr>Implementation Roadmap</vt:lpstr>
      <vt:lpstr>External Data Sources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Paul Fenton</cp:lastModifiedBy>
  <dcterms:created xsi:type="dcterms:W3CDTF">2026-04-02T14:24:37Z</dcterms:created>
  <dcterms:modified xsi:type="dcterms:W3CDTF">2026-04-02T21:50:55Z</dcterms:modified>
</cp:coreProperties>
</file>
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asks" sheetId="1" state="visible" r:id="rId1"/>
    <sheet name="Summary by Workstream" sheetId="2" state="visible" r:id="rId2"/>
    <sheet name="Effort Reduction Summary" sheetId="3" state="visible" r:id="rId3"/>
    <sheet name="Real-World AI Impact" sheetId="4" state="visible" r:id="rId4"/>
    <sheet name="Top 10 AI Applications" sheetId="5" state="visible" r:id="rId5"/>
    <sheet name="Implementation Roadmap" sheetId="6" state="visible" r:id="rId6"/>
    <sheet name="External Data 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£#,##0"/>
    <numFmt numFmtId="167" formatCode="0.0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9"/>
    </font>
    <font>
      <name val="Calibri"/>
      <b val="1"/>
      <sz val="9"/>
    </font>
    <font>
      <name val="Calibri"/>
      <b val="1"/>
      <color rgb="00C49438"/>
      <sz val="9"/>
    </font>
    <font>
      <name val="Calibri"/>
      <b val="1"/>
      <color rgb="001B2A4A"/>
      <sz val="10"/>
    </font>
    <font>
      <name val="Calibri"/>
      <b val="1"/>
      <color rgb="00C49438"/>
      <sz val="10"/>
    </font>
    <font>
      <name val="Calibri"/>
      <color rgb="0094A3B8"/>
      <sz val="9"/>
    </font>
    <font>
      <name val="Calibri"/>
      <i val="1"/>
      <color rgb="0064748B"/>
      <sz val="8"/>
    </font>
    <font>
      <name val="Calibri"/>
      <b val="1"/>
      <color rgb="00E8ECF1"/>
      <sz val="10"/>
    </font>
    <font>
      <name val="Calibri"/>
      <color rgb="00E8ECF1"/>
      <sz val="9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  <fill>
      <patternFill patternType="solid">
        <fgColor rgb="001B2A4A"/>
        <bgColor rgb="001B2A4A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253551"/>
        <bgColor rgb="00253551"/>
      </patternFill>
    </fill>
    <fill>
      <patternFill patternType="solid">
        <fgColor rgb="00C49438"/>
        <bgColor rgb="00C49438"/>
      </patternFill>
    </fill>
    <fill>
      <patternFill patternType="solid">
        <fgColor rgb="000D2137"/>
        <bgColor rgb="000D2137"/>
      </patternFill>
    </fill>
    <fill>
      <patternFill patternType="solid">
        <fgColor rgb="000F1724"/>
        <bgColor rgb="000F1724"/>
      </patternFill>
    </fill>
    <fill>
      <patternFill patternType="solid">
        <fgColor rgb="00162032"/>
        <bgColor rgb="0016203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253551"/>
      </left>
      <right style="thin">
        <color rgb="00253551"/>
      </right>
      <top style="thin">
        <color rgb="00253551"/>
      </top>
      <bottom style="thin">
        <color rgb="0025355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9" fontId="2" fillId="2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165" fontId="4" fillId="9" borderId="1" applyAlignment="1" pivotButton="0" quotePrefix="0" xfId="0">
      <alignment vertical="top" wrapText="1"/>
    </xf>
    <xf numFmtId="164" fontId="4" fillId="9" borderId="1" applyAlignment="1" pivotButton="0" quotePrefix="0" xfId="0">
      <alignment vertical="top" wrapText="1"/>
    </xf>
    <xf numFmtId="0" fontId="5" fillId="10" borderId="1" pivotButton="0" quotePrefix="0" xfId="0"/>
    <xf numFmtId="165" fontId="5" fillId="10" borderId="1" pivotButton="0" quotePrefix="0" xfId="0"/>
    <xf numFmtId="164" fontId="5" fillId="10" borderId="1" pivotButton="0" quotePrefix="0" xfId="0"/>
    <xf numFmtId="0" fontId="6" fillId="11" borderId="2" applyAlignment="1" pivotButton="0" quotePrefix="0" xfId="0">
      <alignment vertical="top" wrapText="1"/>
    </xf>
    <xf numFmtId="0" fontId="7" fillId="11" borderId="2" applyAlignment="1" pivotButton="0" quotePrefix="0" xfId="0">
      <alignment vertical="top" wrapText="1"/>
    </xf>
    <xf numFmtId="0" fontId="8" fillId="12" borderId="2" applyAlignment="1" pivotButton="0" quotePrefix="0" xfId="0">
      <alignment vertical="top" wrapText="1"/>
    </xf>
    <xf numFmtId="0" fontId="7" fillId="12" borderId="2" applyAlignment="1" pivotButton="0" quotePrefix="0" xfId="0">
      <alignment vertical="top" wrapText="1"/>
    </xf>
    <xf numFmtId="0" fontId="9" fillId="13" borderId="2" applyAlignment="1" pivotButton="0" quotePrefix="0" xfId="0">
      <alignment vertical="top" wrapText="1"/>
    </xf>
    <xf numFmtId="0" fontId="7" fillId="13" borderId="2" applyAlignment="1" pivotButton="0" quotePrefix="0" xfId="0">
      <alignment vertical="top" wrapText="1"/>
    </xf>
    <xf numFmtId="166" fontId="10" fillId="12" borderId="2" applyAlignment="1" pivotButton="0" quotePrefix="0" xfId="0">
      <alignment vertical="top" wrapText="1"/>
    </xf>
    <xf numFmtId="165" fontId="10" fillId="12" borderId="2" applyAlignment="1" pivotButton="0" quotePrefix="0" xfId="0">
      <alignment vertical="top" wrapText="1"/>
    </xf>
    <xf numFmtId="164" fontId="10" fillId="12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  <xf numFmtId="165" fontId="6" fillId="12" borderId="2" applyAlignment="1" pivotButton="0" quotePrefix="0" xfId="0">
      <alignment vertical="top" wrapText="1"/>
    </xf>
    <xf numFmtId="166" fontId="6" fillId="12" borderId="2" applyAlignment="1" pivotButton="0" quotePrefix="0" xfId="0">
      <alignment vertical="top" wrapText="1"/>
    </xf>
    <xf numFmtId="164" fontId="6" fillId="12" borderId="2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167" fontId="10" fillId="12" borderId="2" applyAlignment="1" pivotButton="0" quotePrefix="0" xfId="0">
      <alignment vertical="top" wrapText="1"/>
    </xf>
    <xf numFmtId="1" fontId="6" fillId="12" borderId="2" applyAlignment="1" pivotButton="0" quotePrefix="0" xfId="0">
      <alignment vertical="top" wrapText="1"/>
    </xf>
    <xf numFmtId="167" fontId="6" fillId="12" borderId="2" applyAlignment="1" pivotButton="0" quotePrefix="0" xfId="0">
      <alignment vertical="top" wrapText="1"/>
    </xf>
    <xf numFmtId="0" fontId="4" fillId="12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9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50" customWidth="1" min="5" max="5"/>
    <col width="45" customWidth="1" min="6" max="6"/>
    <col width="30" customWidth="1" min="7" max="7"/>
    <col width="40" customWidth="1" min="8" max="8"/>
    <col width="16" customWidth="1" min="9" max="9"/>
    <col width="12" customWidth="1" min="10" max="10"/>
    <col width="10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6" customWidth="1" min="17" max="17"/>
    <col width="12" customWidth="1" min="18" max="18"/>
    <col width="12" customWidth="1" min="19" max="19"/>
    <col width="30" customWidth="1" min="20" max="20"/>
    <col width="22" customWidth="1" min="21" max="21"/>
    <col width="14" customWidth="1" min="22" max="22"/>
    <col width="25" customWidth="1" min="23" max="23"/>
  </cols>
  <sheetData>
    <row r="1">
      <c r="A1" s="1" t="inlineStr">
        <is>
          <t>Workstream</t>
        </is>
      </c>
      <c r="B1" s="1" t="inlineStr">
        <is>
          <t>Activity Code</t>
        </is>
      </c>
      <c r="C1" s="1" t="inlineStr">
        <is>
          <t>Task ID</t>
        </is>
      </c>
      <c r="D1" s="1" t="inlineStr">
        <is>
          <t>AI Rating</t>
        </is>
      </c>
      <c r="E1" s="1" t="inlineStr">
        <is>
          <t>Task Name</t>
        </is>
      </c>
      <c r="F1" s="1" t="inlineStr">
        <is>
          <t>What AI Does</t>
        </is>
      </c>
      <c r="G1" s="1" t="inlineStr">
        <is>
          <t>Inputs Needed</t>
        </is>
      </c>
      <c r="H1" s="1" t="inlineStr">
        <is>
          <t>Value Proposition</t>
        </is>
      </c>
      <c r="I1" s="1" t="inlineStr">
        <is>
          <t>Primary Role Impact</t>
        </is>
      </c>
      <c r="J1" s="1" t="inlineStr">
        <is>
          <t>Activity Effort (days)</t>
        </is>
      </c>
      <c r="K1" s="1" t="inlineStr">
        <is>
          <t>Team Size</t>
        </is>
      </c>
      <c r="L1" s="1" t="inlineStr">
        <is>
          <t>Task Effort Share (days)</t>
        </is>
      </c>
      <c r="M1" s="1" t="inlineStr">
        <is>
          <t>Direct AI Reduction %</t>
        </is>
      </c>
      <c r="N1" s="1" t="inlineStr">
        <is>
          <t>Compound Acceleration %</t>
        </is>
      </c>
      <c r="O1" s="1" t="inlineStr">
        <is>
          <t>Effective Reduction %</t>
        </is>
      </c>
      <c r="P1" s="1" t="inlineStr">
        <is>
          <t>AI Days Saved</t>
        </is>
      </c>
      <c r="Q1" s="1" t="inlineStr">
        <is>
          <t>Decision Velocity Impact</t>
        </is>
      </c>
      <c r="R1" s="1" t="inlineStr">
        <is>
          <t>Quality Uplift</t>
        </is>
      </c>
      <c r="S1" s="1" t="inlineStr">
        <is>
          <t>Cost Reduction</t>
        </is>
      </c>
      <c r="T1" s="1" t="inlineStr">
        <is>
          <t>Key Blocker</t>
        </is>
      </c>
      <c r="U1" s="1" t="inlineStr">
        <is>
          <t>External Data Required</t>
        </is>
      </c>
      <c r="V1" s="1" t="inlineStr">
        <is>
          <t>Implementation Phase</t>
        </is>
      </c>
      <c r="W1" s="1" t="inlineStr">
        <is>
          <t>User Notes / Challenge</t>
        </is>
      </c>
    </row>
    <row r="2">
      <c r="A2" s="2" t="inlineStr">
        <is>
          <t>SAL</t>
        </is>
      </c>
      <c r="B2" s="2" t="inlineStr">
        <is>
          <t>SAL-01</t>
        </is>
      </c>
      <c r="C2" s="2" t="inlineStr">
        <is>
          <t>SAL-01.1.1</t>
        </is>
      </c>
      <c r="D2" s="3" t="inlineStr">
        <is>
          <t>High</t>
        </is>
      </c>
      <c r="E2" s="2" t="inlineStr">
        <is>
          <t>Gather and review procurement documentation — ITT notice, prior information notices, market engagement outputs</t>
        </is>
      </c>
      <c r="F2" s="2" t="inlineStr">
        <is>
          <t>Scrape Contracts Finder/FTS, extract key data from OJEU notices, compile procurement context automatically</t>
        </is>
      </c>
      <c r="G2" s="2" t="inlineStr">
        <is>
          <t>Contracts Finder API, FTS data, OJEU notice</t>
        </is>
      </c>
      <c r="H2" s="2" t="inlineStr">
        <is>
          <t>Decision velocity: Capture Lead has procurement context in hours not days</t>
        </is>
      </c>
      <c r="I2" s="2" t="inlineStr">
        <is>
          <t>Capture Lead</t>
        </is>
      </c>
      <c r="J2" s="2" t="n">
        <v>10</v>
      </c>
      <c r="K2" s="2" t="n">
        <v>1</v>
      </c>
      <c r="L2" s="4">
        <f>J2/COUNTIF($B:$B,B2)</f>
        <v/>
      </c>
      <c r="M2" s="5" t="n">
        <v>0.6</v>
      </c>
      <c r="N2" s="5" t="n">
        <v>0</v>
      </c>
      <c r="O2" s="6">
        <f>1-(1-M2)*(1-N2)</f>
        <v/>
      </c>
      <c r="P2" s="7">
        <f>L2*O2</f>
        <v/>
      </c>
      <c r="Q2" s="2" t="inlineStr">
        <is>
          <t>High</t>
        </is>
      </c>
      <c r="R2" s="2" t="inlineStr">
        <is>
          <t>Moderate</t>
        </is>
      </c>
      <c r="S2" s="2" t="inlineStr">
        <is>
          <t>Yes</t>
        </is>
      </c>
      <c r="T2" s="2" t="inlineStr">
        <is>
          <t>Structured data must be available</t>
        </is>
      </c>
      <c r="U2" s="2" t="inlineStr">
        <is>
          <t>Contracts Finder / FTS API</t>
        </is>
      </c>
      <c r="V2" s="2" t="inlineStr">
        <is>
          <t>Phase 3</t>
        </is>
      </c>
      <c r="W2" s="2" t="inlineStr"/>
    </row>
    <row r="3">
      <c r="A3" s="2" t="inlineStr">
        <is>
          <t>SAL</t>
        </is>
      </c>
      <c r="B3" s="2" t="inlineStr">
        <is>
          <t>SAL-01</t>
        </is>
      </c>
      <c r="C3" s="2" t="inlineStr">
        <is>
          <t>SAL-01.1.2</t>
        </is>
      </c>
      <c r="D3" s="3" t="inlineStr">
        <is>
          <t>High</t>
        </is>
      </c>
      <c r="E3" s="2" t="inlineStr">
        <is>
          <t>Review client strategic plans, spending reviews, policy drivers, and published priorities</t>
        </is>
      </c>
      <c r="F3" s="2" t="inlineStr">
        <is>
          <t>Analyse published strategies, spending reviews, annual reports. Extract priorities, budget pressures, policy drivers</t>
        </is>
      </c>
      <c r="G3" s="2" t="inlineStr">
        <is>
          <t>Client published documents (PDFs, web pages)</t>
        </is>
      </c>
      <c r="H3" s="2" t="inlineStr">
        <is>
          <t>Quality uplift: AI reads more documents more thoroughly than a human under time pressure</t>
        </is>
      </c>
      <c r="I3" s="2" t="inlineStr">
        <is>
          <t>Capture Lead</t>
        </is>
      </c>
      <c r="J3" s="2" t="n">
        <v>10</v>
      </c>
      <c r="K3" s="2" t="n">
        <v>1</v>
      </c>
      <c r="L3" s="4">
        <f>J3/COUNTIF($B:$B,B3)</f>
        <v/>
      </c>
      <c r="M3" s="5" t="n">
        <v>0.5</v>
      </c>
      <c r="N3" s="5" t="n">
        <v>0</v>
      </c>
      <c r="O3" s="6">
        <f>1-(1-M3)*(1-N3)</f>
        <v/>
      </c>
      <c r="P3" s="7">
        <f>L3*O3</f>
        <v/>
      </c>
      <c r="Q3" s="2" t="inlineStr">
        <is>
          <t>High</t>
        </is>
      </c>
      <c r="R3" s="2" t="inlineStr">
        <is>
          <t>Yes</t>
        </is>
      </c>
      <c r="S3" s="2" t="inlineStr">
        <is>
          <t>Yes</t>
        </is>
      </c>
      <c r="T3" s="2" t="inlineStr">
        <is>
          <t>Structured data must be available</t>
        </is>
      </c>
      <c r="U3" s="2" t="inlineStr">
        <is>
          <t>Client Published Documents</t>
        </is>
      </c>
      <c r="V3" s="2" t="inlineStr">
        <is>
          <t>Phase 3</t>
        </is>
      </c>
      <c r="W3" s="2" t="inlineStr"/>
    </row>
    <row r="4">
      <c r="A4" s="2" t="inlineStr">
        <is>
          <t>SAL</t>
        </is>
      </c>
      <c r="B4" s="2" t="inlineStr">
        <is>
          <t>SAL-01</t>
        </is>
      </c>
      <c r="C4" s="2" t="inlineStr">
        <is>
          <t>SAL-01.1.3</t>
        </is>
      </c>
      <c r="D4" s="3" t="inlineStr">
        <is>
          <t>High</t>
        </is>
      </c>
      <c r="E4" s="2" t="inlineStr">
        <is>
          <t>Compile market and sector intelligence relevant to this requirement</t>
        </is>
      </c>
      <c r="F4" s="2" t="inlineStr">
        <is>
          <t>Scan trade press, analyst reports, sector publications. Synthesise relevant trends</t>
        </is>
      </c>
      <c r="G4" s="2" t="inlineStr">
        <is>
          <t>Web search, trade press archives, sector reports</t>
        </is>
      </c>
      <c r="H4" s="2" t="inlineStr">
        <is>
          <t>Time reduction: Hours of manual research compressed to minutes</t>
        </is>
      </c>
      <c r="I4" s="2" t="inlineStr">
        <is>
          <t>Capture Lead</t>
        </is>
      </c>
      <c r="J4" s="2" t="n">
        <v>10</v>
      </c>
      <c r="K4" s="2" t="n">
        <v>1</v>
      </c>
      <c r="L4" s="4">
        <f>J4/COUNTIF($B:$B,B4)</f>
        <v/>
      </c>
      <c r="M4" s="5" t="n">
        <v>0.7</v>
      </c>
      <c r="N4" s="5" t="n">
        <v>0</v>
      </c>
      <c r="O4" s="6">
        <f>1-(1-M4)*(1-N4)</f>
        <v/>
      </c>
      <c r="P4" s="7">
        <f>L4*O4</f>
        <v/>
      </c>
      <c r="Q4" s="2" t="inlineStr">
        <is>
          <t>High</t>
        </is>
      </c>
      <c r="R4" s="2" t="inlineStr">
        <is>
          <t>Moderate</t>
        </is>
      </c>
      <c r="S4" s="2" t="inlineStr">
        <is>
          <t>Yes</t>
        </is>
      </c>
      <c r="T4" s="2" t="inlineStr">
        <is>
          <t>Structured data must be available</t>
        </is>
      </c>
      <c r="U4" s="2" t="inlineStr">
        <is>
          <t>Market Intelligence Sources</t>
        </is>
      </c>
      <c r="V4" s="2" t="inlineStr">
        <is>
          <t>Phase 3</t>
        </is>
      </c>
      <c r="W4" s="2" t="inlineStr"/>
    </row>
    <row r="5">
      <c r="A5" s="2" t="inlineStr">
        <is>
          <t>SAL</t>
        </is>
      </c>
      <c r="B5" s="2" t="inlineStr">
        <is>
          <t>SAL-01</t>
        </is>
      </c>
      <c r="C5" s="2" t="inlineStr">
        <is>
          <t>SAL-01.1.4</t>
        </is>
      </c>
      <c r="D5" s="3" t="inlineStr">
        <is>
          <t>High</t>
        </is>
      </c>
      <c r="E5" s="2" t="inlineStr">
        <is>
          <t>Map client's existing strategic suppliers, partners, and past procurement activity at a strategic level</t>
        </is>
      </c>
      <c r="F5" s="2" t="inlineStr">
        <is>
          <t>Analyse Contracts Finder award history, cross-reference with Companies House, identify supplier relationships</t>
        </is>
      </c>
      <c r="G5" s="2" t="inlineStr">
        <is>
          <t>Contracts Finder API, Companies House API</t>
        </is>
      </c>
      <c r="H5" s="2" t="inlineStr">
        <is>
          <t>Decision velocity: Supplier landscape available immediately, not after days of manual research</t>
        </is>
      </c>
      <c r="I5" s="2" t="inlineStr">
        <is>
          <t>Capture Lead</t>
        </is>
      </c>
      <c r="J5" s="2" t="n">
        <v>10</v>
      </c>
      <c r="K5" s="2" t="n">
        <v>1</v>
      </c>
      <c r="L5" s="4">
        <f>J5/COUNTIF($B:$B,B5)</f>
        <v/>
      </c>
      <c r="M5" s="5" t="n">
        <v>0.7</v>
      </c>
      <c r="N5" s="5" t="n">
        <v>0</v>
      </c>
      <c r="O5" s="6">
        <f>1-(1-M5)*(1-N5)</f>
        <v/>
      </c>
      <c r="P5" s="7">
        <f>L5*O5</f>
        <v/>
      </c>
      <c r="Q5" s="2" t="inlineStr">
        <is>
          <t>High</t>
        </is>
      </c>
      <c r="R5" s="2" t="inlineStr">
        <is>
          <t>Moderate</t>
        </is>
      </c>
      <c r="S5" s="2" t="inlineStr">
        <is>
          <t>Yes</t>
        </is>
      </c>
      <c r="T5" s="2" t="inlineStr">
        <is>
          <t>Structured data must be available</t>
        </is>
      </c>
      <c r="U5" s="2" t="inlineStr">
        <is>
          <t>Client Published Documents</t>
        </is>
      </c>
      <c r="V5" s="2" t="inlineStr">
        <is>
          <t>Phase 3</t>
        </is>
      </c>
      <c r="W5" s="2" t="inlineStr"/>
    </row>
    <row r="6">
      <c r="A6" s="2" t="inlineStr">
        <is>
          <t>SAL</t>
        </is>
      </c>
      <c r="B6" s="2" t="inlineStr">
        <is>
          <t>SAL-01</t>
        </is>
      </c>
      <c r="C6" s="2" t="inlineStr">
        <is>
          <t>SAL-01.2.1</t>
        </is>
      </c>
      <c r="D6" s="8" t="inlineStr">
        <is>
          <t>Medium</t>
        </is>
      </c>
      <c r="E6" s="2" t="inlineStr">
        <is>
          <t>Identify client's strategic priorities, pain points, and hot-button issues from available intelligence</t>
        </is>
      </c>
      <c r="F6" s="2" t="inlineStr">
        <is>
          <t>AI drafts buyer values from document analysis. Human validates against relationship intelligence</t>
        </is>
      </c>
      <c r="G6" s="2" t="inlineStr">
        <is>
          <t>SAL-01.1 outputs + CRM data</t>
        </is>
      </c>
      <c r="H6" s="2" t="inlineStr">
        <is>
          <t>Quality uplift: AI surfaces values human might miss from document volume</t>
        </is>
      </c>
      <c r="I6" s="2" t="inlineStr">
        <is>
          <t>Capture Lead</t>
        </is>
      </c>
      <c r="J6" s="2" t="n">
        <v>10</v>
      </c>
      <c r="K6" s="2" t="n">
        <v>1</v>
      </c>
      <c r="L6" s="4">
        <f>J6/COUNTIF($B:$B,B6)</f>
        <v/>
      </c>
      <c r="M6" s="5" t="n">
        <v>0.4</v>
      </c>
      <c r="N6" s="5" t="n">
        <v>0</v>
      </c>
      <c r="O6" s="6">
        <f>1-(1-M6)*(1-N6)</f>
        <v/>
      </c>
      <c r="P6" s="7">
        <f>L6*O6</f>
        <v/>
      </c>
      <c r="Q6" s="2" t="inlineStr">
        <is>
          <t>Medium</t>
        </is>
      </c>
      <c r="R6" s="2" t="inlineStr">
        <is>
          <t>Yes</t>
        </is>
      </c>
      <c r="S6" s="2" t="inlineStr">
        <is>
          <t>Moderate</t>
        </is>
      </c>
      <c r="T6" s="2" t="inlineStr">
        <is>
          <t>Domain judgement required for validation</t>
        </is>
      </c>
      <c r="U6" s="2" t="inlineStr">
        <is>
          <t>Client Published Documents</t>
        </is>
      </c>
      <c r="V6" s="2" t="inlineStr">
        <is>
          <t>Phase 3</t>
        </is>
      </c>
      <c r="W6" s="2" t="inlineStr"/>
    </row>
    <row r="7">
      <c r="A7" s="2" t="inlineStr">
        <is>
          <t>SAL</t>
        </is>
      </c>
      <c r="B7" s="2" t="inlineStr">
        <is>
          <t>SAL-01</t>
        </is>
      </c>
      <c r="C7" s="2" t="inlineStr">
        <is>
          <t>SAL-01.2.2</t>
        </is>
      </c>
      <c r="D7" s="8" t="inlineStr">
        <is>
          <t>Medium</t>
        </is>
      </c>
      <c r="E7" s="2" t="inlineStr">
        <is>
          <t>Analyse the current problem or opportunity the client is trying to solve — what is driving this procurement?</t>
        </is>
      </c>
      <c r="F7" s="2" t="inlineStr">
        <is>
          <t>AI synthesises the "why" from strategic context. Human validates interpretation</t>
        </is>
      </c>
      <c r="G7" s="2" t="inlineStr">
        <is>
          <t>SAL-01.1 + SAL-01.2.1 outputs</t>
        </is>
      </c>
      <c r="H7" s="2" t="inlineStr">
        <is>
          <t>Decision velocity: Problem statement drafted faster, refined by human</t>
        </is>
      </c>
      <c r="I7" s="2" t="inlineStr">
        <is>
          <t>Capture Lead</t>
        </is>
      </c>
      <c r="J7" s="2" t="n">
        <v>10</v>
      </c>
      <c r="K7" s="2" t="n">
        <v>1</v>
      </c>
      <c r="L7" s="4">
        <f>J7/COUNTIF($B:$B,B7)</f>
        <v/>
      </c>
      <c r="M7" s="5" t="n">
        <v>0.4</v>
      </c>
      <c r="N7" s="5" t="n">
        <v>0</v>
      </c>
      <c r="O7" s="6">
        <f>1-(1-M7)*(1-N7)</f>
        <v/>
      </c>
      <c r="P7" s="7">
        <f>L7*O7</f>
        <v/>
      </c>
      <c r="Q7" s="2" t="inlineStr">
        <is>
          <t>High</t>
        </is>
      </c>
      <c r="R7" s="2" t="inlineStr">
        <is>
          <t>Low</t>
        </is>
      </c>
      <c r="S7" s="2" t="inlineStr">
        <is>
          <t>Moderate</t>
        </is>
      </c>
      <c r="T7" s="2" t="inlineStr">
        <is>
          <t>Domain judgement required for validation</t>
        </is>
      </c>
      <c r="U7" s="2" t="inlineStr">
        <is>
          <t>None</t>
        </is>
      </c>
      <c r="V7" s="2" t="inlineStr">
        <is>
          <t>Phase 3</t>
        </is>
      </c>
      <c r="W7" s="2" t="inlineStr"/>
    </row>
    <row r="8">
      <c r="A8" s="2" t="inlineStr">
        <is>
          <t>SAL</t>
        </is>
      </c>
      <c r="B8" s="2" t="inlineStr">
        <is>
          <t>SAL-01</t>
        </is>
      </c>
      <c r="C8" s="2" t="inlineStr">
        <is>
          <t>SAL-01.2.3</t>
        </is>
      </c>
      <c r="D8" s="8" t="inlineStr">
        <is>
          <t>Medium</t>
        </is>
      </c>
      <c r="E8" s="2" t="inlineStr">
        <is>
          <t>Synthesise customer intelligence briefing — the consolidated output consumed by downstream activities</t>
        </is>
      </c>
      <c r="F8" s="2" t="inlineStr">
        <is>
          <t>AI consolidates all upstream outputs into structured briefing. Human reviews and adds relationship intelligence</t>
        </is>
      </c>
      <c r="G8" s="2" t="inlineStr">
        <is>
          <t>All SAL-01 outputs</t>
        </is>
      </c>
      <c r="H8" s="2" t="inlineStr">
        <is>
          <t>Time reduction: Consolidation automated, human focuses on insight</t>
        </is>
      </c>
      <c r="I8" s="2" t="inlineStr">
        <is>
          <t>Capture Lead</t>
        </is>
      </c>
      <c r="J8" s="2" t="n">
        <v>10</v>
      </c>
      <c r="K8" s="2" t="n">
        <v>1</v>
      </c>
      <c r="L8" s="4">
        <f>J8/COUNTIF($B:$B,B8)</f>
        <v/>
      </c>
      <c r="M8" s="5" t="n">
        <v>0.5</v>
      </c>
      <c r="N8" s="5" t="n">
        <v>0</v>
      </c>
      <c r="O8" s="6">
        <f>1-(1-M8)*(1-N8)</f>
        <v/>
      </c>
      <c r="P8" s="7">
        <f>L8*O8</f>
        <v/>
      </c>
      <c r="Q8" s="2" t="inlineStr">
        <is>
          <t>Medium</t>
        </is>
      </c>
      <c r="R8" s="2" t="inlineStr">
        <is>
          <t>Low</t>
        </is>
      </c>
      <c r="S8" s="2" t="inlineStr">
        <is>
          <t>Moderate</t>
        </is>
      </c>
      <c r="T8" s="2" t="inlineStr">
        <is>
          <t>Domain judgement required for validation</t>
        </is>
      </c>
      <c r="U8" s="2" t="inlineStr">
        <is>
          <t>None</t>
        </is>
      </c>
      <c r="V8" s="2" t="inlineStr">
        <is>
          <t>Phase 3</t>
        </is>
      </c>
      <c r="W8" s="2" t="inlineStr"/>
    </row>
    <row r="9">
      <c r="A9" s="2" t="inlineStr">
        <is>
          <t>SAL</t>
        </is>
      </c>
      <c r="B9" s="2" t="inlineStr">
        <is>
          <t>SAL-02</t>
        </is>
      </c>
      <c r="C9" s="2" t="inlineStr">
        <is>
          <t>SAL-02.1.1</t>
        </is>
      </c>
      <c r="D9" s="3" t="inlineStr">
        <is>
          <t>High</t>
        </is>
      </c>
      <c r="E9" s="2" t="inlineStr">
        <is>
          <t>Review incumbent service delivery against contractual SLAs and performance framework — met, exceeded, or fallen short</t>
        </is>
      </c>
      <c r="F9" s="2" t="inlineStr">
        <is>
          <t>Analyse published performance data, FOI responses, audit reports. Extract KPI performance</t>
        </is>
      </c>
      <c r="G9" s="2" t="inlineStr">
        <is>
          <t>Published performance reports, FOI data</t>
        </is>
      </c>
      <c r="H9" s="2" t="inlineStr">
        <is>
          <t>Quality uplift: Systematic analysis across all available data, not selective reading</t>
        </is>
      </c>
      <c r="I9" s="2" t="inlineStr">
        <is>
          <t>Capture Lead</t>
        </is>
      </c>
      <c r="J9" s="2" t="n">
        <v>5</v>
      </c>
      <c r="K9" s="2" t="n">
        <v>1</v>
      </c>
      <c r="L9" s="4">
        <f>J9/COUNTIF($B:$B,B9)</f>
        <v/>
      </c>
      <c r="M9" s="5" t="n">
        <v>0.6</v>
      </c>
      <c r="N9" s="5" t="n">
        <v>0.1</v>
      </c>
      <c r="O9" s="6">
        <f>1-(1-M9)*(1-N9)</f>
        <v/>
      </c>
      <c r="P9" s="7">
        <f>L9*O9</f>
        <v/>
      </c>
      <c r="Q9" s="2" t="inlineStr">
        <is>
          <t>High</t>
        </is>
      </c>
      <c r="R9" s="2" t="inlineStr">
        <is>
          <t>Yes</t>
        </is>
      </c>
      <c r="S9" s="2" t="inlineStr">
        <is>
          <t>Yes</t>
        </is>
      </c>
      <c r="T9" s="2" t="inlineStr">
        <is>
          <t>Structured data must be available</t>
        </is>
      </c>
      <c r="U9" s="2" t="inlineStr">
        <is>
          <t>None</t>
        </is>
      </c>
      <c r="V9" s="2" t="inlineStr">
        <is>
          <t>Phase 3</t>
        </is>
      </c>
      <c r="W9" s="2" t="inlineStr"/>
    </row>
    <row r="10">
      <c r="A10" s="2" t="inlineStr">
        <is>
          <t>SAL</t>
        </is>
      </c>
      <c r="B10" s="2" t="inlineStr">
        <is>
          <t>SAL-02</t>
        </is>
      </c>
      <c r="C10" s="2" t="inlineStr">
        <is>
          <t>SAL-02.1.2</t>
        </is>
      </c>
      <c r="D10" s="8" t="inlineStr">
        <is>
          <t>Medium</t>
        </is>
      </c>
      <c r="E10" s="2" t="inlineStr">
        <is>
          <t>Assess incumbent behaviour, culture, and partnership quality — does the client like working with them?</t>
        </is>
      </c>
      <c r="F10" s="2" t="inlineStr">
        <is>
          <t>Analyse public sentiment (press, Glassdoor, client publications). Human adds relationship intelligence</t>
        </is>
      </c>
      <c r="G10" s="2" t="inlineStr">
        <is>
          <t>Public domain sources + CRM</t>
        </is>
      </c>
      <c r="H10" s="2" t="inlineStr">
        <is>
          <t>Blocker: Real sentiment comes from relationships, not documents</t>
        </is>
      </c>
      <c r="I10" s="2" t="inlineStr">
        <is>
          <t>Capture Lead</t>
        </is>
      </c>
      <c r="J10" s="2" t="n">
        <v>5</v>
      </c>
      <c r="K10" s="2" t="n">
        <v>1</v>
      </c>
      <c r="L10" s="4">
        <f>J10/COUNTIF($B:$B,B10)</f>
        <v/>
      </c>
      <c r="M10" s="5" t="n">
        <v>0.3</v>
      </c>
      <c r="N10" s="5" t="n">
        <v>0.1</v>
      </c>
      <c r="O10" s="6">
        <f>1-(1-M10)*(1-N10)</f>
        <v/>
      </c>
      <c r="P10" s="7">
        <f>L10*O10</f>
        <v/>
      </c>
      <c r="Q10" s="2" t="inlineStr">
        <is>
          <t>Medium</t>
        </is>
      </c>
      <c r="R10" s="2" t="inlineStr">
        <is>
          <t>Low</t>
        </is>
      </c>
      <c r="S10" s="2" t="inlineStr">
        <is>
          <t>Moderate</t>
        </is>
      </c>
      <c r="T10" s="2" t="inlineStr">
        <is>
          <t>Real sentiment comes from relationships, not documents</t>
        </is>
      </c>
      <c r="U10" s="2" t="inlineStr">
        <is>
          <t>None</t>
        </is>
      </c>
      <c r="V10" s="2" t="inlineStr">
        <is>
          <t>Phase 3</t>
        </is>
      </c>
      <c r="W10" s="2" t="inlineStr"/>
    </row>
    <row r="11">
      <c r="A11" s="2" t="inlineStr">
        <is>
          <t>SAL</t>
        </is>
      </c>
      <c r="B11" s="2" t="inlineStr">
        <is>
          <t>SAL-02</t>
        </is>
      </c>
      <c r="C11" s="2" t="inlineStr">
        <is>
          <t>SAL-02.1.3</t>
        </is>
      </c>
      <c r="D11" s="3" t="inlineStr">
        <is>
          <t>High</t>
        </is>
      </c>
      <c r="E11" s="2" t="inlineStr">
        <is>
          <t>Assess incumbent innovation, continuous improvement, and value-add beyond the contract</t>
        </is>
      </c>
      <c r="F11" s="2" t="inlineStr">
        <is>
          <t>Scan for published innovation evidence — awards, case studies, press releases, patent filings</t>
        </is>
      </c>
      <c r="G11" s="2" t="inlineStr">
        <is>
          <t>Public domain sources</t>
        </is>
      </c>
      <c r="H11" s="2" t="inlineStr">
        <is>
          <t>Time reduction: Comprehensive scan vs selective manual search</t>
        </is>
      </c>
      <c r="I11" s="2" t="inlineStr">
        <is>
          <t>Capture Lead</t>
        </is>
      </c>
      <c r="J11" s="2" t="n">
        <v>5</v>
      </c>
      <c r="K11" s="2" t="n">
        <v>1</v>
      </c>
      <c r="L11" s="4">
        <f>J11/COUNTIF($B:$B,B11)</f>
        <v/>
      </c>
      <c r="M11" s="5" t="n">
        <v>0.6</v>
      </c>
      <c r="N11" s="5" t="n">
        <v>0.1</v>
      </c>
      <c r="O11" s="6">
        <f>1-(1-M11)*(1-N11)</f>
        <v/>
      </c>
      <c r="P11" s="7">
        <f>L11*O11</f>
        <v/>
      </c>
      <c r="Q11" s="2" t="inlineStr">
        <is>
          <t>High</t>
        </is>
      </c>
      <c r="R11" s="2" t="inlineStr">
        <is>
          <t>Moderate</t>
        </is>
      </c>
      <c r="S11" s="2" t="inlineStr">
        <is>
          <t>Yes</t>
        </is>
      </c>
      <c r="T11" s="2" t="inlineStr">
        <is>
          <t>Structured data must be available</t>
        </is>
      </c>
      <c r="U11" s="2" t="inlineStr">
        <is>
          <t>None</t>
        </is>
      </c>
      <c r="V11" s="2" t="inlineStr">
        <is>
          <t>Phase 3</t>
        </is>
      </c>
      <c r="W11" s="2" t="inlineStr"/>
    </row>
    <row r="12">
      <c r="A12" s="2" t="inlineStr">
        <is>
          <t>SAL</t>
        </is>
      </c>
      <c r="B12" s="2" t="inlineStr">
        <is>
          <t>SAL-02</t>
        </is>
      </c>
      <c r="C12" s="2" t="inlineStr">
        <is>
          <t>SAL-02.2.1</t>
        </is>
      </c>
      <c r="D12" s="8" t="inlineStr">
        <is>
          <t>Medium</t>
        </is>
      </c>
      <c r="E12" s="2" t="inlineStr">
        <is>
          <t>Assess incumbent price competitiveness — is the current price point one we can compete against, or must we differentiate elsewhere?</t>
        </is>
      </c>
      <c r="F12" s="2" t="inlineStr">
        <is>
          <t>Analyse contract values from Contracts Finder, model price trajectory, benchmark against market</t>
        </is>
      </c>
      <c r="G12" s="2" t="inlineStr">
        <is>
          <t>Contracts Finder data, benchmarks</t>
        </is>
      </c>
      <c r="H12" s="2" t="inlineStr">
        <is>
          <t>Decision velocity: Price position analysis available faster</t>
        </is>
      </c>
      <c r="I12" s="2" t="inlineStr">
        <is>
          <t>Commercial Lead</t>
        </is>
      </c>
      <c r="J12" s="2" t="n">
        <v>5</v>
      </c>
      <c r="K12" s="2" t="n">
        <v>1</v>
      </c>
      <c r="L12" s="4">
        <f>J12/COUNTIF($B:$B,B12)</f>
        <v/>
      </c>
      <c r="M12" s="5" t="n">
        <v>0.5</v>
      </c>
      <c r="N12" s="5" t="n">
        <v>0.1</v>
      </c>
      <c r="O12" s="6">
        <f>1-(1-M12)*(1-N12)</f>
        <v/>
      </c>
      <c r="P12" s="7">
        <f>L12*O12</f>
        <v/>
      </c>
      <c r="Q12" s="2" t="inlineStr">
        <is>
          <t>High</t>
        </is>
      </c>
      <c r="R12" s="2" t="inlineStr">
        <is>
          <t>Low</t>
        </is>
      </c>
      <c r="S12" s="2" t="inlineStr">
        <is>
          <t>Moderate</t>
        </is>
      </c>
      <c r="T12" s="2" t="inlineStr">
        <is>
          <t>Domain judgement required for validation</t>
        </is>
      </c>
      <c r="U12" s="2" t="inlineStr">
        <is>
          <t>Corporate Cost Data</t>
        </is>
      </c>
      <c r="V12" s="2" t="inlineStr">
        <is>
          <t>Phase 3</t>
        </is>
      </c>
      <c r="W12" s="2" t="inlineStr"/>
    </row>
    <row r="13">
      <c r="A13" s="2" t="inlineStr">
        <is>
          <t>SAL</t>
        </is>
      </c>
      <c r="B13" s="2" t="inlineStr">
        <is>
          <t>SAL-02</t>
        </is>
      </c>
      <c r="C13" s="2" t="inlineStr">
        <is>
          <t>SAL-02.2.2</t>
        </is>
      </c>
      <c r="D13" s="8" t="inlineStr">
        <is>
          <t>Medium</t>
        </is>
      </c>
      <c r="E13" s="2" t="inlineStr">
        <is>
          <t>Assess transition stickiness — TUPE complexity, asset transfer, knowledge transfer burden, client switching cost</t>
        </is>
      </c>
      <c r="F13" s="2" t="inlineStr">
        <is>
          <t>Analyse published TUPE/workforce data, contract complexity indicators</t>
        </is>
      </c>
      <c r="G13" s="2" t="inlineStr">
        <is>
          <t>Public data, ITT documentation</t>
        </is>
      </c>
      <c r="H13" s="2" t="inlineStr">
        <is>
          <t>Blocker: Much stickiness data is not publicly available</t>
        </is>
      </c>
      <c r="I13" s="2" t="inlineStr">
        <is>
          <t>Capture Lead</t>
        </is>
      </c>
      <c r="J13" s="2" t="n">
        <v>5</v>
      </c>
      <c r="K13" s="2" t="n">
        <v>1</v>
      </c>
      <c r="L13" s="4">
        <f>J13/COUNTIF($B:$B,B13)</f>
        <v/>
      </c>
      <c r="M13" s="5" t="n">
        <v>0.3</v>
      </c>
      <c r="N13" s="5" t="n">
        <v>0.1</v>
      </c>
      <c r="O13" s="6">
        <f>1-(1-M13)*(1-N13)</f>
        <v/>
      </c>
      <c r="P13" s="7">
        <f>L13*O13</f>
        <v/>
      </c>
      <c r="Q13" s="2" t="inlineStr">
        <is>
          <t>Medium</t>
        </is>
      </c>
      <c r="R13" s="2" t="inlineStr">
        <is>
          <t>Low</t>
        </is>
      </c>
      <c r="S13" s="2" t="inlineStr">
        <is>
          <t>Moderate</t>
        </is>
      </c>
      <c r="T13" s="2" t="inlineStr">
        <is>
          <t>Much stickiness data is not publicly available</t>
        </is>
      </c>
      <c r="U13" s="2" t="inlineStr">
        <is>
          <t>None</t>
        </is>
      </c>
      <c r="V13" s="2" t="inlineStr">
        <is>
          <t>Phase 3</t>
        </is>
      </c>
      <c r="W13" s="2" t="inlineStr"/>
    </row>
    <row r="14">
      <c r="A14" s="2" t="inlineStr">
        <is>
          <t>SAL</t>
        </is>
      </c>
      <c r="B14" s="2" t="inlineStr">
        <is>
          <t>SAL-02</t>
        </is>
      </c>
      <c r="C14" s="2" t="inlineStr">
        <is>
          <t>SAL-02.3.1</t>
        </is>
      </c>
      <c r="D14" s="8" t="inlineStr">
        <is>
          <t>Medium</t>
        </is>
      </c>
      <c r="E14" s="2" t="inlineStr">
        <is>
          <t>Identify transformational opportunities — where can emerging technology, new delivery models, or fundamentally different approaches disrupt the incumbent's current operating model?</t>
        </is>
      </c>
      <c r="F14" s="2" t="inlineStr">
        <is>
          <t>Scan technology landscape, map AI/automation capabilities to incumbent operating model gaps</t>
        </is>
      </c>
      <c r="G14" s="2" t="inlineStr">
        <is>
          <t>Technology landscape data, SAL-02.1 outputs</t>
        </is>
      </c>
      <c r="H14" s="2" t="inlineStr">
        <is>
          <t>Quality uplift: AI identifies more technology opportunities than manual brainstorming</t>
        </is>
      </c>
      <c r="I14" s="2" t="inlineStr">
        <is>
          <t>Solution Architect</t>
        </is>
      </c>
      <c r="J14" s="2" t="n">
        <v>5</v>
      </c>
      <c r="K14" s="2" t="n">
        <v>1</v>
      </c>
      <c r="L14" s="4">
        <f>J14/COUNTIF($B:$B,B14)</f>
        <v/>
      </c>
      <c r="M14" s="5" t="n">
        <v>0.4</v>
      </c>
      <c r="N14" s="5" t="n">
        <v>0.1</v>
      </c>
      <c r="O14" s="6">
        <f>1-(1-M14)*(1-N14)</f>
        <v/>
      </c>
      <c r="P14" s="7">
        <f>L14*O14</f>
        <v/>
      </c>
      <c r="Q14" s="2" t="inlineStr">
        <is>
          <t>Medium</t>
        </is>
      </c>
      <c r="R14" s="2" t="inlineStr">
        <is>
          <t>Yes</t>
        </is>
      </c>
      <c r="S14" s="2" t="inlineStr">
        <is>
          <t>Moderate</t>
        </is>
      </c>
      <c r="T14" s="2" t="inlineStr">
        <is>
          <t>Domain judgement required for validation</t>
        </is>
      </c>
      <c r="U14" s="2" t="inlineStr">
        <is>
          <t>None</t>
        </is>
      </c>
      <c r="V14" s="2" t="inlineStr">
        <is>
          <t>Phase 3</t>
        </is>
      </c>
      <c r="W14" s="2" t="inlineStr"/>
    </row>
    <row r="15">
      <c r="A15" s="2" t="inlineStr">
        <is>
          <t>SAL</t>
        </is>
      </c>
      <c r="B15" s="2" t="inlineStr">
        <is>
          <t>SAL-02</t>
        </is>
      </c>
      <c r="C15" s="2" t="inlineStr">
        <is>
          <t>SAL-02.3.2</t>
        </is>
      </c>
      <c r="D15" s="8" t="inlineStr">
        <is>
          <t>Medium</t>
        </is>
      </c>
      <c r="E15" s="2" t="inlineStr">
        <is>
          <t>Assess alignment to evaluation framework and client appetite — will the procurement reward transformational approaches or penalise non-compliance with a prescriptive specification?</t>
        </is>
      </c>
      <c r="F15" s="2" t="inlineStr">
        <is>
          <t>Cross-reference transformation opportunities against ITT evaluation criteria</t>
        </is>
      </c>
      <c r="G15" s="2" t="inlineStr">
        <is>
          <t>SAL-02.3.1 + SAL-05 outputs</t>
        </is>
      </c>
      <c r="H15" s="2" t="inlineStr">
        <is>
          <t>Decision velocity: Alignment assessment automated</t>
        </is>
      </c>
      <c r="I15" s="2" t="inlineStr">
        <is>
          <t>Capture Lead</t>
        </is>
      </c>
      <c r="J15" s="2" t="n">
        <v>5</v>
      </c>
      <c r="K15" s="2" t="n">
        <v>1</v>
      </c>
      <c r="L15" s="4">
        <f>J15/COUNTIF($B:$B,B15)</f>
        <v/>
      </c>
      <c r="M15" s="5" t="n">
        <v>0.4</v>
      </c>
      <c r="N15" s="5" t="n">
        <v>0.1</v>
      </c>
      <c r="O15" s="6">
        <f>1-(1-M15)*(1-N15)</f>
        <v/>
      </c>
      <c r="P15" s="7">
        <f>L15*O15</f>
        <v/>
      </c>
      <c r="Q15" s="2" t="inlineStr">
        <is>
          <t>High</t>
        </is>
      </c>
      <c r="R15" s="2" t="inlineStr">
        <is>
          <t>Low</t>
        </is>
      </c>
      <c r="S15" s="2" t="inlineStr">
        <is>
          <t>Moderate</t>
        </is>
      </c>
      <c r="T15" s="2" t="inlineStr">
        <is>
          <t>Domain judgement required for validation</t>
        </is>
      </c>
      <c r="U15" s="2" t="inlineStr">
        <is>
          <t>None</t>
        </is>
      </c>
      <c r="V15" s="2" t="inlineStr">
        <is>
          <t>Phase 3</t>
        </is>
      </c>
      <c r="W15" s="2" t="inlineStr"/>
    </row>
    <row r="16">
      <c r="A16" s="2" t="inlineStr">
        <is>
          <t>SAL</t>
        </is>
      </c>
      <c r="B16" s="2" t="inlineStr">
        <is>
          <t>SAL-02</t>
        </is>
      </c>
      <c r="C16" s="2" t="inlineStr">
        <is>
          <t>SAL-02.3.3</t>
        </is>
      </c>
      <c r="D16" s="9" t="inlineStr">
        <is>
          <t>Low</t>
        </is>
      </c>
      <c r="E16" s="2" t="inlineStr">
        <is>
          <t>Assess our organisational capability to deliver the disruption — do we have the technology, skills, partners, and track record to credibly propose this?</t>
        </is>
      </c>
      <c r="F16" s="2" t="inlineStr">
        <is>
          <t>AI can check credentials library. But capability assessment requires organisational self-knowledge</t>
        </is>
      </c>
      <c r="G16" s="2" t="inlineStr">
        <is>
          <t>Internal capability data</t>
        </is>
      </c>
      <c r="H16" s="2" t="inlineStr">
        <is>
          <t>Blocker: Honest self-assessment is human judgement</t>
        </is>
      </c>
      <c r="I16" s="2" t="inlineStr">
        <is>
          <t>Capture Lead</t>
        </is>
      </c>
      <c r="J16" s="2" t="n">
        <v>5</v>
      </c>
      <c r="K16" s="2" t="n">
        <v>1</v>
      </c>
      <c r="L16" s="4">
        <f>J16/COUNTIF($B:$B,B16)</f>
        <v/>
      </c>
      <c r="M16" s="5" t="n">
        <v>0.2</v>
      </c>
      <c r="N16" s="5" t="n">
        <v>0.1</v>
      </c>
      <c r="O16" s="6">
        <f>1-(1-M16)*(1-N16)</f>
        <v/>
      </c>
      <c r="P16" s="7">
        <f>L16*O16</f>
        <v/>
      </c>
      <c r="Q16" s="2" t="inlineStr">
        <is>
          <t>Low</t>
        </is>
      </c>
      <c r="R16" s="2" t="inlineStr">
        <is>
          <t>Low</t>
        </is>
      </c>
      <c r="S16" s="2" t="inlineStr">
        <is>
          <t>Low</t>
        </is>
      </c>
      <c r="T16" s="2" t="inlineStr">
        <is>
          <t>Honest self-assessment is human judgement</t>
        </is>
      </c>
      <c r="U16" s="2" t="inlineStr">
        <is>
          <t>None</t>
        </is>
      </c>
      <c r="V16" s="2" t="inlineStr">
        <is>
          <t>Phase 3</t>
        </is>
      </c>
      <c r="W16" s="2" t="inlineStr"/>
    </row>
    <row r="17">
      <c r="A17" s="2" t="inlineStr">
        <is>
          <t>SAL</t>
        </is>
      </c>
      <c r="B17" s="2" t="inlineStr">
        <is>
          <t>SAL-02</t>
        </is>
      </c>
      <c r="C17" s="2" t="inlineStr">
        <is>
          <t>SAL-02.3.4</t>
        </is>
      </c>
      <c r="D17" s="8" t="inlineStr">
        <is>
          <t>Medium</t>
        </is>
      </c>
      <c r="E17" s="2" t="inlineStr">
        <is>
          <t>Model the commercial impact — does the transformational approach drive a fundamentally different cost base and price point?</t>
        </is>
      </c>
      <c r="F17" s="2" t="inlineStr">
        <is>
          <t>AI can run financial models on cost base changes</t>
        </is>
      </c>
      <c r="G17" s="2" t="inlineStr">
        <is>
          <t>Financial model, SAL-02.3.1 outputs</t>
        </is>
      </c>
      <c r="H17" s="2" t="inlineStr">
        <is>
          <t>Time reduction: Modelling automated, assumptions human</t>
        </is>
      </c>
      <c r="I17" s="2" t="inlineStr">
        <is>
          <t>Commercial Lead</t>
        </is>
      </c>
      <c r="J17" s="2" t="n">
        <v>5</v>
      </c>
      <c r="K17" s="2" t="n">
        <v>1</v>
      </c>
      <c r="L17" s="4">
        <f>J17/COUNTIF($B:$B,B17)</f>
        <v/>
      </c>
      <c r="M17" s="5" t="n">
        <v>0.5</v>
      </c>
      <c r="N17" s="5" t="n">
        <v>0.1</v>
      </c>
      <c r="O17" s="6">
        <f>1-(1-M17)*(1-N17)</f>
        <v/>
      </c>
      <c r="P17" s="7">
        <f>L17*O17</f>
        <v/>
      </c>
      <c r="Q17" s="2" t="inlineStr">
        <is>
          <t>Medium</t>
        </is>
      </c>
      <c r="R17" s="2" t="inlineStr">
        <is>
          <t>Low</t>
        </is>
      </c>
      <c r="S17" s="2" t="inlineStr">
        <is>
          <t>Moderate</t>
        </is>
      </c>
      <c r="T17" s="2" t="inlineStr">
        <is>
          <t>Domain judgement required for validation</t>
        </is>
      </c>
      <c r="U17" s="2" t="inlineStr">
        <is>
          <t>Corporate Cost Data</t>
        </is>
      </c>
      <c r="V17" s="2" t="inlineStr">
        <is>
          <t>Phase 3</t>
        </is>
      </c>
      <c r="W17" s="2" t="inlineStr"/>
    </row>
    <row r="18">
      <c r="A18" s="2" t="inlineStr">
        <is>
          <t>SAL</t>
        </is>
      </c>
      <c r="B18" s="2" t="inlineStr">
        <is>
          <t>SAL-02</t>
        </is>
      </c>
      <c r="C18" s="2" t="inlineStr">
        <is>
          <t>SAL-02.3.5</t>
        </is>
      </c>
      <c r="D18" s="8" t="inlineStr">
        <is>
          <t>Medium</t>
        </is>
      </c>
      <c r="E18" s="2" t="inlineStr">
        <is>
          <t>Synthesise incumbent performance assessment — consolidated view across all three dimensions informing competitive strategy, win approach, and go/no-go</t>
        </is>
      </c>
      <c r="F18" s="2" t="inlineStr">
        <is>
          <t>AI consolidates all 9 upstream outputs. Human validates</t>
        </is>
      </c>
      <c r="G18" s="2" t="inlineStr">
        <is>
          <t>All SAL-02 outputs</t>
        </is>
      </c>
      <c r="H18" s="2" t="inlineStr">
        <is>
          <t>Time reduction: Consolidation automated</t>
        </is>
      </c>
      <c r="I18" s="2" t="inlineStr">
        <is>
          <t>Capture Lead</t>
        </is>
      </c>
      <c r="J18" s="2" t="n">
        <v>5</v>
      </c>
      <c r="K18" s="2" t="n">
        <v>1</v>
      </c>
      <c r="L18" s="4">
        <f>J18/COUNTIF($B:$B,B18)</f>
        <v/>
      </c>
      <c r="M18" s="5" t="n">
        <v>0.5</v>
      </c>
      <c r="N18" s="5" t="n">
        <v>0.1</v>
      </c>
      <c r="O18" s="6">
        <f>1-(1-M18)*(1-N18)</f>
        <v/>
      </c>
      <c r="P18" s="7">
        <f>L18*O18</f>
        <v/>
      </c>
      <c r="Q18" s="2" t="inlineStr">
        <is>
          <t>Medium</t>
        </is>
      </c>
      <c r="R18" s="2" t="inlineStr">
        <is>
          <t>Low</t>
        </is>
      </c>
      <c r="S18" s="2" t="inlineStr">
        <is>
          <t>Moderate</t>
        </is>
      </c>
      <c r="T18" s="2" t="inlineStr">
        <is>
          <t>Domain judgement required for validation</t>
        </is>
      </c>
      <c r="U18" s="2" t="inlineStr">
        <is>
          <t>None</t>
        </is>
      </c>
      <c r="V18" s="2" t="inlineStr">
        <is>
          <t>Phase 3</t>
        </is>
      </c>
      <c r="W18" s="2" t="inlineStr"/>
    </row>
    <row r="19">
      <c r="A19" s="2" t="inlineStr">
        <is>
          <t>SAL</t>
        </is>
      </c>
      <c r="B19" s="2" t="inlineStr">
        <is>
          <t>SAL-03</t>
        </is>
      </c>
      <c r="C19" s="2" t="inlineStr">
        <is>
          <t>SAL-03.1.1</t>
        </is>
      </c>
      <c r="D19" s="3" t="inlineStr">
        <is>
          <t>High</t>
        </is>
      </c>
      <c r="E19" s="2" t="inlineStr">
        <is>
          <t>Identify credible competitors from procurement history and market intelligence</t>
        </is>
      </c>
      <c r="F19" s="2" t="inlineStr">
        <is>
          <t>Analyse Contracts Finder history, framework incumbents, market intelligence to build competitor long-list</t>
        </is>
      </c>
      <c r="G19" s="2" t="inlineStr">
        <is>
          <t>Contracts Finder API, framework data</t>
        </is>
      </c>
      <c r="H19" s="2" t="inlineStr">
        <is>
          <t>Time reduction: Competitor identification automated</t>
        </is>
      </c>
      <c r="I19" s="2" t="inlineStr">
        <is>
          <t>Capture Lead</t>
        </is>
      </c>
      <c r="J19" s="2" t="n">
        <v>5</v>
      </c>
      <c r="K19" s="2" t="n">
        <v>1</v>
      </c>
      <c r="L19" s="4">
        <f>J19/COUNTIF($B:$B,B19)</f>
        <v/>
      </c>
      <c r="M19" s="5" t="n">
        <v>0.7</v>
      </c>
      <c r="N19" s="5" t="n">
        <v>0.1</v>
      </c>
      <c r="O19" s="6">
        <f>1-(1-M19)*(1-N19)</f>
        <v/>
      </c>
      <c r="P19" s="7">
        <f>L19*O19</f>
        <v/>
      </c>
      <c r="Q19" s="2" t="inlineStr">
        <is>
          <t>High</t>
        </is>
      </c>
      <c r="R19" s="2" t="inlineStr">
        <is>
          <t>Moderate</t>
        </is>
      </c>
      <c r="S19" s="2" t="inlineStr">
        <is>
          <t>Yes</t>
        </is>
      </c>
      <c r="T19" s="2" t="inlineStr">
        <is>
          <t>Structured data must be available</t>
        </is>
      </c>
      <c r="U19" s="2" t="inlineStr">
        <is>
          <t>Market Intelligence Sources</t>
        </is>
      </c>
      <c r="V19" s="2" t="inlineStr">
        <is>
          <t>Phase 3</t>
        </is>
      </c>
      <c r="W19" s="2" t="inlineStr"/>
    </row>
    <row r="20">
      <c r="A20" s="2" t="inlineStr">
        <is>
          <t>SAL</t>
        </is>
      </c>
      <c r="B20" s="2" t="inlineStr">
        <is>
          <t>SAL-03</t>
        </is>
      </c>
      <c r="C20" s="2" t="inlineStr">
        <is>
          <t>SAL-03.1.2</t>
        </is>
      </c>
      <c r="D20" s="8" t="inlineStr">
        <is>
          <t>Medium</t>
        </is>
      </c>
      <c r="E20" s="2" t="inlineStr">
        <is>
          <t>Categorise competitors: Incumbent / Contender / Dark Horse / Opportunist</t>
        </is>
      </c>
      <c r="F20" s="2" t="inlineStr">
        <is>
          <t>AI proposes categorisation based on data. Human validates with market knowledge</t>
        </is>
      </c>
      <c r="G20" s="2" t="inlineStr">
        <is>
          <t>SAL-03.1.1 + market intelligence</t>
        </is>
      </c>
      <c r="H20" s="2" t="inlineStr">
        <is>
          <t>Decision velocity: Draft categorisation available immediately</t>
        </is>
      </c>
      <c r="I20" s="2" t="inlineStr">
        <is>
          <t>Capture Lead</t>
        </is>
      </c>
      <c r="J20" s="2" t="n">
        <v>5</v>
      </c>
      <c r="K20" s="2" t="n">
        <v>1</v>
      </c>
      <c r="L20" s="4">
        <f>J20/COUNTIF($B:$B,B20)</f>
        <v/>
      </c>
      <c r="M20" s="5" t="n">
        <v>0.4</v>
      </c>
      <c r="N20" s="5" t="n">
        <v>0.1</v>
      </c>
      <c r="O20" s="6">
        <f>1-(1-M20)*(1-N20)</f>
        <v/>
      </c>
      <c r="P20" s="7">
        <f>L20*O20</f>
        <v/>
      </c>
      <c r="Q20" s="2" t="inlineStr">
        <is>
          <t>High</t>
        </is>
      </c>
      <c r="R20" s="2" t="inlineStr">
        <is>
          <t>Low</t>
        </is>
      </c>
      <c r="S20" s="2" t="inlineStr">
        <is>
          <t>Moderate</t>
        </is>
      </c>
      <c r="T20" s="2" t="inlineStr">
        <is>
          <t>Domain judgement required for validation</t>
        </is>
      </c>
      <c r="U20" s="2" t="inlineStr">
        <is>
          <t>Companies House API</t>
        </is>
      </c>
      <c r="V20" s="2" t="inlineStr">
        <is>
          <t>Phase 3</t>
        </is>
      </c>
      <c r="W20" s="2" t="inlineStr"/>
    </row>
    <row r="21">
      <c r="A21" s="2" t="inlineStr">
        <is>
          <t>SAL</t>
        </is>
      </c>
      <c r="B21" s="2" t="inlineStr">
        <is>
          <t>SAL-03</t>
        </is>
      </c>
      <c r="C21" s="2" t="inlineStr">
        <is>
          <t>SAL-03.1.3</t>
        </is>
      </c>
      <c r="D21" s="3" t="inlineStr">
        <is>
          <t>High</t>
        </is>
      </c>
      <c r="E21" s="2" t="inlineStr">
        <is>
          <t>Profile each credible competitor — likely strategy, strengths, weaknesses, price position</t>
        </is>
      </c>
      <c r="F21" s="2" t="inlineStr">
        <is>
          <t>Build competitor profiles from public data — annual reports, award history, press, LinkedIn, financial filings</t>
        </is>
      </c>
      <c r="G21" s="2" t="inlineStr">
        <is>
          <t>Public domain + Companies House</t>
        </is>
      </c>
      <c r="H21" s="2" t="inlineStr">
        <is>
          <t>Quality uplift: More comprehensive profiles than manual research typically produces</t>
        </is>
      </c>
      <c r="I21" s="2" t="inlineStr">
        <is>
          <t>Capture Lead</t>
        </is>
      </c>
      <c r="J21" s="2" t="n">
        <v>5</v>
      </c>
      <c r="K21" s="2" t="n">
        <v>1</v>
      </c>
      <c r="L21" s="4">
        <f>J21/COUNTIF($B:$B,B21)</f>
        <v/>
      </c>
      <c r="M21" s="5" t="n">
        <v>0.6</v>
      </c>
      <c r="N21" s="5" t="n">
        <v>0.1</v>
      </c>
      <c r="O21" s="6">
        <f>1-(1-M21)*(1-N21)</f>
        <v/>
      </c>
      <c r="P21" s="7">
        <f>L21*O21</f>
        <v/>
      </c>
      <c r="Q21" s="2" t="inlineStr">
        <is>
          <t>High</t>
        </is>
      </c>
      <c r="R21" s="2" t="inlineStr">
        <is>
          <t>Yes</t>
        </is>
      </c>
      <c r="S21" s="2" t="inlineStr">
        <is>
          <t>Yes</t>
        </is>
      </c>
      <c r="T21" s="2" t="inlineStr">
        <is>
          <t>Structured data must be available</t>
        </is>
      </c>
      <c r="U21" s="2" t="inlineStr">
        <is>
          <t>Corporate Cost Data</t>
        </is>
      </c>
      <c r="V21" s="2" t="inlineStr">
        <is>
          <t>Phase 3</t>
        </is>
      </c>
      <c r="W21" s="2" t="inlineStr"/>
    </row>
    <row r="22">
      <c r="A22" s="2" t="inlineStr">
        <is>
          <t>SAL</t>
        </is>
      </c>
      <c r="B22" s="2" t="inlineStr">
        <is>
          <t>SAL-03</t>
        </is>
      </c>
      <c r="C22" s="2" t="inlineStr">
        <is>
          <t>SAL-03.2.1</t>
        </is>
      </c>
      <c r="D22" s="8" t="inlineStr">
        <is>
          <t>Medium</t>
        </is>
      </c>
      <c r="E22" s="2" t="inlineStr">
        <is>
          <t>Develop counter-strategies and ghost themes for top 2-3 competitors</t>
        </is>
      </c>
      <c r="F22" s="2" t="inlineStr">
        <is>
          <t>AI proposes counter-strategies based on profiles. Human applies competitive judgement</t>
        </is>
      </c>
      <c r="G22" s="2" t="inlineStr">
        <is>
          <t>SAL-03.1 outputs</t>
        </is>
      </c>
      <c r="H22" s="2" t="inlineStr">
        <is>
          <t>Blocker: Counter-strategy requires human competitive instinct</t>
        </is>
      </c>
      <c r="I22" s="2" t="inlineStr">
        <is>
          <t>Capture Lead</t>
        </is>
      </c>
      <c r="J22" s="2" t="n">
        <v>5</v>
      </c>
      <c r="K22" s="2" t="n">
        <v>1</v>
      </c>
      <c r="L22" s="4">
        <f>J22/COUNTIF($B:$B,B22)</f>
        <v/>
      </c>
      <c r="M22" s="5" t="n">
        <v>0.3</v>
      </c>
      <c r="N22" s="5" t="n">
        <v>0.1</v>
      </c>
      <c r="O22" s="6">
        <f>1-(1-M22)*(1-N22)</f>
        <v/>
      </c>
      <c r="P22" s="7">
        <f>L22*O22</f>
        <v/>
      </c>
      <c r="Q22" s="2" t="inlineStr">
        <is>
          <t>Medium</t>
        </is>
      </c>
      <c r="R22" s="2" t="inlineStr">
        <is>
          <t>Low</t>
        </is>
      </c>
      <c r="S22" s="2" t="inlineStr">
        <is>
          <t>Moderate</t>
        </is>
      </c>
      <c r="T22" s="2" t="inlineStr">
        <is>
          <t>Counter-strategy requires human competitive instinct</t>
        </is>
      </c>
      <c r="U22" s="2" t="inlineStr">
        <is>
          <t>Companies House API</t>
        </is>
      </c>
      <c r="V22" s="2" t="inlineStr">
        <is>
          <t>Phase 3</t>
        </is>
      </c>
      <c r="W22" s="2" t="inlineStr"/>
    </row>
    <row r="23">
      <c r="A23" s="2" t="inlineStr">
        <is>
          <t>SAL</t>
        </is>
      </c>
      <c r="B23" s="2" t="inlineStr">
        <is>
          <t>SAL-03</t>
        </is>
      </c>
      <c r="C23" s="2" t="inlineStr">
        <is>
          <t>SAL-03.2.2</t>
        </is>
      </c>
      <c r="D23" s="9" t="inlineStr">
        <is>
          <t>Low</t>
        </is>
      </c>
      <c r="E23" s="2" t="inlineStr">
        <is>
          <t>Validate competitive positioning with bid team and adjust</t>
        </is>
      </c>
      <c r="F23" s="2" t="inlineStr">
        <is>
          <t>AI prepares the briefing pack. Human team debates and validates</t>
        </is>
      </c>
      <c r="G23" s="2" t="inlineStr">
        <is>
          <t>All SAL-03 outputs</t>
        </is>
      </c>
      <c r="H23" s="2" t="inlineStr">
        <is>
          <t>Blocker: Team validation is a human workshop</t>
        </is>
      </c>
      <c r="I23" s="2" t="inlineStr">
        <is>
          <t>Bid Team</t>
        </is>
      </c>
      <c r="J23" s="2" t="n">
        <v>5</v>
      </c>
      <c r="K23" s="2" t="n">
        <v>1</v>
      </c>
      <c r="L23" s="4">
        <f>J23/COUNTIF($B:$B,B23)</f>
        <v/>
      </c>
      <c r="M23" s="5" t="n">
        <v>0.1</v>
      </c>
      <c r="N23" s="5" t="n">
        <v>0.1</v>
      </c>
      <c r="O23" s="6">
        <f>1-(1-M23)*(1-N23)</f>
        <v/>
      </c>
      <c r="P23" s="7">
        <f>L23*O23</f>
        <v/>
      </c>
      <c r="Q23" s="2" t="inlineStr">
        <is>
          <t>Low</t>
        </is>
      </c>
      <c r="R23" s="2" t="inlineStr">
        <is>
          <t>Low</t>
        </is>
      </c>
      <c r="S23" s="2" t="inlineStr">
        <is>
          <t>Low</t>
        </is>
      </c>
      <c r="T23" s="2" t="inlineStr">
        <is>
          <t>Team validation is a human workshop</t>
        </is>
      </c>
      <c r="U23" s="2" t="inlineStr">
        <is>
          <t>None</t>
        </is>
      </c>
      <c r="V23" s="2" t="inlineStr">
        <is>
          <t>Phase 3</t>
        </is>
      </c>
      <c r="W23" s="2" t="inlineStr"/>
    </row>
    <row r="24">
      <c r="A24" s="2" t="inlineStr">
        <is>
          <t>SAL</t>
        </is>
      </c>
      <c r="B24" s="2" t="inlineStr">
        <is>
          <t>SAL-04</t>
        </is>
      </c>
      <c r="C24" s="2" t="inlineStr">
        <is>
          <t>SAL-04.1.1</t>
        </is>
      </c>
      <c r="D24" s="8" t="inlineStr">
        <is>
          <t>Medium</t>
        </is>
      </c>
      <c r="E24" s="2" t="inlineStr">
        <is>
          <t>Import or develop initial win themes — from Win Strategy product (capture-informed) or from scratch using buyer values, competitive positioning, and disruption opportunities (cold-start)</t>
        </is>
      </c>
      <c r="F24" s="2" t="inlineStr">
        <is>
          <t>AI proposes themes from buyer values + competitive positioning. Human refines</t>
        </is>
      </c>
      <c r="G24" s="2" t="inlineStr">
        <is>
          <t>SAL-01, SAL-02, SAL-03 outputs</t>
        </is>
      </c>
      <c r="H24" s="2" t="inlineStr">
        <is>
          <t>Decision velocity: Draft themes available instantly for human refinement</t>
        </is>
      </c>
      <c r="I24" s="2" t="inlineStr">
        <is>
          <t>Capture Lead</t>
        </is>
      </c>
      <c r="J24" s="2" t="n">
        <v>5</v>
      </c>
      <c r="K24" s="2" t="n">
        <v>1</v>
      </c>
      <c r="L24" s="4">
        <f>J24/COUNTIF($B:$B,B24)</f>
        <v/>
      </c>
      <c r="M24" s="5" t="n">
        <v>0.4</v>
      </c>
      <c r="N24" s="10" t="n">
        <v>0.2</v>
      </c>
      <c r="O24" s="6">
        <f>1-(1-M24)*(1-N24)</f>
        <v/>
      </c>
      <c r="P24" s="7">
        <f>L24*O24</f>
        <v/>
      </c>
      <c r="Q24" s="2" t="inlineStr">
        <is>
          <t>High</t>
        </is>
      </c>
      <c r="R24" s="2" t="inlineStr">
        <is>
          <t>Low</t>
        </is>
      </c>
      <c r="S24" s="2" t="inlineStr">
        <is>
          <t>Moderate</t>
        </is>
      </c>
      <c r="T24" s="2" t="inlineStr">
        <is>
          <t>Domain judgement required for validation</t>
        </is>
      </c>
      <c r="U24" s="2" t="inlineStr">
        <is>
          <t>None</t>
        </is>
      </c>
      <c r="V24" s="2" t="inlineStr">
        <is>
          <t>N/A</t>
        </is>
      </c>
      <c r="W24" s="2" t="inlineStr"/>
    </row>
    <row r="25">
      <c r="A25" s="2" t="inlineStr">
        <is>
          <t>SAL</t>
        </is>
      </c>
      <c r="B25" s="2" t="inlineStr">
        <is>
          <t>SAL-04</t>
        </is>
      </c>
      <c r="C25" s="2" t="inlineStr">
        <is>
          <t>SAL-04.1.2</t>
        </is>
      </c>
      <c r="D25" s="3" t="inlineStr">
        <is>
          <t>High</t>
        </is>
      </c>
      <c r="E25" s="2" t="inlineStr">
        <is>
          <t>Test each theme against buyer values — does this resonate with what the client actually cares about?</t>
        </is>
      </c>
      <c r="F25" s="2" t="inlineStr">
        <is>
          <t>AI maps themes to buyer values systematically — coverage matrix</t>
        </is>
      </c>
      <c r="G25" s="2" t="inlineStr">
        <is>
          <t>SAL-04.1.1 + SAL-01.2.1</t>
        </is>
      </c>
      <c r="H25" s="2" t="inlineStr">
        <is>
          <t>Quality uplift: Systematic mapping catches gaps human might miss</t>
        </is>
      </c>
      <c r="I25" s="2" t="inlineStr">
        <is>
          <t>Capture Lead</t>
        </is>
      </c>
      <c r="J25" s="2" t="n">
        <v>5</v>
      </c>
      <c r="K25" s="2" t="n">
        <v>1</v>
      </c>
      <c r="L25" s="4">
        <f>J25/COUNTIF($B:$B,B25)</f>
        <v/>
      </c>
      <c r="M25" s="5" t="n">
        <v>0.6</v>
      </c>
      <c r="N25" s="10" t="n">
        <v>0.2</v>
      </c>
      <c r="O25" s="6">
        <f>1-(1-M25)*(1-N25)</f>
        <v/>
      </c>
      <c r="P25" s="7">
        <f>L25*O25</f>
        <v/>
      </c>
      <c r="Q25" s="2" t="inlineStr">
        <is>
          <t>High</t>
        </is>
      </c>
      <c r="R25" s="2" t="inlineStr">
        <is>
          <t>Yes</t>
        </is>
      </c>
      <c r="S25" s="2" t="inlineStr">
        <is>
          <t>Yes</t>
        </is>
      </c>
      <c r="T25" s="2" t="inlineStr">
        <is>
          <t>Structured data must be available</t>
        </is>
      </c>
      <c r="U25" s="2" t="inlineStr">
        <is>
          <t>None</t>
        </is>
      </c>
      <c r="V25" s="2" t="inlineStr">
        <is>
          <t>N/A</t>
        </is>
      </c>
      <c r="W25" s="2" t="inlineStr"/>
    </row>
    <row r="26">
      <c r="A26" s="2" t="inlineStr">
        <is>
          <t>SAL</t>
        </is>
      </c>
      <c r="B26" s="2" t="inlineStr">
        <is>
          <t>SAL-04</t>
        </is>
      </c>
      <c r="C26" s="2" t="inlineStr">
        <is>
          <t>SAL-04.1.3</t>
        </is>
      </c>
      <c r="D26" s="8" t="inlineStr">
        <is>
          <t>Medium</t>
        </is>
      </c>
      <c r="E26" s="2" t="inlineStr">
        <is>
          <t>Test each theme against competitive positioning — does this differentiate us from the incumbent and key competitors?</t>
        </is>
      </c>
      <c r="F26" s="2" t="inlineStr">
        <is>
          <t>AI assesses whether competitors can claim the same thing. Human applies judgement</t>
        </is>
      </c>
      <c r="G26" s="2" t="inlineStr">
        <is>
          <t>SAL-04.1.1 + SAL-03 outputs</t>
        </is>
      </c>
      <c r="H26" s="2" t="inlineStr">
        <is>
          <t>Decision velocity: Competitive differentiation assessment automated</t>
        </is>
      </c>
      <c r="I26" s="2" t="inlineStr">
        <is>
          <t>Capture Lead</t>
        </is>
      </c>
      <c r="J26" s="2" t="n">
        <v>5</v>
      </c>
      <c r="K26" s="2" t="n">
        <v>1</v>
      </c>
      <c r="L26" s="4">
        <f>J26/COUNTIF($B:$B,B26)</f>
        <v/>
      </c>
      <c r="M26" s="5" t="n">
        <v>0.4</v>
      </c>
      <c r="N26" s="10" t="n">
        <v>0.2</v>
      </c>
      <c r="O26" s="6">
        <f>1-(1-M26)*(1-N26)</f>
        <v/>
      </c>
      <c r="P26" s="7">
        <f>L26*O26</f>
        <v/>
      </c>
      <c r="Q26" s="2" t="inlineStr">
        <is>
          <t>High</t>
        </is>
      </c>
      <c r="R26" s="2" t="inlineStr">
        <is>
          <t>Low</t>
        </is>
      </c>
      <c r="S26" s="2" t="inlineStr">
        <is>
          <t>Moderate</t>
        </is>
      </c>
      <c r="T26" s="2" t="inlineStr">
        <is>
          <t>Domain judgement required for validation</t>
        </is>
      </c>
      <c r="U26" s="2" t="inlineStr">
        <is>
          <t>Companies House API</t>
        </is>
      </c>
      <c r="V26" s="2" t="inlineStr">
        <is>
          <t>N/A</t>
        </is>
      </c>
      <c r="W26" s="2" t="inlineStr"/>
    </row>
    <row r="27">
      <c r="A27" s="2" t="inlineStr">
        <is>
          <t>SAL</t>
        </is>
      </c>
      <c r="B27" s="2" t="inlineStr">
        <is>
          <t>SAL-04</t>
        </is>
      </c>
      <c r="C27" s="2" t="inlineStr">
        <is>
          <t>SAL-04.1.4</t>
        </is>
      </c>
      <c r="D27" s="3" t="inlineStr">
        <is>
          <t>High</t>
        </is>
      </c>
      <c r="E27" s="2" t="inlineStr">
        <is>
          <t>Ensure each theme is evidence-backed — do we have credentials, case studies, or demonstrable capability to substantiate this claim?</t>
        </is>
      </c>
      <c r="F27" s="2" t="inlineStr">
        <is>
          <t>AI searches evidence library for substantiation per theme</t>
        </is>
      </c>
      <c r="G27" s="2" t="inlineStr">
        <is>
          <t>Evidence library, credentials database</t>
        </is>
      </c>
      <c r="H27" s="2" t="inlineStr">
        <is>
          <t>Time reduction: Library search automated</t>
        </is>
      </c>
      <c r="I27" s="2" t="inlineStr">
        <is>
          <t>Bid Manager</t>
        </is>
      </c>
      <c r="J27" s="2" t="n">
        <v>5</v>
      </c>
      <c r="K27" s="2" t="n">
        <v>1</v>
      </c>
      <c r="L27" s="4">
        <f>J27/COUNTIF($B:$B,B27)</f>
        <v/>
      </c>
      <c r="M27" s="5" t="n">
        <v>0.7</v>
      </c>
      <c r="N27" s="10" t="n">
        <v>0.2</v>
      </c>
      <c r="O27" s="6">
        <f>1-(1-M27)*(1-N27)</f>
        <v/>
      </c>
      <c r="P27" s="7">
        <f>L27*O27</f>
        <v/>
      </c>
      <c r="Q27" s="2" t="inlineStr">
        <is>
          <t>High</t>
        </is>
      </c>
      <c r="R27" s="2" t="inlineStr">
        <is>
          <t>Moderate</t>
        </is>
      </c>
      <c r="S27" s="2" t="inlineStr">
        <is>
          <t>Yes</t>
        </is>
      </c>
      <c r="T27" s="2" t="inlineStr">
        <is>
          <t>Structured data must be available</t>
        </is>
      </c>
      <c r="U27" s="2" t="inlineStr">
        <is>
          <t>Evidence Library</t>
        </is>
      </c>
      <c r="V27" s="2" t="inlineStr">
        <is>
          <t>N/A</t>
        </is>
      </c>
      <c r="W27" s="2" t="inlineStr"/>
    </row>
    <row r="28">
      <c r="A28" s="2" t="inlineStr">
        <is>
          <t>SAL</t>
        </is>
      </c>
      <c r="B28" s="2" t="inlineStr">
        <is>
          <t>SAL-04</t>
        </is>
      </c>
      <c r="C28" s="2" t="inlineStr">
        <is>
          <t>SAL-04.2.1</t>
        </is>
      </c>
      <c r="D28" s="8" t="inlineStr">
        <is>
          <t>Medium</t>
        </is>
      </c>
      <c r="E28" s="2" t="inlineStr">
        <is>
          <t>Refine themes against ITT documentation — align language, scope, and emphasis to the actual requirement and specification</t>
        </is>
      </c>
      <c r="F28" s="2" t="inlineStr">
        <is>
          <t>AI aligns language to ITT terminology. Human validates nuance</t>
        </is>
      </c>
      <c r="G28" s="2" t="inlineStr">
        <is>
          <t>SAL-04.1 outputs + ITT docs</t>
        </is>
      </c>
      <c r="H28" s="2" t="inlineStr">
        <is>
          <t>Quality uplift: AI ensures consistent ITT language alignment</t>
        </is>
      </c>
      <c r="I28" s="2" t="inlineStr">
        <is>
          <t>Capture Lead</t>
        </is>
      </c>
      <c r="J28" s="2" t="n">
        <v>5</v>
      </c>
      <c r="K28" s="2" t="n">
        <v>1</v>
      </c>
      <c r="L28" s="4">
        <f>J28/COUNTIF($B:$B,B28)</f>
        <v/>
      </c>
      <c r="M28" s="5" t="n">
        <v>0.4</v>
      </c>
      <c r="N28" s="10" t="n">
        <v>0.2</v>
      </c>
      <c r="O28" s="6">
        <f>1-(1-M28)*(1-N28)</f>
        <v/>
      </c>
      <c r="P28" s="7">
        <f>L28*O28</f>
        <v/>
      </c>
      <c r="Q28" s="2" t="inlineStr">
        <is>
          <t>Medium</t>
        </is>
      </c>
      <c r="R28" s="2" t="inlineStr">
        <is>
          <t>Yes</t>
        </is>
      </c>
      <c r="S28" s="2" t="inlineStr">
        <is>
          <t>Moderate</t>
        </is>
      </c>
      <c r="T28" s="2" t="inlineStr">
        <is>
          <t>Domain judgement required for validation</t>
        </is>
      </c>
      <c r="U28" s="2" t="inlineStr">
        <is>
          <t>ITT Document Pack</t>
        </is>
      </c>
      <c r="V28" s="2" t="inlineStr">
        <is>
          <t>N/A</t>
        </is>
      </c>
      <c r="W28" s="2" t="inlineStr"/>
    </row>
    <row r="29">
      <c r="A29" s="2" t="inlineStr">
        <is>
          <t>SAL</t>
        </is>
      </c>
      <c r="B29" s="2" t="inlineStr">
        <is>
          <t>SAL-04</t>
        </is>
      </c>
      <c r="C29" s="2" t="inlineStr">
        <is>
          <t>SAL-04.2.2</t>
        </is>
      </c>
      <c r="D29" s="8" t="inlineStr">
        <is>
          <t>Medium</t>
        </is>
      </c>
      <c r="E29" s="2" t="inlineStr">
        <is>
          <t>Develop clear messaging per theme — concise statements that inform solution design, commercial proposition, and storyboard structure</t>
        </is>
      </c>
      <c r="F29" s="2" t="inlineStr">
        <is>
          <t>AI drafts messaging. Human refines for strategic impact</t>
        </is>
      </c>
      <c r="G29" s="2" t="inlineStr">
        <is>
          <t>SAL-04.2.1 outputs</t>
        </is>
      </c>
      <c r="H29" s="2" t="inlineStr">
        <is>
          <t>Time reduction: First draft automated</t>
        </is>
      </c>
      <c r="I29" s="2" t="inlineStr">
        <is>
          <t>Capture Lead</t>
        </is>
      </c>
      <c r="J29" s="2" t="n">
        <v>5</v>
      </c>
      <c r="K29" s="2" t="n">
        <v>1</v>
      </c>
      <c r="L29" s="4">
        <f>J29/COUNTIF($B:$B,B29)</f>
        <v/>
      </c>
      <c r="M29" s="5" t="n">
        <v>0.4</v>
      </c>
      <c r="N29" s="10" t="n">
        <v>0.2</v>
      </c>
      <c r="O29" s="6">
        <f>1-(1-M29)*(1-N29)</f>
        <v/>
      </c>
      <c r="P29" s="7">
        <f>L29*O29</f>
        <v/>
      </c>
      <c r="Q29" s="2" t="inlineStr">
        <is>
          <t>Medium</t>
        </is>
      </c>
      <c r="R29" s="2" t="inlineStr">
        <is>
          <t>Low</t>
        </is>
      </c>
      <c r="S29" s="2" t="inlineStr">
        <is>
          <t>Moderate</t>
        </is>
      </c>
      <c r="T29" s="2" t="inlineStr">
        <is>
          <t>Domain judgement required for validation</t>
        </is>
      </c>
      <c r="U29" s="2" t="inlineStr">
        <is>
          <t>None</t>
        </is>
      </c>
      <c r="V29" s="2" t="inlineStr">
        <is>
          <t>Phase 2</t>
        </is>
      </c>
      <c r="W29" s="2" t="inlineStr"/>
    </row>
    <row r="30">
      <c r="A30" s="2" t="inlineStr">
        <is>
          <t>SAL</t>
        </is>
      </c>
      <c r="B30" s="2" t="inlineStr">
        <is>
          <t>SAL-04</t>
        </is>
      </c>
      <c r="C30" s="2" t="inlineStr">
        <is>
          <t>SAL-04.2.3</t>
        </is>
      </c>
      <c r="D30" s="9" t="inlineStr">
        <is>
          <t>Low</t>
        </is>
      </c>
      <c r="E30" s="2" t="inlineStr">
        <is>
          <t>Validate win themes and messaging with bid team — confirm for capture plan lock</t>
        </is>
      </c>
      <c r="F30" s="2" t="inlineStr">
        <is>
          <t>AI prepares validation pack. Human team debates</t>
        </is>
      </c>
      <c r="G30" s="2" t="inlineStr">
        <is>
          <t>All SAL-04 outputs</t>
        </is>
      </c>
      <c r="H30" s="2" t="inlineStr">
        <is>
          <t>Blocker: Team validation is human</t>
        </is>
      </c>
      <c r="I30" s="2" t="inlineStr">
        <is>
          <t>Bid Team</t>
        </is>
      </c>
      <c r="J30" s="2" t="n">
        <v>5</v>
      </c>
      <c r="K30" s="2" t="n">
        <v>1</v>
      </c>
      <c r="L30" s="4">
        <f>J30/COUNTIF($B:$B,B30)</f>
        <v/>
      </c>
      <c r="M30" s="5" t="n">
        <v>0.1</v>
      </c>
      <c r="N30" s="10" t="n">
        <v>0.2</v>
      </c>
      <c r="O30" s="6">
        <f>1-(1-M30)*(1-N30)</f>
        <v/>
      </c>
      <c r="P30" s="7">
        <f>L30*O30</f>
        <v/>
      </c>
      <c r="Q30" s="2" t="inlineStr">
        <is>
          <t>Low</t>
        </is>
      </c>
      <c r="R30" s="2" t="inlineStr">
        <is>
          <t>Low</t>
        </is>
      </c>
      <c r="S30" s="2" t="inlineStr">
        <is>
          <t>Low</t>
        </is>
      </c>
      <c r="T30" s="2" t="inlineStr">
        <is>
          <t>Team validation is human</t>
        </is>
      </c>
      <c r="U30" s="2" t="inlineStr">
        <is>
          <t>None</t>
        </is>
      </c>
      <c r="V30" s="2" t="inlineStr">
        <is>
          <t>N/A</t>
        </is>
      </c>
      <c r="W30" s="2" t="inlineStr"/>
    </row>
    <row r="31">
      <c r="A31" s="2" t="inlineStr">
        <is>
          <t>SAL</t>
        </is>
      </c>
      <c r="B31" s="2" t="inlineStr">
        <is>
          <t>SAL-05</t>
        </is>
      </c>
      <c r="C31" s="2" t="inlineStr">
        <is>
          <t>SAL-05.1.1</t>
        </is>
      </c>
      <c r="D31" s="3" t="inlineStr">
        <is>
          <t>High</t>
        </is>
      </c>
      <c r="E31" s="2" t="inlineStr">
        <is>
          <t>Deconstruct the ITT evaluation methodology — criteria, weightings, scoring model, pass/fail thresholds, hurdle marks, moderation process</t>
        </is>
      </c>
      <c r="F31" s="2" t="inlineStr">
        <is>
          <t>AI extracts criteria, weightings, thresholds from ITT documentation</t>
        </is>
      </c>
      <c r="G31" s="2" t="inlineStr">
        <is>
          <t>ITT evaluation documents</t>
        </is>
      </c>
      <c r="H31" s="2" t="inlineStr">
        <is>
          <t>Time reduction: Extraction that takes hours done in minutes</t>
        </is>
      </c>
      <c r="I31" s="2" t="inlineStr">
        <is>
          <t>Bid Manager</t>
        </is>
      </c>
      <c r="J31" s="2" t="n">
        <v>3</v>
      </c>
      <c r="K31" s="2" t="n">
        <v>1</v>
      </c>
      <c r="L31" s="4">
        <f>J31/COUNTIF($B:$B,B31)</f>
        <v/>
      </c>
      <c r="M31" s="5" t="n">
        <v>0.7</v>
      </c>
      <c r="N31" s="10" t="n">
        <v>0.2</v>
      </c>
      <c r="O31" s="6">
        <f>1-(1-M31)*(1-N31)</f>
        <v/>
      </c>
      <c r="P31" s="7">
        <f>L31*O31</f>
        <v/>
      </c>
      <c r="Q31" s="2" t="inlineStr">
        <is>
          <t>High</t>
        </is>
      </c>
      <c r="R31" s="2" t="inlineStr">
        <is>
          <t>Moderate</t>
        </is>
      </c>
      <c r="S31" s="2" t="inlineStr">
        <is>
          <t>Yes</t>
        </is>
      </c>
      <c r="T31" s="2" t="inlineStr">
        <is>
          <t>Structured data must be available</t>
        </is>
      </c>
      <c r="U31" s="2" t="inlineStr">
        <is>
          <t>ITT Document Pack</t>
        </is>
      </c>
      <c r="V31" s="2" t="inlineStr">
        <is>
          <t>Phase 1</t>
        </is>
      </c>
      <c r="W31" s="2" t="inlineStr"/>
    </row>
    <row r="32">
      <c r="A32" s="2" t="inlineStr">
        <is>
          <t>SAL</t>
        </is>
      </c>
      <c r="B32" s="2" t="inlineStr">
        <is>
          <t>SAL-05</t>
        </is>
      </c>
      <c r="C32" s="2" t="inlineStr">
        <is>
          <t>SAL-05.1.2</t>
        </is>
      </c>
      <c r="D32" s="3" t="inlineStr">
        <is>
          <t>High</t>
        </is>
      </c>
      <c r="E32" s="2" t="inlineStr">
        <is>
          <t>Map evaluation criteria to response sections — which question is worth how many marks, and what proportion of the total?</t>
        </is>
      </c>
      <c r="F32" s="2" t="inlineStr">
        <is>
          <t>AI maps criteria to sections, calculates marks-per-page ratio</t>
        </is>
      </c>
      <c r="G32" s="2" t="inlineStr">
        <is>
          <t>SAL-05.1.1 + ITT response structure</t>
        </is>
      </c>
      <c r="H32" s="2" t="inlineStr">
        <is>
          <t>Quality uplift: Systematic mapping, no sections missed</t>
        </is>
      </c>
      <c r="I32" s="2" t="inlineStr">
        <is>
          <t>Bid Manager</t>
        </is>
      </c>
      <c r="J32" s="2" t="n">
        <v>3</v>
      </c>
      <c r="K32" s="2" t="n">
        <v>1</v>
      </c>
      <c r="L32" s="4">
        <f>J32/COUNTIF($B:$B,B32)</f>
        <v/>
      </c>
      <c r="M32" s="5" t="n">
        <v>0.6</v>
      </c>
      <c r="N32" s="10" t="n">
        <v>0.2</v>
      </c>
      <c r="O32" s="6">
        <f>1-(1-M32)*(1-N32)</f>
        <v/>
      </c>
      <c r="P32" s="7">
        <f>L32*O32</f>
        <v/>
      </c>
      <c r="Q32" s="2" t="inlineStr">
        <is>
          <t>High</t>
        </is>
      </c>
      <c r="R32" s="2" t="inlineStr">
        <is>
          <t>Yes</t>
        </is>
      </c>
      <c r="S32" s="2" t="inlineStr">
        <is>
          <t>Yes</t>
        </is>
      </c>
      <c r="T32" s="2" t="inlineStr">
        <is>
          <t>Structured data must be available</t>
        </is>
      </c>
      <c r="U32" s="2" t="inlineStr">
        <is>
          <t>None</t>
        </is>
      </c>
      <c r="V32" s="2" t="inlineStr">
        <is>
          <t>Phase 1</t>
        </is>
      </c>
      <c r="W32" s="2" t="inlineStr"/>
    </row>
    <row r="33">
      <c r="A33" s="2" t="inlineStr">
        <is>
          <t>SAL</t>
        </is>
      </c>
      <c r="B33" s="2" t="inlineStr">
        <is>
          <t>SAL-05</t>
        </is>
      </c>
      <c r="C33" s="2" t="inlineStr">
        <is>
          <t>SAL-05.1.3</t>
        </is>
      </c>
      <c r="D33" s="3" t="inlineStr">
        <is>
          <t>High</t>
        </is>
      </c>
      <c r="E33" s="2" t="inlineStr">
        <is>
          <t>Where client marking scheme exists, analyse granular scoring guidance — what does a top-scoring response look like per criterion?</t>
        </is>
      </c>
      <c r="F33" s="2" t="inlineStr">
        <is>
          <t>AI extracts grade descriptors, identifies differentiating phrases per band</t>
        </is>
      </c>
      <c r="G33" s="2" t="inlineStr">
        <is>
          <t>Client marking scheme</t>
        </is>
      </c>
      <c r="H33" s="2" t="inlineStr">
        <is>
          <t>Decision velocity: Scoring guidance analysis instant if document available</t>
        </is>
      </c>
      <c r="I33" s="2" t="inlineStr">
        <is>
          <t>Bid Manager</t>
        </is>
      </c>
      <c r="J33" s="2" t="n">
        <v>3</v>
      </c>
      <c r="K33" s="2" t="n">
        <v>1</v>
      </c>
      <c r="L33" s="4">
        <f>J33/COUNTIF($B:$B,B33)</f>
        <v/>
      </c>
      <c r="M33" s="5" t="n">
        <v>0.7</v>
      </c>
      <c r="N33" s="10" t="n">
        <v>0.2</v>
      </c>
      <c r="O33" s="6">
        <f>1-(1-M33)*(1-N33)</f>
        <v/>
      </c>
      <c r="P33" s="7">
        <f>L33*O33</f>
        <v/>
      </c>
      <c r="Q33" s="2" t="inlineStr">
        <is>
          <t>High</t>
        </is>
      </c>
      <c r="R33" s="2" t="inlineStr">
        <is>
          <t>Moderate</t>
        </is>
      </c>
      <c r="S33" s="2" t="inlineStr">
        <is>
          <t>Yes</t>
        </is>
      </c>
      <c r="T33" s="2" t="inlineStr">
        <is>
          <t>Structured data must be available</t>
        </is>
      </c>
      <c r="U33" s="2" t="inlineStr">
        <is>
          <t>None</t>
        </is>
      </c>
      <c r="V33" s="2" t="inlineStr">
        <is>
          <t>Phase 1</t>
        </is>
      </c>
      <c r="W33" s="2" t="inlineStr"/>
    </row>
    <row r="34">
      <c r="A34" s="2" t="inlineStr">
        <is>
          <t>SAL</t>
        </is>
      </c>
      <c r="B34" s="2" t="inlineStr">
        <is>
          <t>SAL-05</t>
        </is>
      </c>
      <c r="C34" s="2" t="inlineStr">
        <is>
          <t>SAL-05.2.1</t>
        </is>
      </c>
      <c r="D34" s="3" t="inlineStr">
        <is>
          <t>High</t>
        </is>
      </c>
      <c r="E34" s="2" t="inlineStr">
        <is>
          <t>Analyse marks concentration — identify the high-value sections that disproportionately drive the outcome</t>
        </is>
      </c>
      <c r="F34" s="2" t="inlineStr">
        <is>
          <t>AI ranks sections by marks value, categorises strategic importance</t>
        </is>
      </c>
      <c r="G34" s="2" t="inlineStr">
        <is>
          <t>SAL-05.1.2 output</t>
        </is>
      </c>
      <c r="H34" s="2" t="inlineStr">
        <is>
          <t>Decision velocity: Effort prioritisation available immediately</t>
        </is>
      </c>
      <c r="I34" s="2" t="inlineStr">
        <is>
          <t>Bid Manager</t>
        </is>
      </c>
      <c r="J34" s="2" t="n">
        <v>3</v>
      </c>
      <c r="K34" s="2" t="n">
        <v>1</v>
      </c>
      <c r="L34" s="4">
        <f>J34/COUNTIF($B:$B,B34)</f>
        <v/>
      </c>
      <c r="M34" s="5" t="n">
        <v>0.8</v>
      </c>
      <c r="N34" s="10" t="n">
        <v>0.2</v>
      </c>
      <c r="O34" s="6">
        <f>1-(1-M34)*(1-N34)</f>
        <v/>
      </c>
      <c r="P34" s="7">
        <f>L34*O34</f>
        <v/>
      </c>
      <c r="Q34" s="2" t="inlineStr">
        <is>
          <t>High</t>
        </is>
      </c>
      <c r="R34" s="2" t="inlineStr">
        <is>
          <t>Moderate</t>
        </is>
      </c>
      <c r="S34" s="2" t="inlineStr">
        <is>
          <t>Yes</t>
        </is>
      </c>
      <c r="T34" s="2" t="inlineStr">
        <is>
          <t>Structured data must be available</t>
        </is>
      </c>
      <c r="U34" s="2" t="inlineStr">
        <is>
          <t>None</t>
        </is>
      </c>
      <c r="V34" s="2" t="inlineStr">
        <is>
          <t>Phase 1</t>
        </is>
      </c>
      <c r="W34" s="2" t="inlineStr"/>
    </row>
    <row r="35">
      <c r="A35" s="2" t="inlineStr">
        <is>
          <t>SAL</t>
        </is>
      </c>
      <c r="B35" s="2" t="inlineStr">
        <is>
          <t>SAL-05</t>
        </is>
      </c>
      <c r="C35" s="2" t="inlineStr">
        <is>
          <t>SAL-05.2.2</t>
        </is>
      </c>
      <c r="D35" s="8" t="inlineStr">
        <is>
          <t>Medium</t>
        </is>
      </c>
      <c r="E35" s="2" t="inlineStr">
        <is>
          <t>Conduct score gap analysis — can we realistically score 100% in each section, and if not, why not, and what is the mitigation?</t>
        </is>
      </c>
      <c r="F35" s="2" t="inlineStr">
        <is>
          <t>AI identifies gaps by cross-referencing scoring requirements with capability/evidence data. Human validates</t>
        </is>
      </c>
      <c r="G35" s="2" t="inlineStr">
        <is>
          <t>SAL-05.1.3 + evidence library + capability data</t>
        </is>
      </c>
      <c r="H35" s="2" t="inlineStr">
        <is>
          <t>Quality uplift: Systematic gap identification across all sections</t>
        </is>
      </c>
      <c r="I35" s="2" t="inlineStr">
        <is>
          <t>Bid Manager</t>
        </is>
      </c>
      <c r="J35" s="2" t="n">
        <v>3</v>
      </c>
      <c r="K35" s="2" t="n">
        <v>1</v>
      </c>
      <c r="L35" s="4">
        <f>J35/COUNTIF($B:$B,B35)</f>
        <v/>
      </c>
      <c r="M35" s="5" t="n">
        <v>0.5</v>
      </c>
      <c r="N35" s="10" t="n">
        <v>0.2</v>
      </c>
      <c r="O35" s="6">
        <f>1-(1-M35)*(1-N35)</f>
        <v/>
      </c>
      <c r="P35" s="7">
        <f>L35*O35</f>
        <v/>
      </c>
      <c r="Q35" s="2" t="inlineStr">
        <is>
          <t>Medium</t>
        </is>
      </c>
      <c r="R35" s="2" t="inlineStr">
        <is>
          <t>Yes</t>
        </is>
      </c>
      <c r="S35" s="2" t="inlineStr">
        <is>
          <t>Moderate</t>
        </is>
      </c>
      <c r="T35" s="2" t="inlineStr">
        <is>
          <t>Domain judgement required for validation</t>
        </is>
      </c>
      <c r="U35" s="2" t="inlineStr">
        <is>
          <t>None</t>
        </is>
      </c>
      <c r="V35" s="2" t="inlineStr">
        <is>
          <t>Phase 1</t>
        </is>
      </c>
      <c r="W35" s="2" t="inlineStr"/>
    </row>
    <row r="36">
      <c r="A36" s="2" t="inlineStr">
        <is>
          <t>SAL</t>
        </is>
      </c>
      <c r="B36" s="2" t="inlineStr">
        <is>
          <t>SAL-05</t>
        </is>
      </c>
      <c r="C36" s="2" t="inlineStr">
        <is>
          <t>SAL-05.2.3</t>
        </is>
      </c>
      <c r="D36" s="8" t="inlineStr">
        <is>
          <t>Medium</t>
        </is>
      </c>
      <c r="E36" s="2" t="inlineStr">
        <is>
          <t>Develop scoring strategy per section — what must each response demonstrate to achieve maximum marks, incorporating gap mitigations</t>
        </is>
      </c>
      <c r="F36" s="2" t="inlineStr">
        <is>
          <t>AI drafts strategy per section based on scoring guidance. Human refines</t>
        </is>
      </c>
      <c r="G36" s="2" t="inlineStr">
        <is>
          <t>SAL-05.2.1 + SAL-05.2.2</t>
        </is>
      </c>
      <c r="H36" s="2" t="inlineStr">
        <is>
          <t>Time reduction: Draft strategies automated</t>
        </is>
      </c>
      <c r="I36" s="2" t="inlineStr">
        <is>
          <t>Bid Manager</t>
        </is>
      </c>
      <c r="J36" s="2" t="n">
        <v>3</v>
      </c>
      <c r="K36" s="2" t="n">
        <v>1</v>
      </c>
      <c r="L36" s="4">
        <f>J36/COUNTIF($B:$B,B36)</f>
        <v/>
      </c>
      <c r="M36" s="5" t="n">
        <v>0.4</v>
      </c>
      <c r="N36" s="10" t="n">
        <v>0.2</v>
      </c>
      <c r="O36" s="6">
        <f>1-(1-M36)*(1-N36)</f>
        <v/>
      </c>
      <c r="P36" s="7">
        <f>L36*O36</f>
        <v/>
      </c>
      <c r="Q36" s="2" t="inlineStr">
        <is>
          <t>Medium</t>
        </is>
      </c>
      <c r="R36" s="2" t="inlineStr">
        <is>
          <t>Low</t>
        </is>
      </c>
      <c r="S36" s="2" t="inlineStr">
        <is>
          <t>Moderate</t>
        </is>
      </c>
      <c r="T36" s="2" t="inlineStr">
        <is>
          <t>Domain judgement required for validation</t>
        </is>
      </c>
      <c r="U36" s="2" t="inlineStr">
        <is>
          <t>None</t>
        </is>
      </c>
      <c r="V36" s="2" t="inlineStr">
        <is>
          <t>Phase 1</t>
        </is>
      </c>
      <c r="W36" s="2" t="inlineStr"/>
    </row>
    <row r="37">
      <c r="A37" s="2" t="inlineStr">
        <is>
          <t>SAL</t>
        </is>
      </c>
      <c r="B37" s="2" t="inlineStr">
        <is>
          <t>SAL-05</t>
        </is>
      </c>
      <c r="C37" s="2" t="inlineStr">
        <is>
          <t>SAL-05.2.4</t>
        </is>
      </c>
      <c r="D37" s="3" t="inlineStr">
        <is>
          <t>High</t>
        </is>
      </c>
      <c r="E37" s="2" t="inlineStr">
        <is>
          <t>Align win themes to evaluation sections — ensure our differentiators land where the marks are</t>
        </is>
      </c>
      <c r="F37" s="2" t="inlineStr">
        <is>
          <t>AI maps themes to sections — produces integration matrix</t>
        </is>
      </c>
      <c r="G37" s="2" t="inlineStr">
        <is>
          <t>SAL-04 + SAL-05.2.3</t>
        </is>
      </c>
      <c r="H37" s="2" t="inlineStr">
        <is>
          <t>Quality uplift: Ensures no theme orphaned from high-value sections</t>
        </is>
      </c>
      <c r="I37" s="2" t="inlineStr">
        <is>
          <t>Bid Manager</t>
        </is>
      </c>
      <c r="J37" s="2" t="n">
        <v>3</v>
      </c>
      <c r="K37" s="2" t="n">
        <v>1</v>
      </c>
      <c r="L37" s="4">
        <f>J37/COUNTIF($B:$B,B37)</f>
        <v/>
      </c>
      <c r="M37" s="5" t="n">
        <v>0.7</v>
      </c>
      <c r="N37" s="10" t="n">
        <v>0.2</v>
      </c>
      <c r="O37" s="6">
        <f>1-(1-M37)*(1-N37)</f>
        <v/>
      </c>
      <c r="P37" s="7">
        <f>L37*O37</f>
        <v/>
      </c>
      <c r="Q37" s="2" t="inlineStr">
        <is>
          <t>High</t>
        </is>
      </c>
      <c r="R37" s="2" t="inlineStr">
        <is>
          <t>Yes</t>
        </is>
      </c>
      <c r="S37" s="2" t="inlineStr">
        <is>
          <t>Yes</t>
        </is>
      </c>
      <c r="T37" s="2" t="inlineStr">
        <is>
          <t>Structured data must be available</t>
        </is>
      </c>
      <c r="U37" s="2" t="inlineStr">
        <is>
          <t>None</t>
        </is>
      </c>
      <c r="V37" s="2" t="inlineStr">
        <is>
          <t>Phase 1</t>
        </is>
      </c>
      <c r="W37" s="2" t="inlineStr"/>
    </row>
    <row r="38">
      <c r="A38" s="2" t="inlineStr">
        <is>
          <t>SAL</t>
        </is>
      </c>
      <c r="B38" s="2" t="inlineStr">
        <is>
          <t>SAL-05</t>
        </is>
      </c>
      <c r="C38" s="2" t="inlineStr">
        <is>
          <t>SAL-05.2.5</t>
        </is>
      </c>
      <c r="D38" s="9" t="inlineStr">
        <is>
          <t>Low</t>
        </is>
      </c>
      <c r="E38" s="2" t="inlineStr">
        <is>
          <t>Confirm scoring strategy with bid team for capture plan lock</t>
        </is>
      </c>
      <c r="F38" s="2" t="inlineStr">
        <is>
          <t>AI prepares briefing pack. Human team confirms</t>
        </is>
      </c>
      <c r="G38" s="2" t="inlineStr">
        <is>
          <t>All SAL-05 outputs</t>
        </is>
      </c>
      <c r="H38" s="2" t="inlineStr">
        <is>
          <t>Blocker: Team confirmation is human</t>
        </is>
      </c>
      <c r="I38" s="2" t="inlineStr">
        <is>
          <t>Bid Team</t>
        </is>
      </c>
      <c r="J38" s="2" t="n">
        <v>3</v>
      </c>
      <c r="K38" s="2" t="n">
        <v>1</v>
      </c>
      <c r="L38" s="4">
        <f>J38/COUNTIF($B:$B,B38)</f>
        <v/>
      </c>
      <c r="M38" s="5" t="n">
        <v>0.1</v>
      </c>
      <c r="N38" s="10" t="n">
        <v>0.2</v>
      </c>
      <c r="O38" s="6">
        <f>1-(1-M38)*(1-N38)</f>
        <v/>
      </c>
      <c r="P38" s="7">
        <f>L38*O38</f>
        <v/>
      </c>
      <c r="Q38" s="2" t="inlineStr">
        <is>
          <t>Low</t>
        </is>
      </c>
      <c r="R38" s="2" t="inlineStr">
        <is>
          <t>Low</t>
        </is>
      </c>
      <c r="S38" s="2" t="inlineStr">
        <is>
          <t>Low</t>
        </is>
      </c>
      <c r="T38" s="2" t="inlineStr">
        <is>
          <t>Team confirmation is human</t>
        </is>
      </c>
      <c r="U38" s="2" t="inlineStr">
        <is>
          <t>None</t>
        </is>
      </c>
      <c r="V38" s="2" t="inlineStr">
        <is>
          <t>Phase 1</t>
        </is>
      </c>
      <c r="W38" s="2" t="inlineStr"/>
    </row>
    <row r="39">
      <c r="A39" s="2" t="inlineStr">
        <is>
          <t>SAL</t>
        </is>
      </c>
      <c r="B39" s="2" t="inlineStr">
        <is>
          <t>SAL-06</t>
        </is>
      </c>
      <c r="C39" s="2" t="inlineStr">
        <is>
          <t>SAL-06.1.1</t>
        </is>
      </c>
      <c r="D39" s="8" t="inlineStr">
        <is>
          <t>Medium</t>
        </is>
      </c>
      <c r="E39" s="2" t="inlineStr">
        <is>
          <t>Assess capture effectiveness — how well does the ITT align to what our capture activity was trying to influence? Evaluation criteria, solution scope, commercial terms, transition approach</t>
        </is>
      </c>
      <c r="F39" s="2" t="inlineStr">
        <is>
          <t>AI compares capture plan assumptions against ITT documentation</t>
        </is>
      </c>
      <c r="G39" s="2" t="inlineStr">
        <is>
          <t>SAL-06 inputs + ITT docs</t>
        </is>
      </c>
      <c r="H39" s="2" t="inlineStr">
        <is>
          <t>Decision velocity: Alignment gaps identified automatically</t>
        </is>
      </c>
      <c r="I39" s="2" t="inlineStr">
        <is>
          <t>Capture Lead</t>
        </is>
      </c>
      <c r="J39" s="2" t="n">
        <v>3</v>
      </c>
      <c r="K39" s="2" t="n">
        <v>1</v>
      </c>
      <c r="L39" s="4">
        <f>J39/COUNTIF($B:$B,B39)</f>
        <v/>
      </c>
      <c r="M39" s="5" t="n">
        <v>0.4</v>
      </c>
      <c r="N39" s="10" t="n">
        <v>0.25</v>
      </c>
      <c r="O39" s="6">
        <f>1-(1-M39)*(1-N39)</f>
        <v/>
      </c>
      <c r="P39" s="7">
        <f>L39*O39</f>
        <v/>
      </c>
      <c r="Q39" s="2" t="inlineStr">
        <is>
          <t>High</t>
        </is>
      </c>
      <c r="R39" s="2" t="inlineStr">
        <is>
          <t>Low</t>
        </is>
      </c>
      <c r="S39" s="2" t="inlineStr">
        <is>
          <t>Moderate</t>
        </is>
      </c>
      <c r="T39" s="2" t="inlineStr">
        <is>
          <t>Domain judgement required for validation</t>
        </is>
      </c>
      <c r="U39" s="2" t="inlineStr">
        <is>
          <t>ITT Document Pack</t>
        </is>
      </c>
      <c r="V39" s="2" t="inlineStr">
        <is>
          <t>N/A</t>
        </is>
      </c>
      <c r="W39" s="2" t="inlineStr"/>
    </row>
    <row r="40">
      <c r="A40" s="2" t="inlineStr">
        <is>
          <t>SAL</t>
        </is>
      </c>
      <c r="B40" s="2" t="inlineStr">
        <is>
          <t>SAL-06</t>
        </is>
      </c>
      <c r="C40" s="2" t="inlineStr">
        <is>
          <t>SAL-06.1.2</t>
        </is>
      </c>
      <c r="D40" s="3" t="inlineStr">
        <is>
          <t>High</t>
        </is>
      </c>
      <c r="E40" s="2" t="inlineStr">
        <is>
          <t>Conduct rapid ITT documentation analysis — requirements breakdown, contract red lines, payment mechanism, SLA framework, transition provisions</t>
        </is>
      </c>
      <c r="F40" s="2" t="inlineStr">
        <is>
          <t>AI analyses requirements, contract, payment mechanism, SLAs in the ITT pack</t>
        </is>
      </c>
      <c r="G40" s="2" t="inlineStr">
        <is>
          <t>Full ITT documentation pack</t>
        </is>
      </c>
      <c r="H40" s="2" t="inlineStr">
        <is>
          <t>Time reduction: Days of manual ITT analysis compressed to hours. This is a killer AI use case.</t>
        </is>
      </c>
      <c r="I40" s="2" t="inlineStr">
        <is>
          <t>Bid Manager</t>
        </is>
      </c>
      <c r="J40" s="2" t="n">
        <v>3</v>
      </c>
      <c r="K40" s="2" t="n">
        <v>1</v>
      </c>
      <c r="L40" s="4">
        <f>J40/COUNTIF($B:$B,B40)</f>
        <v/>
      </c>
      <c r="M40" s="5" t="n">
        <v>0.7</v>
      </c>
      <c r="N40" s="10" t="n">
        <v>0.25</v>
      </c>
      <c r="O40" s="6">
        <f>1-(1-M40)*(1-N40)</f>
        <v/>
      </c>
      <c r="P40" s="7">
        <f>L40*O40</f>
        <v/>
      </c>
      <c r="Q40" s="2" t="inlineStr">
        <is>
          <t>High</t>
        </is>
      </c>
      <c r="R40" s="2" t="inlineStr">
        <is>
          <t>Moderate</t>
        </is>
      </c>
      <c r="S40" s="2" t="inlineStr">
        <is>
          <t>Yes</t>
        </is>
      </c>
      <c r="T40" s="2" t="inlineStr">
        <is>
          <t>Structured data must be available</t>
        </is>
      </c>
      <c r="U40" s="2" t="inlineStr">
        <is>
          <t>ITT Document Pack</t>
        </is>
      </c>
      <c r="V40" s="2" t="inlineStr">
        <is>
          <t>Phase 1</t>
        </is>
      </c>
      <c r="W40" s="2" t="inlineStr"/>
    </row>
    <row r="41">
      <c r="A41" s="2" t="inlineStr">
        <is>
          <t>SAL</t>
        </is>
      </c>
      <c r="B41" s="2" t="inlineStr">
        <is>
          <t>SAL-06</t>
        </is>
      </c>
      <c r="C41" s="2" t="inlineStr">
        <is>
          <t>SAL-06.2.1</t>
        </is>
      </c>
      <c r="D41" s="8" t="inlineStr">
        <is>
          <t>Medium</t>
        </is>
      </c>
      <c r="E41" s="2" t="inlineStr">
        <is>
          <t>Complete Deal Qualification Checklist (DQC) — attractiveness, deliverability, risk, win likelihood, informed by ITT documentation analysis</t>
        </is>
      </c>
      <c r="F41" s="2" t="inlineStr">
        <is>
          <t>AI pre-populates DQC from upstream outputs. Human validates and scores</t>
        </is>
      </c>
      <c r="G41" s="2" t="inlineStr">
        <is>
          <t>All SAL outputs</t>
        </is>
      </c>
      <c r="H41" s="2" t="inlineStr">
        <is>
          <t>Decision velocity: DQC largely pre-filled, human focuses on judgement calls</t>
        </is>
      </c>
      <c r="I41" s="2" t="inlineStr">
        <is>
          <t>Bid Director</t>
        </is>
      </c>
      <c r="J41" s="2" t="n">
        <v>3</v>
      </c>
      <c r="K41" s="2" t="n">
        <v>1</v>
      </c>
      <c r="L41" s="4">
        <f>J41/COUNTIF($B:$B,B41)</f>
        <v/>
      </c>
      <c r="M41" s="5" t="n">
        <v>0.4</v>
      </c>
      <c r="N41" s="10" t="n">
        <v>0.25</v>
      </c>
      <c r="O41" s="6">
        <f>1-(1-M41)*(1-N41)</f>
        <v/>
      </c>
      <c r="P41" s="7">
        <f>L41*O41</f>
        <v/>
      </c>
      <c r="Q41" s="2" t="inlineStr">
        <is>
          <t>High</t>
        </is>
      </c>
      <c r="R41" s="2" t="inlineStr">
        <is>
          <t>Low</t>
        </is>
      </c>
      <c r="S41" s="2" t="inlineStr">
        <is>
          <t>Moderate</t>
        </is>
      </c>
      <c r="T41" s="2" t="inlineStr">
        <is>
          <t>Domain judgement required for validation</t>
        </is>
      </c>
      <c r="U41" s="2" t="inlineStr">
        <is>
          <t>ITT Document Pack</t>
        </is>
      </c>
      <c r="V41" s="2" t="inlineStr">
        <is>
          <t>N/A</t>
        </is>
      </c>
      <c r="W41" s="2" t="inlineStr"/>
    </row>
    <row r="42">
      <c r="A42" s="2" t="inlineStr">
        <is>
          <t>SAL</t>
        </is>
      </c>
      <c r="B42" s="2" t="inlineStr">
        <is>
          <t>SAL-06</t>
        </is>
      </c>
      <c r="C42" s="2" t="inlineStr">
        <is>
          <t>SAL-06.2.2</t>
        </is>
      </c>
      <c r="D42" s="9" t="inlineStr">
        <is>
          <t>Low</t>
        </is>
      </c>
      <c r="E42" s="2" t="inlineStr">
        <is>
          <t>Assess strategic fit against sector portfolio and growth plan — is this the right opportunity for us right now?</t>
        </is>
      </c>
      <c r="F42" s="2" t="inlineStr">
        <is>
          <t>Requires organisational strategic knowledge</t>
        </is>
      </c>
      <c r="G42" s="2" t="inlineStr">
        <is>
          <t>Strategic plan, pipeline data</t>
        </is>
      </c>
      <c r="H42" s="2" t="inlineStr">
        <is>
          <t>Blocker: Internal strategic judgement</t>
        </is>
      </c>
      <c r="I42" s="2" t="inlineStr">
        <is>
          <t>Bid Director</t>
        </is>
      </c>
      <c r="J42" s="2" t="n">
        <v>3</v>
      </c>
      <c r="K42" s="2" t="n">
        <v>1</v>
      </c>
      <c r="L42" s="4">
        <f>J42/COUNTIF($B:$B,B42)</f>
        <v/>
      </c>
      <c r="M42" s="5" t="n">
        <v>0.2</v>
      </c>
      <c r="N42" s="10" t="n">
        <v>0.25</v>
      </c>
      <c r="O42" s="6">
        <f>1-(1-M42)*(1-N42)</f>
        <v/>
      </c>
      <c r="P42" s="7">
        <f>L42*O42</f>
        <v/>
      </c>
      <c r="Q42" s="2" t="inlineStr">
        <is>
          <t>Low</t>
        </is>
      </c>
      <c r="R42" s="2" t="inlineStr">
        <is>
          <t>Low</t>
        </is>
      </c>
      <c r="S42" s="2" t="inlineStr">
        <is>
          <t>Low</t>
        </is>
      </c>
      <c r="T42" s="2" t="inlineStr">
        <is>
          <t>Internal strategic judgement</t>
        </is>
      </c>
      <c r="U42" s="2" t="inlineStr">
        <is>
          <t>Market Intelligence Sources</t>
        </is>
      </c>
      <c r="V42" s="2" t="inlineStr">
        <is>
          <t>N/A</t>
        </is>
      </c>
      <c r="W42" s="2" t="inlineStr"/>
    </row>
    <row r="43">
      <c r="A43" s="2" t="inlineStr">
        <is>
          <t>SAL</t>
        </is>
      </c>
      <c r="B43" s="2" t="inlineStr">
        <is>
          <t>SAL-06</t>
        </is>
      </c>
      <c r="C43" s="2" t="inlineStr">
        <is>
          <t>SAL-06.2.3</t>
        </is>
      </c>
      <c r="D43" s="8" t="inlineStr">
        <is>
          <t>Medium</t>
        </is>
      </c>
      <c r="E43" s="2" t="inlineStr">
        <is>
          <t>Score PWIN against all dimensions — competitive position, stakeholder relationships, solution readiness, scoring landscape, transition risk, transformational opportunity</t>
        </is>
      </c>
      <c r="F43" s="2" t="inlineStr">
        <is>
          <t>AI calculates PWIN from structured inputs across all dimensions</t>
        </is>
      </c>
      <c r="G43" s="2" t="inlineStr">
        <is>
          <t>All dimension inputs</t>
        </is>
      </c>
      <c r="H43" s="2" t="inlineStr">
        <is>
          <t>Decision velocity: Quantified PWIN with evidence basis, not gut feel</t>
        </is>
      </c>
      <c r="I43" s="2" t="inlineStr">
        <is>
          <t>Bid Director</t>
        </is>
      </c>
      <c r="J43" s="2" t="n">
        <v>3</v>
      </c>
      <c r="K43" s="2" t="n">
        <v>1</v>
      </c>
      <c r="L43" s="4">
        <f>J43/COUNTIF($B:$B,B43)</f>
        <v/>
      </c>
      <c r="M43" s="5" t="n">
        <v>0.5</v>
      </c>
      <c r="N43" s="10" t="n">
        <v>0.25</v>
      </c>
      <c r="O43" s="6">
        <f>1-(1-M43)*(1-N43)</f>
        <v/>
      </c>
      <c r="P43" s="7">
        <f>L43*O43</f>
        <v/>
      </c>
      <c r="Q43" s="2" t="inlineStr">
        <is>
          <t>High</t>
        </is>
      </c>
      <c r="R43" s="2" t="inlineStr">
        <is>
          <t>Low</t>
        </is>
      </c>
      <c r="S43" s="2" t="inlineStr">
        <is>
          <t>Moderate</t>
        </is>
      </c>
      <c r="T43" s="2" t="inlineStr">
        <is>
          <t>Domain judgement required for validation</t>
        </is>
      </c>
      <c r="U43" s="2" t="inlineStr">
        <is>
          <t>None</t>
        </is>
      </c>
      <c r="V43" s="2" t="inlineStr">
        <is>
          <t>N/A</t>
        </is>
      </c>
      <c r="W43" s="2" t="inlineStr"/>
    </row>
    <row r="44">
      <c r="A44" s="2" t="inlineStr">
        <is>
          <t>SAL</t>
        </is>
      </c>
      <c r="B44" s="2" t="inlineStr">
        <is>
          <t>SAL-06</t>
        </is>
      </c>
      <c r="C44" s="2" t="inlineStr">
        <is>
          <t>SAL-06.2.4</t>
        </is>
      </c>
      <c r="D44" s="8" t="inlineStr">
        <is>
          <t>Medium</t>
        </is>
      </c>
      <c r="E44" s="2" t="inlineStr">
        <is>
          <t>Synthesise win strategy — the integrated narrative tying win themes, scoring strategy, competitive positioning, stakeholder engagement, and transformational approach into a coherent plan</t>
        </is>
      </c>
      <c r="F44" s="2" t="inlineStr">
        <is>
          <t>AI drafts the narrative from upstream outputs. Human refines</t>
        </is>
      </c>
      <c r="G44" s="2" t="inlineStr">
        <is>
          <t>All SAL outputs</t>
        </is>
      </c>
      <c r="H44" s="2" t="inlineStr">
        <is>
          <t>Time reduction: First draft automated</t>
        </is>
      </c>
      <c r="I44" s="2" t="inlineStr">
        <is>
          <t>Bid Director</t>
        </is>
      </c>
      <c r="J44" s="2" t="n">
        <v>3</v>
      </c>
      <c r="K44" s="2" t="n">
        <v>1</v>
      </c>
      <c r="L44" s="4">
        <f>J44/COUNTIF($B:$B,B44)</f>
        <v/>
      </c>
      <c r="M44" s="5" t="n">
        <v>0.4</v>
      </c>
      <c r="N44" s="10" t="n">
        <v>0.25</v>
      </c>
      <c r="O44" s="6">
        <f>1-(1-M44)*(1-N44)</f>
        <v/>
      </c>
      <c r="P44" s="7">
        <f>L44*O44</f>
        <v/>
      </c>
      <c r="Q44" s="2" t="inlineStr">
        <is>
          <t>Medium</t>
        </is>
      </c>
      <c r="R44" s="2" t="inlineStr">
        <is>
          <t>Low</t>
        </is>
      </c>
      <c r="S44" s="2" t="inlineStr">
        <is>
          <t>Moderate</t>
        </is>
      </c>
      <c r="T44" s="2" t="inlineStr">
        <is>
          <t>Domain judgement required for validation</t>
        </is>
      </c>
      <c r="U44" s="2" t="inlineStr">
        <is>
          <t>None</t>
        </is>
      </c>
      <c r="V44" s="2" t="inlineStr">
        <is>
          <t>Phase 2</t>
        </is>
      </c>
      <c r="W44" s="2" t="inlineStr"/>
    </row>
    <row r="45">
      <c r="A45" s="2" t="inlineStr">
        <is>
          <t>SAL</t>
        </is>
      </c>
      <c r="B45" s="2" t="inlineStr">
        <is>
          <t>SAL-06</t>
        </is>
      </c>
      <c r="C45" s="2" t="inlineStr">
        <is>
          <t>SAL-06.3.1</t>
        </is>
      </c>
      <c r="D45" s="9" t="inlineStr">
        <is>
          <t>Low</t>
        </is>
      </c>
      <c r="E45" s="2" t="inlineStr">
        <is>
          <t>Define the consortium strategy — prime/sub, JV, SPV, or sole bidder — with rationale tied to win strategy and competitive positioning</t>
        </is>
      </c>
      <c r="F45" s="2" t="inlineStr">
        <is>
          <t>Strategic partnership decisions require human judgement</t>
        </is>
      </c>
      <c r="G45" s="2" t="inlineStr">
        <is>
          <t>Market knowledge, relationships</t>
        </is>
      </c>
      <c r="H45" s="2" t="inlineStr">
        <is>
          <t>Blocker: Consortium design is a strategic human decision</t>
        </is>
      </c>
      <c r="I45" s="2" t="inlineStr">
        <is>
          <t>Bid Director</t>
        </is>
      </c>
      <c r="J45" s="2" t="n">
        <v>3</v>
      </c>
      <c r="K45" s="2" t="n">
        <v>1</v>
      </c>
      <c r="L45" s="4">
        <f>J45/COUNTIF($B:$B,B45)</f>
        <v/>
      </c>
      <c r="M45" s="5" t="n">
        <v>0.1</v>
      </c>
      <c r="N45" s="10" t="n">
        <v>0.25</v>
      </c>
      <c r="O45" s="6">
        <f>1-(1-M45)*(1-N45)</f>
        <v/>
      </c>
      <c r="P45" s="7">
        <f>L45*O45</f>
        <v/>
      </c>
      <c r="Q45" s="2" t="inlineStr">
        <is>
          <t>Low</t>
        </is>
      </c>
      <c r="R45" s="2" t="inlineStr">
        <is>
          <t>Low</t>
        </is>
      </c>
      <c r="S45" s="2" t="inlineStr">
        <is>
          <t>Low</t>
        </is>
      </c>
      <c r="T45" s="2" t="inlineStr">
        <is>
          <t>Consortium design is a strategic human decision</t>
        </is>
      </c>
      <c r="U45" s="2" t="inlineStr">
        <is>
          <t>None</t>
        </is>
      </c>
      <c r="V45" s="2" t="inlineStr">
        <is>
          <t>N/A</t>
        </is>
      </c>
      <c r="W45" s="2" t="inlineStr"/>
    </row>
    <row r="46">
      <c r="A46" s="2" t="inlineStr">
        <is>
          <t>SAL</t>
        </is>
      </c>
      <c r="B46" s="2" t="inlineStr">
        <is>
          <t>SAL-06</t>
        </is>
      </c>
      <c r="C46" s="2" t="inlineStr">
        <is>
          <t>SAL-06.3.2</t>
        </is>
      </c>
      <c r="D46" s="8" t="inlineStr">
        <is>
          <t>Medium</t>
        </is>
      </c>
      <c r="E46" s="2" t="inlineStr">
        <is>
          <t>Identify required partner capabilities — mapped to score gaps, capability gaps, and solution components that we cannot deliver alone</t>
        </is>
      </c>
      <c r="F46" s="2" t="inlineStr">
        <is>
          <t>AI maps gaps to potential partner types from market data</t>
        </is>
      </c>
      <c r="G46" s="2" t="inlineStr">
        <is>
          <t>SAL-05.2.2 + SAL-02.3.3 + market data</t>
        </is>
      </c>
      <c r="H46" s="2" t="inlineStr">
        <is>
          <t>Time reduction: Gap-to-partner mapping automated</t>
        </is>
      </c>
      <c r="I46" s="2" t="inlineStr">
        <is>
          <t>Capture Lead</t>
        </is>
      </c>
      <c r="J46" s="2" t="n">
        <v>3</v>
      </c>
      <c r="K46" s="2" t="n">
        <v>1</v>
      </c>
      <c r="L46" s="4">
        <f>J46/COUNTIF($B:$B,B46)</f>
        <v/>
      </c>
      <c r="M46" s="5" t="n">
        <v>0.4</v>
      </c>
      <c r="N46" s="10" t="n">
        <v>0.25</v>
      </c>
      <c r="O46" s="6">
        <f>1-(1-M46)*(1-N46)</f>
        <v/>
      </c>
      <c r="P46" s="7">
        <f>L46*O46</f>
        <v/>
      </c>
      <c r="Q46" s="2" t="inlineStr">
        <is>
          <t>Medium</t>
        </is>
      </c>
      <c r="R46" s="2" t="inlineStr">
        <is>
          <t>Low</t>
        </is>
      </c>
      <c r="S46" s="2" t="inlineStr">
        <is>
          <t>Moderate</t>
        </is>
      </c>
      <c r="T46" s="2" t="inlineStr">
        <is>
          <t>Domain judgement required for validation</t>
        </is>
      </c>
      <c r="U46" s="2" t="inlineStr">
        <is>
          <t>None</t>
        </is>
      </c>
      <c r="V46" s="2" t="inlineStr">
        <is>
          <t>N/A</t>
        </is>
      </c>
      <c r="W46" s="2" t="inlineStr"/>
    </row>
    <row r="47">
      <c r="A47" s="2" t="inlineStr">
        <is>
          <t>SAL</t>
        </is>
      </c>
      <c r="B47" s="2" t="inlineStr">
        <is>
          <t>SAL-06</t>
        </is>
      </c>
      <c r="C47" s="2" t="inlineStr">
        <is>
          <t>SAL-06.3.3</t>
        </is>
      </c>
      <c r="D47" s="9" t="inlineStr">
        <is>
          <t>Low</t>
        </is>
      </c>
      <c r="E47" s="2" t="inlineStr">
        <is>
          <t>Define the target delivery model across the consortium — who owns what scope, high-level work breakdown, accountability structure</t>
        </is>
      </c>
      <c r="F47" s="2" t="inlineStr">
        <is>
          <t>Requires strategic design judgement</t>
        </is>
      </c>
      <c r="G47" s="2" t="inlineStr">
        <is>
          <t>Consortium strategy</t>
        </is>
      </c>
      <c r="H47" s="2" t="inlineStr">
        <is>
          <t>Blocker: Work breakdown is a design decision</t>
        </is>
      </c>
      <c r="I47" s="2" t="inlineStr">
        <is>
          <t>Bid Director</t>
        </is>
      </c>
      <c r="J47" s="2" t="n">
        <v>3</v>
      </c>
      <c r="K47" s="2" t="n">
        <v>1</v>
      </c>
      <c r="L47" s="4">
        <f>J47/COUNTIF($B:$B,B47)</f>
        <v/>
      </c>
      <c r="M47" s="5" t="n">
        <v>0.1</v>
      </c>
      <c r="N47" s="10" t="n">
        <v>0.25</v>
      </c>
      <c r="O47" s="6">
        <f>1-(1-M47)*(1-N47)</f>
        <v/>
      </c>
      <c r="P47" s="7">
        <f>L47*O47</f>
        <v/>
      </c>
      <c r="Q47" s="2" t="inlineStr">
        <is>
          <t>Low</t>
        </is>
      </c>
      <c r="R47" s="2" t="inlineStr">
        <is>
          <t>Low</t>
        </is>
      </c>
      <c r="S47" s="2" t="inlineStr">
        <is>
          <t>Low</t>
        </is>
      </c>
      <c r="T47" s="2" t="inlineStr">
        <is>
          <t>Work breakdown is a design decision</t>
        </is>
      </c>
      <c r="U47" s="2" t="inlineStr">
        <is>
          <t>None</t>
        </is>
      </c>
      <c r="V47" s="2" t="inlineStr">
        <is>
          <t>N/A</t>
        </is>
      </c>
      <c r="W47" s="2" t="inlineStr"/>
    </row>
    <row r="48">
      <c r="A48" s="2" t="inlineStr">
        <is>
          <t>SAL</t>
        </is>
      </c>
      <c r="B48" s="2" t="inlineStr">
        <is>
          <t>SAL-06</t>
        </is>
      </c>
      <c r="C48" s="2" t="inlineStr">
        <is>
          <t>SAL-06.4.1</t>
        </is>
      </c>
      <c r="D48" s="3" t="inlineStr">
        <is>
          <t>High</t>
        </is>
      </c>
      <c r="E48" s="2" t="inlineStr">
        <is>
          <t>Assemble capture plan — the locked strategic baseline document covering all dimensions including consortium strategy</t>
        </is>
      </c>
      <c r="F48" s="2" t="inlineStr">
        <is>
          <t>AI consolidates all upstream outputs into structured document</t>
        </is>
      </c>
      <c r="G48" s="2" t="inlineStr">
        <is>
          <t>All SAL-06 upstream outputs</t>
        </is>
      </c>
      <c r="H48" s="2" t="inlineStr">
        <is>
          <t>Time reduction: Document assembly automated</t>
        </is>
      </c>
      <c r="I48" s="2" t="inlineStr">
        <is>
          <t>Bid Manager</t>
        </is>
      </c>
      <c r="J48" s="2" t="n">
        <v>3</v>
      </c>
      <c r="K48" s="2" t="n">
        <v>1</v>
      </c>
      <c r="L48" s="4">
        <f>J48/COUNTIF($B:$B,B48)</f>
        <v/>
      </c>
      <c r="M48" s="5" t="n">
        <v>0.6</v>
      </c>
      <c r="N48" s="10" t="n">
        <v>0.25</v>
      </c>
      <c r="O48" s="6">
        <f>1-(1-M48)*(1-N48)</f>
        <v/>
      </c>
      <c r="P48" s="7">
        <f>L48*O48</f>
        <v/>
      </c>
      <c r="Q48" s="2" t="inlineStr">
        <is>
          <t>High</t>
        </is>
      </c>
      <c r="R48" s="2" t="inlineStr">
        <is>
          <t>Moderate</t>
        </is>
      </c>
      <c r="S48" s="2" t="inlineStr">
        <is>
          <t>Yes</t>
        </is>
      </c>
      <c r="T48" s="2" t="inlineStr">
        <is>
          <t>Structured data must be available</t>
        </is>
      </c>
      <c r="U48" s="2" t="inlineStr">
        <is>
          <t>None</t>
        </is>
      </c>
      <c r="V48" s="2" t="inlineStr">
        <is>
          <t>Phase 2</t>
        </is>
      </c>
      <c r="W48" s="2" t="inlineStr"/>
    </row>
    <row r="49">
      <c r="A49" s="2" t="inlineStr">
        <is>
          <t>SAL</t>
        </is>
      </c>
      <c r="B49" s="2" t="inlineStr">
        <is>
          <t>SAL-06</t>
        </is>
      </c>
      <c r="C49" s="2" t="inlineStr">
        <is>
          <t>SAL-06.4.2</t>
        </is>
      </c>
      <c r="D49" s="8" t="inlineStr">
        <is>
          <t>Medium</t>
        </is>
      </c>
      <c r="E49" s="2" t="inlineStr">
        <is>
          <t>Prepare formal Bid Mandate for Bid Board approval — budget, resource, win strategy, consortium, risk, PWIN, go/no-go recommendation</t>
        </is>
      </c>
      <c r="F49" s="2" t="inlineStr">
        <is>
          <t>AI drafts mandate from capture plan. Human positions for governance</t>
        </is>
      </c>
      <c r="G49" s="2" t="inlineStr">
        <is>
          <t>SAL-06.4.1 output</t>
        </is>
      </c>
      <c r="H49" s="2" t="inlineStr">
        <is>
          <t>Time reduction: Draft automated</t>
        </is>
      </c>
      <c r="I49" s="2" t="inlineStr">
        <is>
          <t>Bid Director</t>
        </is>
      </c>
      <c r="J49" s="2" t="n">
        <v>3</v>
      </c>
      <c r="K49" s="2" t="n">
        <v>1</v>
      </c>
      <c r="L49" s="4">
        <f>J49/COUNTIF($B:$B,B49)</f>
        <v/>
      </c>
      <c r="M49" s="5" t="n">
        <v>0.4</v>
      </c>
      <c r="N49" s="10" t="n">
        <v>0.25</v>
      </c>
      <c r="O49" s="6">
        <f>1-(1-M49)*(1-N49)</f>
        <v/>
      </c>
      <c r="P49" s="7">
        <f>L49*O49</f>
        <v/>
      </c>
      <c r="Q49" s="2" t="inlineStr">
        <is>
          <t>Medium</t>
        </is>
      </c>
      <c r="R49" s="2" t="inlineStr">
        <is>
          <t>Low</t>
        </is>
      </c>
      <c r="S49" s="2" t="inlineStr">
        <is>
          <t>Moderate</t>
        </is>
      </c>
      <c r="T49" s="2" t="inlineStr">
        <is>
          <t>Domain judgement required for validation</t>
        </is>
      </c>
      <c r="U49" s="2" t="inlineStr">
        <is>
          <t>None</t>
        </is>
      </c>
      <c r="V49" s="2" t="inlineStr">
        <is>
          <t>N/A</t>
        </is>
      </c>
      <c r="W49" s="2" t="inlineStr"/>
    </row>
    <row r="50">
      <c r="A50" s="2" t="inlineStr">
        <is>
          <t>SAL</t>
        </is>
      </c>
      <c r="B50" s="2" t="inlineStr">
        <is>
          <t>SAL-06</t>
        </is>
      </c>
      <c r="C50" s="2" t="inlineStr">
        <is>
          <t>SAL-06.4.3</t>
        </is>
      </c>
      <c r="D50" s="9" t="inlineStr">
        <is>
          <t>Low</t>
        </is>
      </c>
      <c r="E50" s="2" t="inlineStr">
        <is>
          <t>Confirm lock — capture plan baselined, win strategy locked, consortium strategy locked, methodology gate passed. Feeds GOV-01 (Pursuit Approval)</t>
        </is>
      </c>
      <c r="F50" s="2" t="inlineStr">
        <is>
          <t>Formal sign-off is a human governance act</t>
        </is>
      </c>
      <c r="G50" s="2" t="inlineStr">
        <is>
          <t>SAL-06.4.1 + SAL-06.4.2</t>
        </is>
      </c>
      <c r="H50" s="2" t="inlineStr">
        <is>
          <t>Blocker: Governance is human</t>
        </is>
      </c>
      <c r="I50" s="2" t="inlineStr">
        <is>
          <t>Bid Director</t>
        </is>
      </c>
      <c r="J50" s="2" t="n">
        <v>3</v>
      </c>
      <c r="K50" s="2" t="n">
        <v>1</v>
      </c>
      <c r="L50" s="4">
        <f>J50/COUNTIF($B:$B,B50)</f>
        <v/>
      </c>
      <c r="M50" s="5" t="n">
        <v>0</v>
      </c>
      <c r="N50" s="10" t="n">
        <v>0.25</v>
      </c>
      <c r="O50" s="6">
        <f>1-(1-M50)*(1-N50)</f>
        <v/>
      </c>
      <c r="P50" s="7">
        <f>L50*O50</f>
        <v/>
      </c>
      <c r="Q50" s="2" t="inlineStr">
        <is>
          <t>Low</t>
        </is>
      </c>
      <c r="R50" s="2" t="inlineStr">
        <is>
          <t>Low</t>
        </is>
      </c>
      <c r="S50" s="2" t="inlineStr">
        <is>
          <t>Low</t>
        </is>
      </c>
      <c r="T50" s="2" t="inlineStr">
        <is>
          <t>Governance is human</t>
        </is>
      </c>
      <c r="U50" s="2" t="inlineStr">
        <is>
          <t>None</t>
        </is>
      </c>
      <c r="V50" s="2" t="inlineStr">
        <is>
          <t>N/A</t>
        </is>
      </c>
      <c r="W50" s="2" t="inlineStr"/>
    </row>
    <row r="51">
      <c r="A51" s="2" t="inlineStr">
        <is>
          <t>SAL</t>
        </is>
      </c>
      <c r="B51" s="2" t="inlineStr">
        <is>
          <t>SAL-07</t>
        </is>
      </c>
      <c r="C51" s="2" t="inlineStr">
        <is>
          <t>SAL-07.1.1</t>
        </is>
      </c>
      <c r="D51" s="3" t="inlineStr">
        <is>
          <t>High</t>
        </is>
      </c>
      <c r="E51" s="2" t="inlineStr">
        <is>
          <t>Harvest clarification needs from ITT documentation analysis — ambiguities, contradictions, gaps, and red lines flagged during SAL-06</t>
        </is>
      </c>
      <c r="F51" s="2" t="inlineStr">
        <is>
          <t>AI identifies ambiguities, contradictions, and gaps in ITT documentation automatically</t>
        </is>
      </c>
      <c r="G51" s="2" t="inlineStr">
        <is>
          <t>ITT documentation, SAL-06.1.2</t>
        </is>
      </c>
      <c r="H51" s="2" t="inlineStr">
        <is>
          <t>Quality uplift: AI catches ambiguities human might miss across large document sets</t>
        </is>
      </c>
      <c r="I51" s="2" t="inlineStr">
        <is>
          <t>Bid Manager</t>
        </is>
      </c>
      <c r="J51" s="2" t="n">
        <v>3</v>
      </c>
      <c r="K51" s="2" t="n">
        <v>2</v>
      </c>
      <c r="L51" s="4">
        <f>J51/COUNTIF($B:$B,B51)</f>
        <v/>
      </c>
      <c r="M51" s="5" t="n">
        <v>0.6</v>
      </c>
      <c r="N51" s="5" t="n">
        <v>0.15</v>
      </c>
      <c r="O51" s="6">
        <f>1-(1-M51)*(1-N51)</f>
        <v/>
      </c>
      <c r="P51" s="7">
        <f>L51*O51</f>
        <v/>
      </c>
      <c r="Q51" s="2" t="inlineStr">
        <is>
          <t>High</t>
        </is>
      </c>
      <c r="R51" s="2" t="inlineStr">
        <is>
          <t>Yes</t>
        </is>
      </c>
      <c r="S51" s="2" t="inlineStr">
        <is>
          <t>Yes</t>
        </is>
      </c>
      <c r="T51" s="2" t="inlineStr">
        <is>
          <t>Structured data must be available</t>
        </is>
      </c>
      <c r="U51" s="2" t="inlineStr">
        <is>
          <t>ITT Document Pack</t>
        </is>
      </c>
      <c r="V51" s="2" t="inlineStr">
        <is>
          <t>Phase 1</t>
        </is>
      </c>
      <c r="W51" s="2" t="inlineStr"/>
    </row>
    <row r="52">
      <c r="A52" s="2" t="inlineStr">
        <is>
          <t>SAL</t>
        </is>
      </c>
      <c r="B52" s="2" t="inlineStr">
        <is>
          <t>SAL-07</t>
        </is>
      </c>
      <c r="C52" s="2" t="inlineStr">
        <is>
          <t>SAL-07.1.2</t>
        </is>
      </c>
      <c r="D52" s="8" t="inlineStr">
        <is>
          <t>Medium</t>
        </is>
      </c>
      <c r="E52" s="2" t="inlineStr">
        <is>
          <t>Harvest clarification needs from solution and commercial workstreams — technical ambiguity, contractual risk, pricing assumptions that block progress</t>
        </is>
      </c>
      <c r="F52" s="2" t="inlineStr">
        <is>
          <t>AI consolidates clarification needs raised by each workstream. Human prioritises</t>
        </is>
      </c>
      <c r="G52" s="2" t="inlineStr">
        <is>
          <t>SOL-01, SAL-05.2.2 outputs</t>
        </is>
      </c>
      <c r="H52" s="2" t="inlineStr">
        <is>
          <t>Time reduction: Consolidation automated</t>
        </is>
      </c>
      <c r="I52" s="2" t="inlineStr">
        <is>
          <t>Bid Manager</t>
        </is>
      </c>
      <c r="J52" s="2" t="n">
        <v>3</v>
      </c>
      <c r="K52" s="2" t="n">
        <v>2</v>
      </c>
      <c r="L52" s="4">
        <f>J52/COUNTIF($B:$B,B52)</f>
        <v/>
      </c>
      <c r="M52" s="5" t="n">
        <v>0.4</v>
      </c>
      <c r="N52" s="5" t="n">
        <v>0.15</v>
      </c>
      <c r="O52" s="6">
        <f>1-(1-M52)*(1-N52)</f>
        <v/>
      </c>
      <c r="P52" s="7">
        <f>L52*O52</f>
        <v/>
      </c>
      <c r="Q52" s="2" t="inlineStr">
        <is>
          <t>Medium</t>
        </is>
      </c>
      <c r="R52" s="2" t="inlineStr">
        <is>
          <t>Low</t>
        </is>
      </c>
      <c r="S52" s="2" t="inlineStr">
        <is>
          <t>Moderate</t>
        </is>
      </c>
      <c r="T52" s="2" t="inlineStr">
        <is>
          <t>Domain judgement required for validation</t>
        </is>
      </c>
      <c r="U52" s="2" t="inlineStr">
        <is>
          <t>None</t>
        </is>
      </c>
      <c r="V52" s="2" t="inlineStr">
        <is>
          <t>N/A</t>
        </is>
      </c>
      <c r="W52" s="2" t="inlineStr"/>
    </row>
    <row r="53">
      <c r="A53" s="2" t="inlineStr">
        <is>
          <t>SAL</t>
        </is>
      </c>
      <c r="B53" s="2" t="inlineStr">
        <is>
          <t>SAL-07</t>
        </is>
      </c>
      <c r="C53" s="2" t="inlineStr">
        <is>
          <t>SAL-07.1.3</t>
        </is>
      </c>
      <c r="D53" s="9" t="inlineStr">
        <is>
          <t>Low</t>
        </is>
      </c>
      <c r="E53" s="2" t="inlineStr">
        <is>
          <t>Develop competitive clarification strategy — how to exploit the clarification process as a strategic weapon based on our position (incumbent vs challenger)</t>
        </is>
      </c>
      <c r="F53" s="2" t="inlineStr">
        <is>
          <t>Competitive gaming requires human strategic thinking</t>
        </is>
      </c>
      <c r="G53" s="2" t="inlineStr">
        <is>
          <t>Win strategy, competitive intelligence</t>
        </is>
      </c>
      <c r="H53" s="2" t="inlineStr">
        <is>
          <t>Blocker: Gaming strategy is fundamentally human — incumbent vs challenger playbooks</t>
        </is>
      </c>
      <c r="I53" s="2" t="inlineStr">
        <is>
          <t>Capture Lead</t>
        </is>
      </c>
      <c r="J53" s="2" t="n">
        <v>3</v>
      </c>
      <c r="K53" s="2" t="n">
        <v>2</v>
      </c>
      <c r="L53" s="4">
        <f>J53/COUNTIF($B:$B,B53)</f>
        <v/>
      </c>
      <c r="M53" s="5" t="n">
        <v>0.1</v>
      </c>
      <c r="N53" s="5" t="n">
        <v>0.15</v>
      </c>
      <c r="O53" s="6">
        <f>1-(1-M53)*(1-N53)</f>
        <v/>
      </c>
      <c r="P53" s="7">
        <f>L53*O53</f>
        <v/>
      </c>
      <c r="Q53" s="2" t="inlineStr">
        <is>
          <t>Low</t>
        </is>
      </c>
      <c r="R53" s="2" t="inlineStr">
        <is>
          <t>Low</t>
        </is>
      </c>
      <c r="S53" s="2" t="inlineStr">
        <is>
          <t>Low</t>
        </is>
      </c>
      <c r="T53" s="2" t="inlineStr">
        <is>
          <t>Gaming strategy is fundamentally human — incumbent vs challenger playbooks</t>
        </is>
      </c>
      <c r="U53" s="2" t="inlineStr">
        <is>
          <t>None</t>
        </is>
      </c>
      <c r="V53" s="2" t="inlineStr">
        <is>
          <t>N/A</t>
        </is>
      </c>
      <c r="W53" s="2" t="inlineStr"/>
    </row>
    <row r="54">
      <c r="A54" s="2" t="inlineStr">
        <is>
          <t>SAL</t>
        </is>
      </c>
      <c r="B54" s="2" t="inlineStr">
        <is>
          <t>SAL-07</t>
        </is>
      </c>
      <c r="C54" s="2" t="inlineStr">
        <is>
          <t>SAL-07.2.1</t>
        </is>
      </c>
      <c r="D54" s="3" t="inlineStr">
        <is>
          <t>High</t>
        </is>
      </c>
      <c r="E54" s="2" t="inlineStr">
        <is>
          <t>Categorise and prioritise questions by strategic impact — which questions materially affect win probability or solution approach?</t>
        </is>
      </c>
      <c r="F54" s="2" t="inlineStr">
        <is>
          <t>AI categorises by type and proposes priority ranking based on scoring impact</t>
        </is>
      </c>
      <c r="G54" s="2" t="inlineStr">
        <is>
          <t>SAL-07.1 outputs</t>
        </is>
      </c>
      <c r="H54" s="2" t="inlineStr">
        <is>
          <t>Decision velocity: Priority ranking available immediately</t>
        </is>
      </c>
      <c r="I54" s="2" t="inlineStr">
        <is>
          <t>Bid Manager</t>
        </is>
      </c>
      <c r="J54" s="2" t="n">
        <v>3</v>
      </c>
      <c r="K54" s="2" t="n">
        <v>2</v>
      </c>
      <c r="L54" s="4">
        <f>J54/COUNTIF($B:$B,B54)</f>
        <v/>
      </c>
      <c r="M54" s="5" t="n">
        <v>0.6</v>
      </c>
      <c r="N54" s="5" t="n">
        <v>0.15</v>
      </c>
      <c r="O54" s="6">
        <f>1-(1-M54)*(1-N54)</f>
        <v/>
      </c>
      <c r="P54" s="7">
        <f>L54*O54</f>
        <v/>
      </c>
      <c r="Q54" s="2" t="inlineStr">
        <is>
          <t>High</t>
        </is>
      </c>
      <c r="R54" s="2" t="inlineStr">
        <is>
          <t>Moderate</t>
        </is>
      </c>
      <c r="S54" s="2" t="inlineStr">
        <is>
          <t>Yes</t>
        </is>
      </c>
      <c r="T54" s="2" t="inlineStr">
        <is>
          <t>Structured data must be available</t>
        </is>
      </c>
      <c r="U54" s="2" t="inlineStr">
        <is>
          <t>None</t>
        </is>
      </c>
      <c r="V54" s="2" t="inlineStr">
        <is>
          <t>Phase 1</t>
        </is>
      </c>
      <c r="W54" s="2" t="inlineStr"/>
    </row>
    <row r="55">
      <c r="A55" s="2" t="inlineStr">
        <is>
          <t>SAL</t>
        </is>
      </c>
      <c r="B55" s="2" t="inlineStr">
        <is>
          <t>SAL-07</t>
        </is>
      </c>
      <c r="C55" s="2" t="inlineStr">
        <is>
          <t>SAL-07.2.2</t>
        </is>
      </c>
      <c r="D55" s="8" t="inlineStr">
        <is>
          <t>Medium</t>
        </is>
      </c>
      <c r="E55" s="2" t="inlineStr">
        <is>
          <t>Draft questions with strategic intent — framing that extracts maximum value, exploits competitive position, and controls information disclosure</t>
        </is>
      </c>
      <c r="F55" s="2" t="inlineStr">
        <is>
          <t>AI drafts neutral question language. Human adds strategic framing</t>
        </is>
      </c>
      <c r="G55" s="2" t="inlineStr">
        <is>
          <t>SAL-07.2.1 + competitive strategy</t>
        </is>
      </c>
      <c r="H55" s="2" t="inlineStr">
        <is>
          <t>Blocker: Strategic framing requires human judgement on what to reveal</t>
        </is>
      </c>
      <c r="I55" s="2" t="inlineStr">
        <is>
          <t>Capture Lead</t>
        </is>
      </c>
      <c r="J55" s="2" t="n">
        <v>3</v>
      </c>
      <c r="K55" s="2" t="n">
        <v>2</v>
      </c>
      <c r="L55" s="4">
        <f>J55/COUNTIF($B:$B,B55)</f>
        <v/>
      </c>
      <c r="M55" s="5" t="n">
        <v>0.3</v>
      </c>
      <c r="N55" s="5" t="n">
        <v>0.15</v>
      </c>
      <c r="O55" s="6">
        <f>1-(1-M55)*(1-N55)</f>
        <v/>
      </c>
      <c r="P55" s="7">
        <f>L55*O55</f>
        <v/>
      </c>
      <c r="Q55" s="2" t="inlineStr">
        <is>
          <t>Medium</t>
        </is>
      </c>
      <c r="R55" s="2" t="inlineStr">
        <is>
          <t>Low</t>
        </is>
      </c>
      <c r="S55" s="2" t="inlineStr">
        <is>
          <t>Moderate</t>
        </is>
      </c>
      <c r="T55" s="2" t="inlineStr">
        <is>
          <t>Strategic framing requires human judgement on what to reveal</t>
        </is>
      </c>
      <c r="U55" s="2" t="inlineStr">
        <is>
          <t>None</t>
        </is>
      </c>
      <c r="V55" s="2" t="inlineStr">
        <is>
          <t>N/A</t>
        </is>
      </c>
      <c r="W55" s="2" t="inlineStr"/>
    </row>
    <row r="56">
      <c r="A56" s="2" t="inlineStr">
        <is>
          <t>SAL</t>
        </is>
      </c>
      <c r="B56" s="2" t="inlineStr">
        <is>
          <t>SAL-07</t>
        </is>
      </c>
      <c r="C56" s="2" t="inlineStr">
        <is>
          <t>SAL-07.2.3</t>
        </is>
      </c>
      <c r="D56" s="9" t="inlineStr">
        <is>
          <t>Low</t>
        </is>
      </c>
      <c r="E56" s="2" t="inlineStr">
        <is>
          <t>Vet and approve clarification register — Bid Director sign-off before submission to BM-14 for submission management</t>
        </is>
      </c>
      <c r="F56" s="2" t="inlineStr">
        <is>
          <t>Approval is a human governance act</t>
        </is>
      </c>
      <c r="G56" s="2" t="inlineStr">
        <is>
          <t>Drafted questions</t>
        </is>
      </c>
      <c r="H56" s="2" t="inlineStr">
        <is>
          <t>Blocker: Approval is human</t>
        </is>
      </c>
      <c r="I56" s="2" t="inlineStr">
        <is>
          <t>Bid Director</t>
        </is>
      </c>
      <c r="J56" s="2" t="n">
        <v>3</v>
      </c>
      <c r="K56" s="2" t="n">
        <v>2</v>
      </c>
      <c r="L56" s="4">
        <f>J56/COUNTIF($B:$B,B56)</f>
        <v/>
      </c>
      <c r="M56" s="5" t="n">
        <v>0</v>
      </c>
      <c r="N56" s="5" t="n">
        <v>0.15</v>
      </c>
      <c r="O56" s="6">
        <f>1-(1-M56)*(1-N56)</f>
        <v/>
      </c>
      <c r="P56" s="7">
        <f>L56*O56</f>
        <v/>
      </c>
      <c r="Q56" s="2" t="inlineStr">
        <is>
          <t>Low</t>
        </is>
      </c>
      <c r="R56" s="2" t="inlineStr">
        <is>
          <t>Low</t>
        </is>
      </c>
      <c r="S56" s="2" t="inlineStr">
        <is>
          <t>Low</t>
        </is>
      </c>
      <c r="T56" s="2" t="inlineStr">
        <is>
          <t>Approval is human</t>
        </is>
      </c>
      <c r="U56" s="2" t="inlineStr">
        <is>
          <t>None</t>
        </is>
      </c>
      <c r="V56" s="2" t="inlineStr">
        <is>
          <t>N/A</t>
        </is>
      </c>
      <c r="W56" s="2" t="inlineStr"/>
    </row>
    <row r="57">
      <c r="A57" s="2" t="inlineStr">
        <is>
          <t>SAL</t>
        </is>
      </c>
      <c r="B57" s="2" t="inlineStr">
        <is>
          <t>SAL-10</t>
        </is>
      </c>
      <c r="C57" s="2" t="inlineStr">
        <is>
          <t>SAL-10.1.1</t>
        </is>
      </c>
      <c r="D57" s="3" t="inlineStr">
        <is>
          <t>High</t>
        </is>
      </c>
      <c r="E57" s="2" t="inlineStr">
        <is>
          <t>Identify decision-making unit (DMU) — all stakeholders involved in evaluation, approval, and award</t>
        </is>
      </c>
      <c r="F57" s="2" t="inlineStr">
        <is>
          <t>AI scrapes org charts, LinkedIn, published structures to build initial DMU map</t>
        </is>
      </c>
      <c r="G57" s="2" t="inlineStr">
        <is>
          <t>Client org data, LinkedIn, published structures</t>
        </is>
      </c>
      <c r="H57" s="2" t="inlineStr">
        <is>
          <t>Time reduction: Initial map built automatically, human validates and adds intel</t>
        </is>
      </c>
      <c r="I57" s="2" t="inlineStr">
        <is>
          <t>Capture Lead</t>
        </is>
      </c>
      <c r="J57" s="2" t="n">
        <v>5</v>
      </c>
      <c r="K57" s="2" t="n">
        <v>1</v>
      </c>
      <c r="L57" s="4">
        <f>J57/COUNTIF($B:$B,B57)</f>
        <v/>
      </c>
      <c r="M57" s="5" t="n">
        <v>0.5</v>
      </c>
      <c r="N57" s="5" t="n">
        <v>0.1</v>
      </c>
      <c r="O57" s="6">
        <f>1-(1-M57)*(1-N57)</f>
        <v/>
      </c>
      <c r="P57" s="7">
        <f>L57*O57</f>
        <v/>
      </c>
      <c r="Q57" s="2" t="inlineStr">
        <is>
          <t>High</t>
        </is>
      </c>
      <c r="R57" s="2" t="inlineStr">
        <is>
          <t>Moderate</t>
        </is>
      </c>
      <c r="S57" s="2" t="inlineStr">
        <is>
          <t>Yes</t>
        </is>
      </c>
      <c r="T57" s="2" t="inlineStr">
        <is>
          <t>Structured data must be available</t>
        </is>
      </c>
      <c r="U57" s="2" t="inlineStr">
        <is>
          <t>None</t>
        </is>
      </c>
      <c r="V57" s="2" t="inlineStr">
        <is>
          <t>Phase 3</t>
        </is>
      </c>
      <c r="W57" s="2" t="inlineStr"/>
    </row>
    <row r="58">
      <c r="A58" s="2" t="inlineStr">
        <is>
          <t>SAL</t>
        </is>
      </c>
      <c r="B58" s="2" t="inlineStr">
        <is>
          <t>SAL-10</t>
        </is>
      </c>
      <c r="C58" s="2" t="inlineStr">
        <is>
          <t>SAL-10.1.2</t>
        </is>
      </c>
      <c r="D58" s="9" t="inlineStr">
        <is>
          <t>Low</t>
        </is>
      </c>
      <c r="E58" s="2" t="inlineStr">
        <is>
          <t>Assess each stakeholder — influence level, disposition toward us, known priorities and concerns</t>
        </is>
      </c>
      <c r="F58" s="2" t="inlineStr">
        <is>
          <t>Requires relationship intelligence that isn't in documents</t>
        </is>
      </c>
      <c r="G58" s="2" t="inlineStr">
        <is>
          <t>CRM, human knowledge</t>
        </is>
      </c>
      <c r="H58" s="2" t="inlineStr">
        <is>
          <t>Blocker: Disposition assessment is relationship-based human judgement</t>
        </is>
      </c>
      <c r="I58" s="2" t="inlineStr">
        <is>
          <t>Capture Lead</t>
        </is>
      </c>
      <c r="J58" s="2" t="n">
        <v>5</v>
      </c>
      <c r="K58" s="2" t="n">
        <v>1</v>
      </c>
      <c r="L58" s="4">
        <f>J58/COUNTIF($B:$B,B58)</f>
        <v/>
      </c>
      <c r="M58" s="5" t="n">
        <v>0.1</v>
      </c>
      <c r="N58" s="5" t="n">
        <v>0.1</v>
      </c>
      <c r="O58" s="6">
        <f>1-(1-M58)*(1-N58)</f>
        <v/>
      </c>
      <c r="P58" s="7">
        <f>L58*O58</f>
        <v/>
      </c>
      <c r="Q58" s="2" t="inlineStr">
        <is>
          <t>Low</t>
        </is>
      </c>
      <c r="R58" s="2" t="inlineStr">
        <is>
          <t>Low</t>
        </is>
      </c>
      <c r="S58" s="2" t="inlineStr">
        <is>
          <t>Low</t>
        </is>
      </c>
      <c r="T58" s="2" t="inlineStr">
        <is>
          <t>Disposition assessment is relationship-based human judgement</t>
        </is>
      </c>
      <c r="U58" s="2" t="inlineStr">
        <is>
          <t>None</t>
        </is>
      </c>
      <c r="V58" s="2" t="inlineStr">
        <is>
          <t>Phase 3</t>
        </is>
      </c>
      <c r="W58" s="2" t="inlineStr"/>
    </row>
    <row r="59">
      <c r="A59" s="2" t="inlineStr">
        <is>
          <t>SAL</t>
        </is>
      </c>
      <c r="B59" s="2" t="inlineStr">
        <is>
          <t>SAL-10</t>
        </is>
      </c>
      <c r="C59" s="2" t="inlineStr">
        <is>
          <t>SAL-10.1.3</t>
        </is>
      </c>
      <c r="D59" s="9" t="inlineStr">
        <is>
          <t>Low</t>
        </is>
      </c>
      <c r="E59" s="2" t="inlineStr">
        <is>
          <t>Map existing relationship strength — who knows whom, quality of access, last meaningful contact</t>
        </is>
      </c>
      <c r="F59" s="2" t="inlineStr">
        <is>
          <t>Requires internal relationship knowledge</t>
        </is>
      </c>
      <c r="G59" s="2" t="inlineStr">
        <is>
          <t>CRM, human knowledge</t>
        </is>
      </c>
      <c r="H59" s="2" t="inlineStr">
        <is>
          <t>Blocker: "Who knows whom" is human knowledge</t>
        </is>
      </c>
      <c r="I59" s="2" t="inlineStr">
        <is>
          <t>Account Manager</t>
        </is>
      </c>
      <c r="J59" s="2" t="n">
        <v>5</v>
      </c>
      <c r="K59" s="2" t="n">
        <v>1</v>
      </c>
      <c r="L59" s="4">
        <f>J59/COUNTIF($B:$B,B59)</f>
        <v/>
      </c>
      <c r="M59" s="5" t="n">
        <v>0.1</v>
      </c>
      <c r="N59" s="5" t="n">
        <v>0.1</v>
      </c>
      <c r="O59" s="6">
        <f>1-(1-M59)*(1-N59)</f>
        <v/>
      </c>
      <c r="P59" s="7">
        <f>L59*O59</f>
        <v/>
      </c>
      <c r="Q59" s="2" t="inlineStr">
        <is>
          <t>Low</t>
        </is>
      </c>
      <c r="R59" s="2" t="inlineStr">
        <is>
          <t>Low</t>
        </is>
      </c>
      <c r="S59" s="2" t="inlineStr">
        <is>
          <t>Low</t>
        </is>
      </c>
      <c r="T59" s="2" t="inlineStr">
        <is>
          <t>"Who knows whom" is human knowledge</t>
        </is>
      </c>
      <c r="U59" s="2" t="inlineStr">
        <is>
          <t>None</t>
        </is>
      </c>
      <c r="V59" s="2" t="inlineStr">
        <is>
          <t>Phase 3</t>
        </is>
      </c>
      <c r="W59" s="2" t="inlineStr"/>
    </row>
    <row r="60">
      <c r="A60" s="2" t="inlineStr">
        <is>
          <t>SAL</t>
        </is>
      </c>
      <c r="B60" s="2" t="inlineStr">
        <is>
          <t>SAL-10</t>
        </is>
      </c>
      <c r="C60" s="2" t="inlineStr">
        <is>
          <t>SAL-10.2.1</t>
        </is>
      </c>
      <c r="D60" s="8" t="inlineStr">
        <is>
          <t>Medium</t>
        </is>
      </c>
      <c r="E60" s="2" t="inlineStr">
        <is>
          <t>Develop targeted engagement plan — objectives, approach, and messaging per stakeholder</t>
        </is>
      </c>
      <c r="F60" s="2" t="inlineStr">
        <is>
          <t>AI proposes engagement approach per stakeholder type. Human refines</t>
        </is>
      </c>
      <c r="G60" s="2" t="inlineStr">
        <is>
          <t>SAL-10.1 outputs</t>
        </is>
      </c>
      <c r="H60" s="2" t="inlineStr">
        <is>
          <t>Decision velocity: Draft plan available immediately</t>
        </is>
      </c>
      <c r="I60" s="2" t="inlineStr">
        <is>
          <t>Capture Lead</t>
        </is>
      </c>
      <c r="J60" s="2" t="n">
        <v>5</v>
      </c>
      <c r="K60" s="2" t="n">
        <v>1</v>
      </c>
      <c r="L60" s="4">
        <f>J60/COUNTIF($B:$B,B60)</f>
        <v/>
      </c>
      <c r="M60" s="5" t="n">
        <v>0.3</v>
      </c>
      <c r="N60" s="5" t="n">
        <v>0.1</v>
      </c>
      <c r="O60" s="6">
        <f>1-(1-M60)*(1-N60)</f>
        <v/>
      </c>
      <c r="P60" s="7">
        <f>L60*O60</f>
        <v/>
      </c>
      <c r="Q60" s="2" t="inlineStr">
        <is>
          <t>High</t>
        </is>
      </c>
      <c r="R60" s="2" t="inlineStr">
        <is>
          <t>Low</t>
        </is>
      </c>
      <c r="S60" s="2" t="inlineStr">
        <is>
          <t>Moderate</t>
        </is>
      </c>
      <c r="T60" s="2" t="inlineStr">
        <is>
          <t>Domain judgement required for validation</t>
        </is>
      </c>
      <c r="U60" s="2" t="inlineStr">
        <is>
          <t>None</t>
        </is>
      </c>
      <c r="V60" s="2" t="inlineStr">
        <is>
          <t>Phase 3</t>
        </is>
      </c>
      <c r="W60" s="2" t="inlineStr"/>
    </row>
    <row r="61">
      <c r="A61" s="2" t="inlineStr">
        <is>
          <t>SAL</t>
        </is>
      </c>
      <c r="B61" s="2" t="inlineStr">
        <is>
          <t>SAL-10</t>
        </is>
      </c>
      <c r="C61" s="2" t="inlineStr">
        <is>
          <t>SAL-10.2.2</t>
        </is>
      </c>
      <c r="D61" s="9" t="inlineStr">
        <is>
          <t>Low</t>
        </is>
      </c>
      <c r="E61" s="2" t="inlineStr">
        <is>
          <t>Execute engagement activities and log outcomes — intelligence gained, sentiment shifts, commitments</t>
        </is>
      </c>
      <c r="F61" s="2" t="inlineStr">
        <is>
          <t>AI can't attend meetings. Can structure the log template</t>
        </is>
      </c>
      <c r="G61" s="2" t="inlineStr">
        <is>
          <t>N/A</t>
        </is>
      </c>
      <c r="H61" s="2" t="inlineStr">
        <is>
          <t>Blocker: Engagement is fundamentally face-to-face human activity</t>
        </is>
      </c>
      <c r="I61" s="2" t="inlineStr">
        <is>
          <t>Account Manager</t>
        </is>
      </c>
      <c r="J61" s="2" t="n">
        <v>5</v>
      </c>
      <c r="K61" s="2" t="n">
        <v>1</v>
      </c>
      <c r="L61" s="4">
        <f>J61/COUNTIF($B:$B,B61)</f>
        <v/>
      </c>
      <c r="M61" s="5" t="n">
        <v>0.05</v>
      </c>
      <c r="N61" s="5" t="n">
        <v>0.1</v>
      </c>
      <c r="O61" s="6">
        <f>1-(1-M61)*(1-N61)</f>
        <v/>
      </c>
      <c r="P61" s="7">
        <f>L61*O61</f>
        <v/>
      </c>
      <c r="Q61" s="2" t="inlineStr">
        <is>
          <t>Low</t>
        </is>
      </c>
      <c r="R61" s="2" t="inlineStr">
        <is>
          <t>Low</t>
        </is>
      </c>
      <c r="S61" s="2" t="inlineStr">
        <is>
          <t>Low</t>
        </is>
      </c>
      <c r="T61" s="2" t="inlineStr">
        <is>
          <t>Engagement is fundamentally face-to-face human activity</t>
        </is>
      </c>
      <c r="U61" s="2" t="inlineStr">
        <is>
          <t>None</t>
        </is>
      </c>
      <c r="V61" s="2" t="inlineStr">
        <is>
          <t>Phase 3</t>
        </is>
      </c>
      <c r="W61" s="2" t="inlineStr"/>
    </row>
    <row r="62">
      <c r="A62" s="2" t="inlineStr">
        <is>
          <t>SAL</t>
        </is>
      </c>
      <c r="B62" s="2" t="inlineStr">
        <is>
          <t>SAL-10</t>
        </is>
      </c>
      <c r="C62" s="2" t="inlineStr">
        <is>
          <t>SAL-10.2.3</t>
        </is>
      </c>
      <c r="D62" s="8" t="inlineStr">
        <is>
          <t>Medium</t>
        </is>
      </c>
      <c r="E62" s="2" t="inlineStr">
        <is>
          <t>Update stakeholder map and confirm readiness for capture plan lock</t>
        </is>
      </c>
      <c r="F62" s="2" t="inlineStr">
        <is>
          <t>AI updates the map from logged engagement data. Human validates shifts</t>
        </is>
      </c>
      <c r="G62" s="2" t="inlineStr">
        <is>
          <t>Engagement log data</t>
        </is>
      </c>
      <c r="H62" s="2" t="inlineStr">
        <is>
          <t>Time reduction: Map update automated from structured log entries</t>
        </is>
      </c>
      <c r="I62" s="2" t="inlineStr">
        <is>
          <t>Capture Lead</t>
        </is>
      </c>
      <c r="J62" s="2" t="n">
        <v>5</v>
      </c>
      <c r="K62" s="2" t="n">
        <v>1</v>
      </c>
      <c r="L62" s="4">
        <f>J62/COUNTIF($B:$B,B62)</f>
        <v/>
      </c>
      <c r="M62" s="5" t="n">
        <v>0.4</v>
      </c>
      <c r="N62" s="5" t="n">
        <v>0.1</v>
      </c>
      <c r="O62" s="6">
        <f>1-(1-M62)*(1-N62)</f>
        <v/>
      </c>
      <c r="P62" s="7">
        <f>L62*O62</f>
        <v/>
      </c>
      <c r="Q62" s="2" t="inlineStr">
        <is>
          <t>Medium</t>
        </is>
      </c>
      <c r="R62" s="2" t="inlineStr">
        <is>
          <t>Low</t>
        </is>
      </c>
      <c r="S62" s="2" t="inlineStr">
        <is>
          <t>Moderate</t>
        </is>
      </c>
      <c r="T62" s="2" t="inlineStr">
        <is>
          <t>Domain judgement required for validation</t>
        </is>
      </c>
      <c r="U62" s="2" t="inlineStr">
        <is>
          <t>None</t>
        </is>
      </c>
      <c r="V62" s="2" t="inlineStr">
        <is>
          <t>Phase 3</t>
        </is>
      </c>
      <c r="W62" s="2" t="inlineStr"/>
    </row>
    <row r="63">
      <c r="A63" s="2" t="inlineStr">
        <is>
          <t>SOL</t>
        </is>
      </c>
      <c r="B63" s="2" t="inlineStr">
        <is>
          <t>SOL-01</t>
        </is>
      </c>
      <c r="C63" s="2" t="inlineStr">
        <is>
          <t>SOL-01.1.1</t>
        </is>
      </c>
      <c r="D63" s="3" t="inlineStr">
        <is>
          <t>High</t>
        </is>
      </c>
      <c r="E63" s="2" t="inlineStr">
        <is>
          <t>Decompose ITT documentation into structured requirements — extract every requirement from specification, schedules, annexes, and contract</t>
        </is>
      </c>
      <c r="F63" s="2" t="inlineStr">
        <is>
          <t>AI extracts every requirement from spec, schedules, annexes, contract — structured and cross-referenced</t>
        </is>
      </c>
      <c r="G63" s="2" t="inlineStr">
        <is>
          <t>Full ITT document pack</t>
        </is>
      </c>
      <c r="H63" s="2" t="inlineStr">
        <is>
          <t>This is a top-5 AI use case. Days of manual extraction done in hours. Cross-referencing across documents catches hidden requirements.</t>
        </is>
      </c>
      <c r="I63" s="2" t="inlineStr">
        <is>
          <t>Solution Architect</t>
        </is>
      </c>
      <c r="J63" s="2" t="n">
        <v>5</v>
      </c>
      <c r="K63" s="2" t="n">
        <v>2</v>
      </c>
      <c r="L63" s="4">
        <f>J63/COUNTIF($B:$B,B63)</f>
        <v/>
      </c>
      <c r="M63" s="5" t="n">
        <v>0.7</v>
      </c>
      <c r="N63" s="5" t="n">
        <v>0</v>
      </c>
      <c r="O63" s="6">
        <f>1-(1-M63)*(1-N63)</f>
        <v/>
      </c>
      <c r="P63" s="7">
        <f>L63*O63</f>
        <v/>
      </c>
      <c r="Q63" s="2" t="inlineStr">
        <is>
          <t>High</t>
        </is>
      </c>
      <c r="R63" s="2" t="inlineStr">
        <is>
          <t>Moderate</t>
        </is>
      </c>
      <c r="S63" s="2" t="inlineStr">
        <is>
          <t>Yes</t>
        </is>
      </c>
      <c r="T63" s="2" t="inlineStr">
        <is>
          <t>Structured data must be available</t>
        </is>
      </c>
      <c r="U63" s="2" t="inlineStr">
        <is>
          <t>ITT Document Pack</t>
        </is>
      </c>
      <c r="V63" s="2" t="inlineStr">
        <is>
          <t>Phase 1</t>
        </is>
      </c>
      <c r="W63" s="2" t="inlineStr"/>
    </row>
    <row r="64">
      <c r="A64" s="2" t="inlineStr">
        <is>
          <t>SOL</t>
        </is>
      </c>
      <c r="B64" s="2" t="inlineStr">
        <is>
          <t>SOL-01</t>
        </is>
      </c>
      <c r="C64" s="2" t="inlineStr">
        <is>
          <t>SOL-01.1.2</t>
        </is>
      </c>
      <c r="D64" s="3" t="inlineStr">
        <is>
          <t>High</t>
        </is>
      </c>
      <c r="E64" s="2" t="inlineStr">
        <is>
          <t>Categorise requirements by type and priority — mandatory vs desirable, scored vs pass/fail, explicit vs implied</t>
        </is>
      </c>
      <c r="F64" s="2" t="inlineStr">
        <is>
          <t>AI categorises each requirement by type, priority, scoring linkage</t>
        </is>
      </c>
      <c r="G64" s="2" t="inlineStr">
        <is>
          <t>SOL-01.1.1 output + SAL-05</t>
        </is>
      </c>
      <c r="H64" s="2" t="inlineStr">
        <is>
          <t>Quality uplift: Systematic categorisation, no requirements missed</t>
        </is>
      </c>
      <c r="I64" s="2" t="inlineStr">
        <is>
          <t>Solution Architect</t>
        </is>
      </c>
      <c r="J64" s="2" t="n">
        <v>5</v>
      </c>
      <c r="K64" s="2" t="n">
        <v>2</v>
      </c>
      <c r="L64" s="4">
        <f>J64/COUNTIF($B:$B,B64)</f>
        <v/>
      </c>
      <c r="M64" s="5" t="n">
        <v>0.6</v>
      </c>
      <c r="N64" s="5" t="n">
        <v>0</v>
      </c>
      <c r="O64" s="6">
        <f>1-(1-M64)*(1-N64)</f>
        <v/>
      </c>
      <c r="P64" s="7">
        <f>L64*O64</f>
        <v/>
      </c>
      <c r="Q64" s="2" t="inlineStr">
        <is>
          <t>High</t>
        </is>
      </c>
      <c r="R64" s="2" t="inlineStr">
        <is>
          <t>Yes</t>
        </is>
      </c>
      <c r="S64" s="2" t="inlineStr">
        <is>
          <t>Yes</t>
        </is>
      </c>
      <c r="T64" s="2" t="inlineStr">
        <is>
          <t>Structured data must be available</t>
        </is>
      </c>
      <c r="U64" s="2" t="inlineStr">
        <is>
          <t>None</t>
        </is>
      </c>
      <c r="V64" s="2" t="inlineStr">
        <is>
          <t>Phase 1</t>
        </is>
      </c>
      <c r="W64" s="2" t="inlineStr"/>
    </row>
    <row r="65">
      <c r="A65" s="2" t="inlineStr">
        <is>
          <t>SOL</t>
        </is>
      </c>
      <c r="B65" s="2" t="inlineStr">
        <is>
          <t>SOL-01</t>
        </is>
      </c>
      <c r="C65" s="2" t="inlineStr">
        <is>
          <t>SOL-01.1.3</t>
        </is>
      </c>
      <c r="D65" s="3" t="inlineStr">
        <is>
          <t>High</t>
        </is>
      </c>
      <c r="E65" s="2" t="inlineStr">
        <is>
          <t>Identify ambiguities, contradictions, gaps, and unstated requirements — what is missing, unclear, or inconsistent in the documentation?</t>
        </is>
      </c>
      <c r="F65" s="2" t="inlineStr">
        <is>
          <t>AI identifies contradictions between documents, missing requirements, unstated assumptions</t>
        </is>
      </c>
      <c r="G65" s="2" t="inlineStr">
        <is>
          <t>SOL-01.1.2 + industry standards</t>
        </is>
      </c>
      <c r="H65" s="2" t="inlineStr">
        <is>
          <t>Quality uplift: AI cross-references at scale — catches contradictions humans miss</t>
        </is>
      </c>
      <c r="I65" s="2" t="inlineStr">
        <is>
          <t>Solution Architect</t>
        </is>
      </c>
      <c r="J65" s="2" t="n">
        <v>5</v>
      </c>
      <c r="K65" s="2" t="n">
        <v>2</v>
      </c>
      <c r="L65" s="4">
        <f>J65/COUNTIF($B:$B,B65)</f>
        <v/>
      </c>
      <c r="M65" s="5" t="n">
        <v>0.6</v>
      </c>
      <c r="N65" s="5" t="n">
        <v>0</v>
      </c>
      <c r="O65" s="6">
        <f>1-(1-M65)*(1-N65)</f>
        <v/>
      </c>
      <c r="P65" s="7">
        <f>L65*O65</f>
        <v/>
      </c>
      <c r="Q65" s="2" t="inlineStr">
        <is>
          <t>High</t>
        </is>
      </c>
      <c r="R65" s="2" t="inlineStr">
        <is>
          <t>Yes</t>
        </is>
      </c>
      <c r="S65" s="2" t="inlineStr">
        <is>
          <t>Yes</t>
        </is>
      </c>
      <c r="T65" s="2" t="inlineStr">
        <is>
          <t>Structured data must be available</t>
        </is>
      </c>
      <c r="U65" s="2" t="inlineStr">
        <is>
          <t>None</t>
        </is>
      </c>
      <c r="V65" s="2" t="inlineStr">
        <is>
          <t>Phase 1</t>
        </is>
      </c>
      <c r="W65" s="2" t="inlineStr"/>
    </row>
    <row r="66">
      <c r="A66" s="2" t="inlineStr">
        <is>
          <t>SOL</t>
        </is>
      </c>
      <c r="B66" s="2" t="inlineStr">
        <is>
          <t>SOL-01</t>
        </is>
      </c>
      <c r="C66" s="2" t="inlineStr">
        <is>
          <t>SOL-01.2.1</t>
        </is>
      </c>
      <c r="D66" s="8" t="inlineStr">
        <is>
          <t>Medium</t>
        </is>
      </c>
      <c r="E66" s="2" t="inlineStr">
        <is>
          <t>Interpret requirements against buyer values and client strategic context — what does the client really mean, and what is driving each requirement?</t>
        </is>
      </c>
      <c r="F66" s="2" t="inlineStr">
        <is>
          <t>AI maps requirements to buyer values, proposes interpretation. Human validates</t>
        </is>
      </c>
      <c r="G66" s="2" t="inlineStr">
        <is>
          <t>SOL-01.1.2 + SAL-01.2.1</t>
        </is>
      </c>
      <c r="H66" s="2" t="inlineStr">
        <is>
          <t>Blocker: Interpretation requires domain judgement</t>
        </is>
      </c>
      <c r="I66" s="2" t="inlineStr">
        <is>
          <t>Solution Architect</t>
        </is>
      </c>
      <c r="J66" s="2" t="n">
        <v>5</v>
      </c>
      <c r="K66" s="2" t="n">
        <v>2</v>
      </c>
      <c r="L66" s="4">
        <f>J66/COUNTIF($B:$B,B66)</f>
        <v/>
      </c>
      <c r="M66" s="5" t="n">
        <v>0.3</v>
      </c>
      <c r="N66" s="5" t="n">
        <v>0</v>
      </c>
      <c r="O66" s="6">
        <f>1-(1-M66)*(1-N66)</f>
        <v/>
      </c>
      <c r="P66" s="7">
        <f>L66*O66</f>
        <v/>
      </c>
      <c r="Q66" s="2" t="inlineStr">
        <is>
          <t>Medium</t>
        </is>
      </c>
      <c r="R66" s="2" t="inlineStr">
        <is>
          <t>Low</t>
        </is>
      </c>
      <c r="S66" s="2" t="inlineStr">
        <is>
          <t>Moderate</t>
        </is>
      </c>
      <c r="T66" s="2" t="inlineStr">
        <is>
          <t>Interpretation requires domain judgement</t>
        </is>
      </c>
      <c r="U66" s="2" t="inlineStr">
        <is>
          <t>Client Published Documents</t>
        </is>
      </c>
      <c r="V66" s="2" t="inlineStr">
        <is>
          <t>Phase 1</t>
        </is>
      </c>
      <c r="W66" s="2" t="inlineStr"/>
    </row>
    <row r="67">
      <c r="A67" s="2" t="inlineStr">
        <is>
          <t>SOL</t>
        </is>
      </c>
      <c r="B67" s="2" t="inlineStr">
        <is>
          <t>SOL-01</t>
        </is>
      </c>
      <c r="C67" s="2" t="inlineStr">
        <is>
          <t>SOL-01.2.2</t>
        </is>
      </c>
      <c r="D67" s="8" t="inlineStr">
        <is>
          <t>Medium</t>
        </is>
      </c>
      <c r="E67" s="2" t="inlineStr">
        <is>
          <t>Assess our solution alignment per requirement area — where are we strong, where do we need to develop, where do we have gaps?</t>
        </is>
      </c>
      <c r="F67" s="2" t="inlineStr">
        <is>
          <t>AI assesses alignment if capability data is structured. Human validates gaps</t>
        </is>
      </c>
      <c r="G67" s="2" t="inlineStr">
        <is>
          <t>SOL-01.2.1 + capability data</t>
        </is>
      </c>
      <c r="H67" s="2" t="inlineStr">
        <is>
          <t>Blocker: Requires structured internal capability data</t>
        </is>
      </c>
      <c r="I67" s="2" t="inlineStr">
        <is>
          <t>Solution Architect</t>
        </is>
      </c>
      <c r="J67" s="2" t="n">
        <v>5</v>
      </c>
      <c r="K67" s="2" t="n">
        <v>2</v>
      </c>
      <c r="L67" s="4">
        <f>J67/COUNTIF($B:$B,B67)</f>
        <v/>
      </c>
      <c r="M67" s="5" t="n">
        <v>0.4</v>
      </c>
      <c r="N67" s="5" t="n">
        <v>0</v>
      </c>
      <c r="O67" s="6">
        <f>1-(1-M67)*(1-N67)</f>
        <v/>
      </c>
      <c r="P67" s="7">
        <f>L67*O67</f>
        <v/>
      </c>
      <c r="Q67" s="2" t="inlineStr">
        <is>
          <t>Medium</t>
        </is>
      </c>
      <c r="R67" s="2" t="inlineStr">
        <is>
          <t>Low</t>
        </is>
      </c>
      <c r="S67" s="2" t="inlineStr">
        <is>
          <t>Moderate</t>
        </is>
      </c>
      <c r="T67" s="2" t="inlineStr">
        <is>
          <t>Requires structured internal capability data</t>
        </is>
      </c>
      <c r="U67" s="2" t="inlineStr">
        <is>
          <t>None</t>
        </is>
      </c>
      <c r="V67" s="2" t="inlineStr">
        <is>
          <t>Phase 1</t>
        </is>
      </c>
      <c r="W67" s="2" t="inlineStr"/>
    </row>
    <row r="68">
      <c r="A68" s="2" t="inlineStr">
        <is>
          <t>SOL</t>
        </is>
      </c>
      <c r="B68" s="2" t="inlineStr">
        <is>
          <t>SOL-01</t>
        </is>
      </c>
      <c r="C68" s="2" t="inlineStr">
        <is>
          <t>SOL-01.2.3</t>
        </is>
      </c>
      <c r="D68" s="3" t="inlineStr">
        <is>
          <t>High</t>
        </is>
      </c>
      <c r="E68" s="2" t="inlineStr">
        <is>
          <t>Synthesise requirements interpretation document — the consolidated output consumed by solution design and clarification strategy</t>
        </is>
      </c>
      <c r="F68" s="2" t="inlineStr">
        <is>
          <t>AI consolidates all upstream outputs into structured document</t>
        </is>
      </c>
      <c r="G68" s="2" t="inlineStr">
        <is>
          <t>All SOL-01 outputs</t>
        </is>
      </c>
      <c r="H68" s="2" t="inlineStr">
        <is>
          <t>Time reduction: Assembly automated</t>
        </is>
      </c>
      <c r="I68" s="2" t="inlineStr">
        <is>
          <t>Solution Architect</t>
        </is>
      </c>
      <c r="J68" s="2" t="n">
        <v>5</v>
      </c>
      <c r="K68" s="2" t="n">
        <v>2</v>
      </c>
      <c r="L68" s="4">
        <f>J68/COUNTIF($B:$B,B68)</f>
        <v/>
      </c>
      <c r="M68" s="5" t="n">
        <v>0.6</v>
      </c>
      <c r="N68" s="5" t="n">
        <v>0</v>
      </c>
      <c r="O68" s="6">
        <f>1-(1-M68)*(1-N68)</f>
        <v/>
      </c>
      <c r="P68" s="7">
        <f>L68*O68</f>
        <v/>
      </c>
      <c r="Q68" s="2" t="inlineStr">
        <is>
          <t>High</t>
        </is>
      </c>
      <c r="R68" s="2" t="inlineStr">
        <is>
          <t>Moderate</t>
        </is>
      </c>
      <c r="S68" s="2" t="inlineStr">
        <is>
          <t>Yes</t>
        </is>
      </c>
      <c r="T68" s="2" t="inlineStr">
        <is>
          <t>Structured data must be available</t>
        </is>
      </c>
      <c r="U68" s="2" t="inlineStr">
        <is>
          <t>None</t>
        </is>
      </c>
      <c r="V68" s="2" t="inlineStr">
        <is>
          <t>Phase 1</t>
        </is>
      </c>
      <c r="W68" s="2" t="inlineStr"/>
    </row>
    <row r="69">
      <c r="A69" s="2" t="inlineStr">
        <is>
          <t>SOL</t>
        </is>
      </c>
      <c r="B69" s="2" t="inlineStr">
        <is>
          <t>SOL-02</t>
        </is>
      </c>
      <c r="C69" s="2" t="inlineStr">
        <is>
          <t>SOL-02.1.1</t>
        </is>
      </c>
      <c r="D69" s="8" t="inlineStr">
        <is>
          <t>Medium</t>
        </is>
      </c>
      <c r="E69" s="2" t="inlineStr">
        <is>
          <t>Map current organisational structure — departments, sub-departments, reporting lines, governance framework, interfaces with client organisation</t>
        </is>
      </c>
      <c r="F69" s="2" t="inlineStr">
        <is>
          <t>AI extracts structure from published documents. Human fills gaps</t>
        </is>
      </c>
      <c r="G69" s="2" t="inlineStr">
        <is>
          <t>Published data, ITT docs</t>
        </is>
      </c>
      <c r="H69" s="2" t="inlineStr">
        <is>
          <t>Blocker: Often limited published data about current operating model</t>
        </is>
      </c>
      <c r="I69" s="2" t="inlineStr">
        <is>
          <t>Solution Architect</t>
        </is>
      </c>
      <c r="J69" s="2" t="n">
        <v>5</v>
      </c>
      <c r="K69" s="2" t="n">
        <v>1</v>
      </c>
      <c r="L69" s="4">
        <f>J69/COUNTIF($B:$B,B69)</f>
        <v/>
      </c>
      <c r="M69" s="5" t="n">
        <v>0.3</v>
      </c>
      <c r="N69" s="5" t="n">
        <v>0</v>
      </c>
      <c r="O69" s="6">
        <f>1-(1-M69)*(1-N69)</f>
        <v/>
      </c>
      <c r="P69" s="7">
        <f>L69*O69</f>
        <v/>
      </c>
      <c r="Q69" s="2" t="inlineStr">
        <is>
          <t>Medium</t>
        </is>
      </c>
      <c r="R69" s="2" t="inlineStr">
        <is>
          <t>Low</t>
        </is>
      </c>
      <c r="S69" s="2" t="inlineStr">
        <is>
          <t>Moderate</t>
        </is>
      </c>
      <c r="T69" s="2" t="inlineStr">
        <is>
          <t>Often limited published data about current operating model</t>
        </is>
      </c>
      <c r="U69" s="2" t="inlineStr">
        <is>
          <t>None</t>
        </is>
      </c>
      <c r="V69" s="2" t="inlineStr">
        <is>
          <t>Phase 3</t>
        </is>
      </c>
      <c r="W69" s="2" t="inlineStr"/>
    </row>
    <row r="70">
      <c r="A70" s="2" t="inlineStr">
        <is>
          <t>SOL</t>
        </is>
      </c>
      <c r="B70" s="2" t="inlineStr">
        <is>
          <t>SOL-02</t>
        </is>
      </c>
      <c r="C70" s="2" t="inlineStr">
        <is>
          <t>SOL-02.1.2</t>
        </is>
      </c>
      <c r="D70" s="8" t="inlineStr">
        <is>
          <t>Medium</t>
        </is>
      </c>
      <c r="E70" s="2" t="inlineStr">
        <is>
          <t>Assess current workforce — headcount, roles, grades, management structure, TUPE-relevant employment terms and conditions</t>
        </is>
      </c>
      <c r="F70" s="2" t="inlineStr">
        <is>
          <t>AI analyses disclosed TUPE data. Human interprets gaps</t>
        </is>
      </c>
      <c r="G70" s="2" t="inlineStr">
        <is>
          <t>TUPE data (if disclosed)</t>
        </is>
      </c>
      <c r="H70" s="2" t="inlineStr">
        <is>
          <t>Blocker: TUPE data often incomplete or not yet disclosed</t>
        </is>
      </c>
      <c r="I70" s="2" t="inlineStr">
        <is>
          <t>HR Lead</t>
        </is>
      </c>
      <c r="J70" s="2" t="n">
        <v>5</v>
      </c>
      <c r="K70" s="2" t="n">
        <v>1</v>
      </c>
      <c r="L70" s="4">
        <f>J70/COUNTIF($B:$B,B70)</f>
        <v/>
      </c>
      <c r="M70" s="5" t="n">
        <v>0.3</v>
      </c>
      <c r="N70" s="5" t="n">
        <v>0</v>
      </c>
      <c r="O70" s="6">
        <f>1-(1-M70)*(1-N70)</f>
        <v/>
      </c>
      <c r="P70" s="7">
        <f>L70*O70</f>
        <v/>
      </c>
      <c r="Q70" s="2" t="inlineStr">
        <is>
          <t>Medium</t>
        </is>
      </c>
      <c r="R70" s="2" t="inlineStr">
        <is>
          <t>Low</t>
        </is>
      </c>
      <c r="S70" s="2" t="inlineStr">
        <is>
          <t>Moderate</t>
        </is>
      </c>
      <c r="T70" s="2" t="inlineStr">
        <is>
          <t>TUPE data often incomplete or not yet disclosed</t>
        </is>
      </c>
      <c r="U70" s="2" t="inlineStr">
        <is>
          <t>None</t>
        </is>
      </c>
      <c r="V70" s="2" t="inlineStr">
        <is>
          <t>Phase 3</t>
        </is>
      </c>
      <c r="W70" s="2" t="inlineStr"/>
    </row>
    <row r="71">
      <c r="A71" s="2" t="inlineStr">
        <is>
          <t>SOL</t>
        </is>
      </c>
      <c r="B71" s="2" t="inlineStr">
        <is>
          <t>SOL-02</t>
        </is>
      </c>
      <c r="C71" s="2" t="inlineStr">
        <is>
          <t>SOL-02.1.3</t>
        </is>
      </c>
      <c r="D71" s="8" t="inlineStr">
        <is>
          <t>Medium</t>
        </is>
      </c>
      <c r="E71" s="2" t="inlineStr">
        <is>
          <t>Review current systems, tools, and data landscape — technology stack, legacy systems, data flows, integration points, licensing</t>
        </is>
      </c>
      <c r="F71" s="2" t="inlineStr">
        <is>
          <t>AI analyses published technology references in ITT/contract docs</t>
        </is>
      </c>
      <c r="G71" s="2" t="inlineStr">
        <is>
          <t>ITT documentation</t>
        </is>
      </c>
      <c r="H71" s="2" t="inlineStr">
        <is>
          <t>Blocker: Current technology landscape rarely documented in detail</t>
        </is>
      </c>
      <c r="I71" s="2" t="inlineStr">
        <is>
          <t>Technical Lead</t>
        </is>
      </c>
      <c r="J71" s="2" t="n">
        <v>5</v>
      </c>
      <c r="K71" s="2" t="n">
        <v>1</v>
      </c>
      <c r="L71" s="4">
        <f>J71/COUNTIF($B:$B,B71)</f>
        <v/>
      </c>
      <c r="M71" s="5" t="n">
        <v>0.3</v>
      </c>
      <c r="N71" s="5" t="n">
        <v>0</v>
      </c>
      <c r="O71" s="6">
        <f>1-(1-M71)*(1-N71)</f>
        <v/>
      </c>
      <c r="P71" s="7">
        <f>L71*O71</f>
        <v/>
      </c>
      <c r="Q71" s="2" t="inlineStr">
        <is>
          <t>Medium</t>
        </is>
      </c>
      <c r="R71" s="2" t="inlineStr">
        <is>
          <t>Low</t>
        </is>
      </c>
      <c r="S71" s="2" t="inlineStr">
        <is>
          <t>Moderate</t>
        </is>
      </c>
      <c r="T71" s="2" t="inlineStr">
        <is>
          <t>Current technology landscape rarely documented in detail</t>
        </is>
      </c>
      <c r="U71" s="2" t="inlineStr">
        <is>
          <t>None</t>
        </is>
      </c>
      <c r="V71" s="2" t="inlineStr">
        <is>
          <t>Phase 3</t>
        </is>
      </c>
      <c r="W71" s="2" t="inlineStr"/>
    </row>
    <row r="72">
      <c r="A72" s="2" t="inlineStr">
        <is>
          <t>SOL</t>
        </is>
      </c>
      <c r="B72" s="2" t="inlineStr">
        <is>
          <t>SOL-02</t>
        </is>
      </c>
      <c r="C72" s="2" t="inlineStr">
        <is>
          <t>SOL-02.2.1</t>
        </is>
      </c>
      <c r="D72" s="3" t="inlineStr">
        <is>
          <t>High</t>
        </is>
      </c>
      <c r="E72" s="2" t="inlineStr">
        <is>
          <t>Assess current service performance against existing KPIs and SLA framework — what is the performance baseline we are inheriting or competing against?</t>
        </is>
      </c>
      <c r="F72" s="2" t="inlineStr">
        <is>
          <t>AI analyses published KPI/performance data, audit reports, FOI responses</t>
        </is>
      </c>
      <c r="G72" s="2" t="inlineStr">
        <is>
          <t>Published performance data</t>
        </is>
      </c>
      <c r="H72" s="2" t="inlineStr">
        <is>
          <t>Quality uplift: Comprehensive data analysis across all available sources</t>
        </is>
      </c>
      <c r="I72" s="2" t="inlineStr">
        <is>
          <t>Solution Architect</t>
        </is>
      </c>
      <c r="J72" s="2" t="n">
        <v>5</v>
      </c>
      <c r="K72" s="2" t="n">
        <v>1</v>
      </c>
      <c r="L72" s="4">
        <f>J72/COUNTIF($B:$B,B72)</f>
        <v/>
      </c>
      <c r="M72" s="5" t="n">
        <v>0.5</v>
      </c>
      <c r="N72" s="5" t="n">
        <v>0</v>
      </c>
      <c r="O72" s="6">
        <f>1-(1-M72)*(1-N72)</f>
        <v/>
      </c>
      <c r="P72" s="7">
        <f>L72*O72</f>
        <v/>
      </c>
      <c r="Q72" s="2" t="inlineStr">
        <is>
          <t>High</t>
        </is>
      </c>
      <c r="R72" s="2" t="inlineStr">
        <is>
          <t>Yes</t>
        </is>
      </c>
      <c r="S72" s="2" t="inlineStr">
        <is>
          <t>Yes</t>
        </is>
      </c>
      <c r="T72" s="2" t="inlineStr">
        <is>
          <t>Structured data must be available</t>
        </is>
      </c>
      <c r="U72" s="2" t="inlineStr">
        <is>
          <t>None</t>
        </is>
      </c>
      <c r="V72" s="2" t="inlineStr">
        <is>
          <t>Phase 3</t>
        </is>
      </c>
      <c r="W72" s="2" t="inlineStr"/>
    </row>
    <row r="73">
      <c r="A73" s="2" t="inlineStr">
        <is>
          <t>SOL</t>
        </is>
      </c>
      <c r="B73" s="2" t="inlineStr">
        <is>
          <t>SOL-02</t>
        </is>
      </c>
      <c r="C73" s="2" t="inlineStr">
        <is>
          <t>SOL-02.2.2</t>
        </is>
      </c>
      <c r="D73" s="8" t="inlineStr">
        <is>
          <t>Medium</t>
        </is>
      </c>
      <c r="E73" s="2" t="inlineStr">
        <is>
          <t>Document the current operating model — how organisation, people, systems, and processes combine to deliver the service today</t>
        </is>
      </c>
      <c r="F73" s="2" t="inlineStr">
        <is>
          <t>AI synthesises the integrated operating model from upstream outputs</t>
        </is>
      </c>
      <c r="G73" s="2" t="inlineStr">
        <is>
          <t>SOL-02.1 outputs</t>
        </is>
      </c>
      <c r="H73" s="2" t="inlineStr">
        <is>
          <t>Time reduction: Synthesis automated</t>
        </is>
      </c>
      <c r="I73" s="2" t="inlineStr">
        <is>
          <t>Solution Architect</t>
        </is>
      </c>
      <c r="J73" s="2" t="n">
        <v>5</v>
      </c>
      <c r="K73" s="2" t="n">
        <v>1</v>
      </c>
      <c r="L73" s="4">
        <f>J73/COUNTIF($B:$B,B73)</f>
        <v/>
      </c>
      <c r="M73" s="5" t="n">
        <v>0.4</v>
      </c>
      <c r="N73" s="5" t="n">
        <v>0</v>
      </c>
      <c r="O73" s="6">
        <f>1-(1-M73)*(1-N73)</f>
        <v/>
      </c>
      <c r="P73" s="7">
        <f>L73*O73</f>
        <v/>
      </c>
      <c r="Q73" s="2" t="inlineStr">
        <is>
          <t>Medium</t>
        </is>
      </c>
      <c r="R73" s="2" t="inlineStr">
        <is>
          <t>Low</t>
        </is>
      </c>
      <c r="S73" s="2" t="inlineStr">
        <is>
          <t>Moderate</t>
        </is>
      </c>
      <c r="T73" s="2" t="inlineStr">
        <is>
          <t>Domain judgement required for validation</t>
        </is>
      </c>
      <c r="U73" s="2" t="inlineStr">
        <is>
          <t>None</t>
        </is>
      </c>
      <c r="V73" s="2" t="inlineStr">
        <is>
          <t>Phase 3</t>
        </is>
      </c>
      <c r="W73" s="2" t="inlineStr"/>
    </row>
    <row r="74">
      <c r="A74" s="2" t="inlineStr">
        <is>
          <t>SOL</t>
        </is>
      </c>
      <c r="B74" s="2" t="inlineStr">
        <is>
          <t>SOL-02</t>
        </is>
      </c>
      <c r="C74" s="2" t="inlineStr">
        <is>
          <t>SOL-02.2.3</t>
        </is>
      </c>
      <c r="D74" s="8" t="inlineStr">
        <is>
          <t>Medium</t>
        </is>
      </c>
      <c r="E74" s="2" t="inlineStr">
        <is>
          <t>Identify what we are inheriting on day one and key transition implications — the handover baseline that feeds transition planning</t>
        </is>
      </c>
      <c r="F74" s="2" t="inlineStr">
        <is>
          <t>AI identifies transfer implications from document analysis. Human validates</t>
        </is>
      </c>
      <c r="G74" s="2" t="inlineStr">
        <is>
          <t>SOL-02.2.2 output</t>
        </is>
      </c>
      <c r="H74" s="2" t="inlineStr">
        <is>
          <t>Decision velocity: Transition implications surfaced faster</t>
        </is>
      </c>
      <c r="I74" s="2" t="inlineStr">
        <is>
          <t>Solution Architect</t>
        </is>
      </c>
      <c r="J74" s="2" t="n">
        <v>5</v>
      </c>
      <c r="K74" s="2" t="n">
        <v>1</v>
      </c>
      <c r="L74" s="4">
        <f>J74/COUNTIF($B:$B,B74)</f>
        <v/>
      </c>
      <c r="M74" s="5" t="n">
        <v>0.3</v>
      </c>
      <c r="N74" s="5" t="n">
        <v>0</v>
      </c>
      <c r="O74" s="6">
        <f>1-(1-M74)*(1-N74)</f>
        <v/>
      </c>
      <c r="P74" s="7">
        <f>L74*O74</f>
        <v/>
      </c>
      <c r="Q74" s="2" t="inlineStr">
        <is>
          <t>High</t>
        </is>
      </c>
      <c r="R74" s="2" t="inlineStr">
        <is>
          <t>Low</t>
        </is>
      </c>
      <c r="S74" s="2" t="inlineStr">
        <is>
          <t>Moderate</t>
        </is>
      </c>
      <c r="T74" s="2" t="inlineStr">
        <is>
          <t>Domain judgement required for validation</t>
        </is>
      </c>
      <c r="U74" s="2" t="inlineStr">
        <is>
          <t>None</t>
        </is>
      </c>
      <c r="V74" s="2" t="inlineStr">
        <is>
          <t>Phase 3</t>
        </is>
      </c>
      <c r="W74" s="2" t="inlineStr"/>
    </row>
    <row r="75">
      <c r="A75" s="2" t="inlineStr">
        <is>
          <t>SOL</t>
        </is>
      </c>
      <c r="B75" s="2" t="inlineStr">
        <is>
          <t>SOL-03</t>
        </is>
      </c>
      <c r="C75" s="2" t="inlineStr">
        <is>
          <t>SOL-03.1.1</t>
        </is>
      </c>
      <c r="D75" s="8" t="inlineStr">
        <is>
          <t>Medium</t>
        </is>
      </c>
      <c r="E75" s="2" t="inlineStr">
        <is>
          <t>Determine solution positioning — where on the spectrum between low-capex/compliant and high-capex/transformational does this solution land, and why?</t>
        </is>
      </c>
      <c r="F75" s="2" t="inlineStr">
        <is>
          <t>AI accelerates with draft/analysis. Human applies domain judgement.</t>
        </is>
      </c>
      <c r="G75" s="2" t="inlineStr">
        <is>
          <t>Upstream SOL-03 outputs</t>
        </is>
      </c>
      <c r="H75" s="2" t="inlineStr">
        <is>
          <t>Decision velocity: AI draft available immediately for human refinement</t>
        </is>
      </c>
      <c r="I75" s="2" t="inlineStr">
        <is>
          <t>Solution Architect</t>
        </is>
      </c>
      <c r="J75" s="2" t="n">
        <v>45</v>
      </c>
      <c r="K75" s="2" t="n">
        <v>3</v>
      </c>
      <c r="L75" s="4">
        <f>J75/COUNTIF($B:$B,B75)</f>
        <v/>
      </c>
      <c r="M75" s="5" t="n">
        <v>0.35</v>
      </c>
      <c r="N75" s="10" t="n">
        <v>0.25</v>
      </c>
      <c r="O75" s="6">
        <f>1-(1-M75)*(1-N75)</f>
        <v/>
      </c>
      <c r="P75" s="7">
        <f>L75*O75</f>
        <v/>
      </c>
      <c r="Q75" s="2" t="inlineStr">
        <is>
          <t>Medium</t>
        </is>
      </c>
      <c r="R75" s="2" t="inlineStr">
        <is>
          <t>Moderate</t>
        </is>
      </c>
      <c r="S75" s="2" t="inlineStr">
        <is>
          <t>Moderate</t>
        </is>
      </c>
      <c r="T75" s="2" t="inlineStr">
        <is>
          <t>Domain judgement required for validation</t>
        </is>
      </c>
      <c r="U75" s="2" t="inlineStr">
        <is>
          <t>None</t>
        </is>
      </c>
      <c r="V75" s="2" t="inlineStr">
        <is>
          <t>N/A</t>
        </is>
      </c>
      <c r="W75" s="2" t="inlineStr"/>
    </row>
    <row r="76">
      <c r="A76" s="2" t="inlineStr">
        <is>
          <t>SOL</t>
        </is>
      </c>
      <c r="B76" s="2" t="inlineStr">
        <is>
          <t>SOL-03</t>
        </is>
      </c>
      <c r="C76" s="2" t="inlineStr">
        <is>
          <t>SOL-03.1.2</t>
        </is>
      </c>
      <c r="D76" s="8" t="inlineStr">
        <is>
          <t>Medium</t>
        </is>
      </c>
      <c r="E76" s="2" t="inlineStr">
        <is>
          <t>Establish solution design principles — the rules that guide all downstream design decisions, flowing from the positioning choice</t>
        </is>
      </c>
      <c r="F76" s="2" t="inlineStr">
        <is>
          <t>AI proposes options based on requirements. Human makes design decisions.</t>
        </is>
      </c>
      <c r="G76" s="2" t="inlineStr">
        <is>
          <t>Upstream SOL-03 outputs</t>
        </is>
      </c>
      <c r="H76" s="2" t="inlineStr">
        <is>
          <t>Decision velocity: AI draft available immediately for human refinement</t>
        </is>
      </c>
      <c r="I76" s="2" t="inlineStr">
        <is>
          <t>Solution Architect</t>
        </is>
      </c>
      <c r="J76" s="2" t="n">
        <v>45</v>
      </c>
      <c r="K76" s="2" t="n">
        <v>3</v>
      </c>
      <c r="L76" s="4">
        <f>J76/COUNTIF($B:$B,B76)</f>
        <v/>
      </c>
      <c r="M76" s="5" t="n">
        <v>0.35</v>
      </c>
      <c r="N76" s="10" t="n">
        <v>0.25</v>
      </c>
      <c r="O76" s="6">
        <f>1-(1-M76)*(1-N76)</f>
        <v/>
      </c>
      <c r="P76" s="7">
        <f>L76*O76</f>
        <v/>
      </c>
      <c r="Q76" s="2" t="inlineStr">
        <is>
          <t>Medium</t>
        </is>
      </c>
      <c r="R76" s="2" t="inlineStr">
        <is>
          <t>Moderate</t>
        </is>
      </c>
      <c r="S76" s="2" t="inlineStr">
        <is>
          <t>Moderate</t>
        </is>
      </c>
      <c r="T76" s="2" t="inlineStr">
        <is>
          <t>Domain judgement required for validation</t>
        </is>
      </c>
      <c r="U76" s="2" t="inlineStr">
        <is>
          <t>None</t>
        </is>
      </c>
      <c r="V76" s="2" t="inlineStr">
        <is>
          <t>N/A</t>
        </is>
      </c>
      <c r="W76" s="2" t="inlineStr"/>
    </row>
    <row r="77">
      <c r="A77" s="2" t="inlineStr">
        <is>
          <t>SOL</t>
        </is>
      </c>
      <c r="B77" s="2" t="inlineStr">
        <is>
          <t>SOL-03</t>
        </is>
      </c>
      <c r="C77" s="2" t="inlineStr">
        <is>
          <t>SOL-03.1.3</t>
        </is>
      </c>
      <c r="D77" s="8" t="inlineStr">
        <is>
          <t>Medium</t>
        </is>
      </c>
      <c r="E77" s="2" t="inlineStr">
        <is>
          <t>Define solution scope and boundary — what is in, what is out, where our service interfaces with the client and third parties</t>
        </is>
      </c>
      <c r="F77" s="2" t="inlineStr">
        <is>
          <t>AI accelerates with draft/analysis. Human applies domain judgement.</t>
        </is>
      </c>
      <c r="G77" s="2" t="inlineStr">
        <is>
          <t>Upstream SOL-03 outputs</t>
        </is>
      </c>
      <c r="H77" s="2" t="inlineStr">
        <is>
          <t>Decision velocity: AI draft available immediately for human refinement</t>
        </is>
      </c>
      <c r="I77" s="2" t="inlineStr">
        <is>
          <t>Solution Architect</t>
        </is>
      </c>
      <c r="J77" s="2" t="n">
        <v>45</v>
      </c>
      <c r="K77" s="2" t="n">
        <v>3</v>
      </c>
      <c r="L77" s="4">
        <f>J77/COUNTIF($B:$B,B77)</f>
        <v/>
      </c>
      <c r="M77" s="5" t="n">
        <v>0.35</v>
      </c>
      <c r="N77" s="10" t="n">
        <v>0.25</v>
      </c>
      <c r="O77" s="6">
        <f>1-(1-M77)*(1-N77)</f>
        <v/>
      </c>
      <c r="P77" s="7">
        <f>L77*O77</f>
        <v/>
      </c>
      <c r="Q77" s="2" t="inlineStr">
        <is>
          <t>Medium</t>
        </is>
      </c>
      <c r="R77" s="2" t="inlineStr">
        <is>
          <t>Moderate</t>
        </is>
      </c>
      <c r="S77" s="2" t="inlineStr">
        <is>
          <t>Moderate</t>
        </is>
      </c>
      <c r="T77" s="2" t="inlineStr">
        <is>
          <t>Domain judgement required for validation</t>
        </is>
      </c>
      <c r="U77" s="2" t="inlineStr">
        <is>
          <t>None</t>
        </is>
      </c>
      <c r="V77" s="2" t="inlineStr">
        <is>
          <t>N/A</t>
        </is>
      </c>
      <c r="W77" s="2" t="inlineStr"/>
    </row>
    <row r="78">
      <c r="A78" s="2" t="inlineStr">
        <is>
          <t>SOL</t>
        </is>
      </c>
      <c r="B78" s="2" t="inlineStr">
        <is>
          <t>SOL-03</t>
        </is>
      </c>
      <c r="C78" s="2" t="inlineStr">
        <is>
          <t>SOL-03.2.1</t>
        </is>
      </c>
      <c r="D78" s="8" t="inlineStr">
        <is>
          <t>Medium</t>
        </is>
      </c>
      <c r="E78" s="2" t="inlineStr">
        <is>
          <t>Design the high-level operating model framework — service lines, how they relate, how they map to requirements and deliver against the specification</t>
        </is>
      </c>
      <c r="F78" s="2" t="inlineStr">
        <is>
          <t>AI proposes options based on requirements. Human makes design decisions.</t>
        </is>
      </c>
      <c r="G78" s="2" t="inlineStr">
        <is>
          <t>Upstream SOL-03 outputs</t>
        </is>
      </c>
      <c r="H78" s="2" t="inlineStr">
        <is>
          <t>Decision velocity: AI draft available immediately for human refinement</t>
        </is>
      </c>
      <c r="I78" s="2" t="inlineStr">
        <is>
          <t>Solution Architect</t>
        </is>
      </c>
      <c r="J78" s="2" t="n">
        <v>45</v>
      </c>
      <c r="K78" s="2" t="n">
        <v>3</v>
      </c>
      <c r="L78" s="4">
        <f>J78/COUNTIF($B:$B,B78)</f>
        <v/>
      </c>
      <c r="M78" s="5" t="n">
        <v>0.35</v>
      </c>
      <c r="N78" s="10" t="n">
        <v>0.25</v>
      </c>
      <c r="O78" s="6">
        <f>1-(1-M78)*(1-N78)</f>
        <v/>
      </c>
      <c r="P78" s="7">
        <f>L78*O78</f>
        <v/>
      </c>
      <c r="Q78" s="2" t="inlineStr">
        <is>
          <t>Medium</t>
        </is>
      </c>
      <c r="R78" s="2" t="inlineStr">
        <is>
          <t>Moderate</t>
        </is>
      </c>
      <c r="S78" s="2" t="inlineStr">
        <is>
          <t>Moderate</t>
        </is>
      </c>
      <c r="T78" s="2" t="inlineStr">
        <is>
          <t>Domain judgement required for validation</t>
        </is>
      </c>
      <c r="U78" s="2" t="inlineStr">
        <is>
          <t>None</t>
        </is>
      </c>
      <c r="V78" s="2" t="inlineStr">
        <is>
          <t>N/A</t>
        </is>
      </c>
      <c r="W78" s="2" t="inlineStr"/>
    </row>
    <row r="79">
      <c r="A79" s="2" t="inlineStr">
        <is>
          <t>SOL</t>
        </is>
      </c>
      <c r="B79" s="2" t="inlineStr">
        <is>
          <t>SOL-03</t>
        </is>
      </c>
      <c r="C79" s="2" t="inlineStr">
        <is>
          <t>SOL-03.2.2</t>
        </is>
      </c>
      <c r="D79" s="8" t="inlineStr">
        <is>
          <t>Medium</t>
        </is>
      </c>
      <c r="E79" s="2" t="inlineStr">
        <is>
          <t>Design the governance and management model — how the service will be managed, client interface, decision-making, escalation, performance reporting</t>
        </is>
      </c>
      <c r="F79" s="2" t="inlineStr">
        <is>
          <t>AI proposes options based on requirements. Human makes design decisions.</t>
        </is>
      </c>
      <c r="G79" s="2" t="inlineStr">
        <is>
          <t>Upstream SOL-03 outputs</t>
        </is>
      </c>
      <c r="H79" s="2" t="inlineStr">
        <is>
          <t>Decision velocity: AI draft available immediately for human refinement</t>
        </is>
      </c>
      <c r="I79" s="2" t="inlineStr">
        <is>
          <t>Solution Architect</t>
        </is>
      </c>
      <c r="J79" s="2" t="n">
        <v>45</v>
      </c>
      <c r="K79" s="2" t="n">
        <v>3</v>
      </c>
      <c r="L79" s="4">
        <f>J79/COUNTIF($B:$B,B79)</f>
        <v/>
      </c>
      <c r="M79" s="5" t="n">
        <v>0.35</v>
      </c>
      <c r="N79" s="10" t="n">
        <v>0.25</v>
      </c>
      <c r="O79" s="6">
        <f>1-(1-M79)*(1-N79)</f>
        <v/>
      </c>
      <c r="P79" s="7">
        <f>L79*O79</f>
        <v/>
      </c>
      <c r="Q79" s="2" t="inlineStr">
        <is>
          <t>Medium</t>
        </is>
      </c>
      <c r="R79" s="2" t="inlineStr">
        <is>
          <t>Moderate</t>
        </is>
      </c>
      <c r="S79" s="2" t="inlineStr">
        <is>
          <t>Moderate</t>
        </is>
      </c>
      <c r="T79" s="2" t="inlineStr">
        <is>
          <t>Domain judgement required for validation</t>
        </is>
      </c>
      <c r="U79" s="2" t="inlineStr">
        <is>
          <t>None</t>
        </is>
      </c>
      <c r="V79" s="2" t="inlineStr">
        <is>
          <t>N/A</t>
        </is>
      </c>
      <c r="W79" s="2" t="inlineStr"/>
    </row>
    <row r="80">
      <c r="A80" s="2" t="inlineStr">
        <is>
          <t>SOL</t>
        </is>
      </c>
      <c r="B80" s="2" t="inlineStr">
        <is>
          <t>SOL-03</t>
        </is>
      </c>
      <c r="C80" s="2" t="inlineStr">
        <is>
          <t>SOL-03.2.3</t>
        </is>
      </c>
      <c r="D80" s="9" t="inlineStr">
        <is>
          <t>Low</t>
        </is>
      </c>
      <c r="E80" s="2" t="inlineStr">
        <is>
          <t>Design the organisational concept — future structure, key roles, capability requirements at a strategic level (detail in SOL-06)</t>
        </is>
      </c>
      <c r="F80" s="2" t="inlineStr">
        <is>
          <t>AI provides minimal preparation support. Task is fundamentally human.</t>
        </is>
      </c>
      <c r="G80" s="2" t="inlineStr">
        <is>
          <t>Upstream SOL-03 outputs</t>
        </is>
      </c>
      <c r="H80" s="2" t="inlineStr">
        <is>
          <t>Minimal: Preparation support only</t>
        </is>
      </c>
      <c r="I80" s="2" t="inlineStr">
        <is>
          <t>Solution Architect</t>
        </is>
      </c>
      <c r="J80" s="2" t="n">
        <v>45</v>
      </c>
      <c r="K80" s="2" t="n">
        <v>3</v>
      </c>
      <c r="L80" s="4">
        <f>J80/COUNTIF($B:$B,B80)</f>
        <v/>
      </c>
      <c r="M80" s="5" t="n">
        <v>0.1</v>
      </c>
      <c r="N80" s="10" t="n">
        <v>0.25</v>
      </c>
      <c r="O80" s="6">
        <f>1-(1-M80)*(1-N80)</f>
        <v/>
      </c>
      <c r="P80" s="7">
        <f>L80*O80</f>
        <v/>
      </c>
      <c r="Q80" s="2" t="inlineStr">
        <is>
          <t>Low</t>
        </is>
      </c>
      <c r="R80" s="2" t="inlineStr">
        <is>
          <t>Low</t>
        </is>
      </c>
      <c r="S80" s="2" t="inlineStr">
        <is>
          <t>Low</t>
        </is>
      </c>
      <c r="T80" s="2" t="inlineStr">
        <is>
          <t>Human relationship/judgement required</t>
        </is>
      </c>
      <c r="U80" s="2" t="inlineStr">
        <is>
          <t>None</t>
        </is>
      </c>
      <c r="V80" s="2" t="inlineStr">
        <is>
          <t>N/A</t>
        </is>
      </c>
      <c r="W80" s="2" t="inlineStr"/>
    </row>
    <row r="81">
      <c r="A81" s="2" t="inlineStr">
        <is>
          <t>SOL</t>
        </is>
      </c>
      <c r="B81" s="2" t="inlineStr">
        <is>
          <t>SOL-03</t>
        </is>
      </c>
      <c r="C81" s="2" t="inlineStr">
        <is>
          <t>SOL-03.3.1</t>
        </is>
      </c>
      <c r="D81" s="9" t="inlineStr">
        <is>
          <t>Low</t>
        </is>
      </c>
      <c r="E81" s="2" t="inlineStr">
        <is>
          <t>Map solution to requirements — demonstrate how the TOM addresses every key requirement area from SOL-01</t>
        </is>
      </c>
      <c r="F81" s="2" t="inlineStr">
        <is>
          <t>AI provides minimal preparation support. Task is fundamentally human.</t>
        </is>
      </c>
      <c r="G81" s="2" t="inlineStr">
        <is>
          <t>Upstream SOL-03 outputs</t>
        </is>
      </c>
      <c r="H81" s="2" t="inlineStr">
        <is>
          <t>Minimal: Preparation support only</t>
        </is>
      </c>
      <c r="I81" s="2" t="inlineStr">
        <is>
          <t>Solution Architect</t>
        </is>
      </c>
      <c r="J81" s="2" t="n">
        <v>45</v>
      </c>
      <c r="K81" s="2" t="n">
        <v>3</v>
      </c>
      <c r="L81" s="4">
        <f>J81/COUNTIF($B:$B,B81)</f>
        <v/>
      </c>
      <c r="M81" s="5" t="n">
        <v>0.1</v>
      </c>
      <c r="N81" s="10" t="n">
        <v>0.25</v>
      </c>
      <c r="O81" s="6">
        <f>1-(1-M81)*(1-N81)</f>
        <v/>
      </c>
      <c r="P81" s="7">
        <f>L81*O81</f>
        <v/>
      </c>
      <c r="Q81" s="2" t="inlineStr">
        <is>
          <t>Low</t>
        </is>
      </c>
      <c r="R81" s="2" t="inlineStr">
        <is>
          <t>Low</t>
        </is>
      </c>
      <c r="S81" s="2" t="inlineStr">
        <is>
          <t>Low</t>
        </is>
      </c>
      <c r="T81" s="2" t="inlineStr">
        <is>
          <t>Human relationship/judgement required</t>
        </is>
      </c>
      <c r="U81" s="2" t="inlineStr">
        <is>
          <t>None</t>
        </is>
      </c>
      <c r="V81" s="2" t="inlineStr">
        <is>
          <t>N/A</t>
        </is>
      </c>
      <c r="W81" s="2" t="inlineStr"/>
    </row>
    <row r="82">
      <c r="A82" s="2" t="inlineStr">
        <is>
          <t>SOL</t>
        </is>
      </c>
      <c r="B82" s="2" t="inlineStr">
        <is>
          <t>SOL-03</t>
        </is>
      </c>
      <c r="C82" s="2" t="inlineStr">
        <is>
          <t>SOL-03.3.2</t>
        </is>
      </c>
      <c r="D82" s="9" t="inlineStr">
        <is>
          <t>Low</t>
        </is>
      </c>
      <c r="E82" s="2" t="inlineStr">
        <is>
          <t>Map solution to win themes — demonstrate how the TOM delivers our differentiators and competitive messaging</t>
        </is>
      </c>
      <c r="F82" s="2" t="inlineStr">
        <is>
          <t>AI prepares materials. Delivery is human.</t>
        </is>
      </c>
      <c r="G82" s="2" t="inlineStr">
        <is>
          <t>Upstream SOL-03 outputs</t>
        </is>
      </c>
      <c r="H82" s="2" t="inlineStr">
        <is>
          <t>Minimal: Preparation support only</t>
        </is>
      </c>
      <c r="I82" s="2" t="inlineStr">
        <is>
          <t>Solution Architect</t>
        </is>
      </c>
      <c r="J82" s="2" t="n">
        <v>45</v>
      </c>
      <c r="K82" s="2" t="n">
        <v>3</v>
      </c>
      <c r="L82" s="4">
        <f>J82/COUNTIF($B:$B,B82)</f>
        <v/>
      </c>
      <c r="M82" s="5" t="n">
        <v>0.1</v>
      </c>
      <c r="N82" s="10" t="n">
        <v>0.25</v>
      </c>
      <c r="O82" s="6">
        <f>1-(1-M82)*(1-N82)</f>
        <v/>
      </c>
      <c r="P82" s="7">
        <f>L82*O82</f>
        <v/>
      </c>
      <c r="Q82" s="2" t="inlineStr">
        <is>
          <t>Low</t>
        </is>
      </c>
      <c r="R82" s="2" t="inlineStr">
        <is>
          <t>Low</t>
        </is>
      </c>
      <c r="S82" s="2" t="inlineStr">
        <is>
          <t>Low</t>
        </is>
      </c>
      <c r="T82" s="2" t="inlineStr">
        <is>
          <t>Client-facing interaction is human</t>
        </is>
      </c>
      <c r="U82" s="2" t="inlineStr">
        <is>
          <t>None</t>
        </is>
      </c>
      <c r="V82" s="2" t="inlineStr">
        <is>
          <t>N/A</t>
        </is>
      </c>
      <c r="W82" s="2" t="inlineStr"/>
    </row>
    <row r="83">
      <c r="A83" s="2" t="inlineStr">
        <is>
          <t>SOL</t>
        </is>
      </c>
      <c r="B83" s="2" t="inlineStr">
        <is>
          <t>SOL-03</t>
        </is>
      </c>
      <c r="C83" s="2" t="inlineStr">
        <is>
          <t>SOL-03.3.3</t>
        </is>
      </c>
      <c r="D83" s="9" t="inlineStr">
        <is>
          <t>Low</t>
        </is>
      </c>
      <c r="E83" s="2" t="inlineStr">
        <is>
          <t>Validate TOM with bid team — confirm as the baseline for detailed design activities (SOL-04 onwards) and identify risks and dependencies</t>
        </is>
      </c>
      <c r="F83" s="2" t="inlineStr">
        <is>
          <t>AI prepares pack/summary. Decision is human governance.</t>
        </is>
      </c>
      <c r="G83" s="2" t="inlineStr">
        <is>
          <t>Upstream SOL-03 outputs</t>
        </is>
      </c>
      <c r="H83" s="2" t="inlineStr">
        <is>
          <t>Minimal: Preparation support only</t>
        </is>
      </c>
      <c r="I83" s="2" t="inlineStr">
        <is>
          <t>Solution Architect</t>
        </is>
      </c>
      <c r="J83" s="2" t="n">
        <v>45</v>
      </c>
      <c r="K83" s="2" t="n">
        <v>3</v>
      </c>
      <c r="L83" s="4">
        <f>J83/COUNTIF($B:$B,B83)</f>
        <v/>
      </c>
      <c r="M83" s="5" t="n">
        <v>0.1</v>
      </c>
      <c r="N83" s="10" t="n">
        <v>0.25</v>
      </c>
      <c r="O83" s="6">
        <f>1-(1-M83)*(1-N83)</f>
        <v/>
      </c>
      <c r="P83" s="7">
        <f>L83*O83</f>
        <v/>
      </c>
      <c r="Q83" s="2" t="inlineStr">
        <is>
          <t>None</t>
        </is>
      </c>
      <c r="R83" s="2" t="inlineStr">
        <is>
          <t>Low</t>
        </is>
      </c>
      <c r="S83" s="2" t="inlineStr">
        <is>
          <t>Low</t>
        </is>
      </c>
      <c r="T83" s="2" t="inlineStr">
        <is>
          <t>Governance decision is human</t>
        </is>
      </c>
      <c r="U83" s="2" t="inlineStr">
        <is>
          <t>None</t>
        </is>
      </c>
      <c r="V83" s="2" t="inlineStr">
        <is>
          <t>N/A</t>
        </is>
      </c>
      <c r="W83" s="2" t="inlineStr"/>
    </row>
    <row r="84">
      <c r="A84" s="2" t="inlineStr">
        <is>
          <t>SOL</t>
        </is>
      </c>
      <c r="B84" s="2" t="inlineStr">
        <is>
          <t>SOL-04</t>
        </is>
      </c>
      <c r="C84" s="2" t="inlineStr">
        <is>
          <t>SOL-04.1.1</t>
        </is>
      </c>
      <c r="D84" s="8" t="inlineStr">
        <is>
          <t>Medium</t>
        </is>
      </c>
      <c r="E84" s="2" t="inlineStr">
        <is>
          <t>Design service delivery processes per service line — workflows, activities, handoffs, triggers, volumes, and operating procedures</t>
        </is>
      </c>
      <c r="F84" s="2" t="inlineStr">
        <is>
          <t>AI proposes options based on requirements. Human makes design decisions.</t>
        </is>
      </c>
      <c r="G84" s="2" t="inlineStr">
        <is>
          <t>Upstream SOL-04 outputs</t>
        </is>
      </c>
      <c r="H84" s="2" t="inlineStr">
        <is>
          <t>Decision velocity: AI draft available immediately for human refinement</t>
        </is>
      </c>
      <c r="I84" s="2" t="inlineStr">
        <is>
          <t>Solution Architect</t>
        </is>
      </c>
      <c r="J84" s="2" t="n">
        <v>30</v>
      </c>
      <c r="K84" s="2" t="n">
        <v>3</v>
      </c>
      <c r="L84" s="4">
        <f>J84/COUNTIF($B:$B,B84)</f>
        <v/>
      </c>
      <c r="M84" s="5" t="n">
        <v>0.35</v>
      </c>
      <c r="N84" s="10" t="n">
        <v>0.25</v>
      </c>
      <c r="O84" s="6">
        <f>1-(1-M84)*(1-N84)</f>
        <v/>
      </c>
      <c r="P84" s="7">
        <f>L84*O84</f>
        <v/>
      </c>
      <c r="Q84" s="2" t="inlineStr">
        <is>
          <t>Medium</t>
        </is>
      </c>
      <c r="R84" s="2" t="inlineStr">
        <is>
          <t>Moderate</t>
        </is>
      </c>
      <c r="S84" s="2" t="inlineStr">
        <is>
          <t>Moderate</t>
        </is>
      </c>
      <c r="T84" s="2" t="inlineStr">
        <is>
          <t>Domain judgement required for validation</t>
        </is>
      </c>
      <c r="U84" s="2" t="inlineStr">
        <is>
          <t>None</t>
        </is>
      </c>
      <c r="V84" s="2" t="inlineStr">
        <is>
          <t>N/A</t>
        </is>
      </c>
      <c r="W84" s="2" t="inlineStr"/>
    </row>
    <row r="85">
      <c r="A85" s="2" t="inlineStr">
        <is>
          <t>SOL</t>
        </is>
      </c>
      <c r="B85" s="2" t="inlineStr">
        <is>
          <t>SOL-04</t>
        </is>
      </c>
      <c r="C85" s="2" t="inlineStr">
        <is>
          <t>SOL-04.1.2</t>
        </is>
      </c>
      <c r="D85" s="8" t="inlineStr">
        <is>
          <t>Medium</t>
        </is>
      </c>
      <c r="E85" s="2" t="inlineStr">
        <is>
          <t>Design resource and capacity model per service line — what resources deliver this service, at what capacity, with what scalability?</t>
        </is>
      </c>
      <c r="F85" s="2" t="inlineStr">
        <is>
          <t>AI proposes options based on requirements. Human makes design decisions.</t>
        </is>
      </c>
      <c r="G85" s="2" t="inlineStr">
        <is>
          <t>Upstream SOL-04 outputs</t>
        </is>
      </c>
      <c r="H85" s="2" t="inlineStr">
        <is>
          <t>Decision velocity: AI draft available immediately for human refinement</t>
        </is>
      </c>
      <c r="I85" s="2" t="inlineStr">
        <is>
          <t>Solution Architect</t>
        </is>
      </c>
      <c r="J85" s="2" t="n">
        <v>30</v>
      </c>
      <c r="K85" s="2" t="n">
        <v>3</v>
      </c>
      <c r="L85" s="4">
        <f>J85/COUNTIF($B:$B,B85)</f>
        <v/>
      </c>
      <c r="M85" s="5" t="n">
        <v>0.35</v>
      </c>
      <c r="N85" s="10" t="n">
        <v>0.25</v>
      </c>
      <c r="O85" s="6">
        <f>1-(1-M85)*(1-N85)</f>
        <v/>
      </c>
      <c r="P85" s="7">
        <f>L85*O85</f>
        <v/>
      </c>
      <c r="Q85" s="2" t="inlineStr">
        <is>
          <t>Medium</t>
        </is>
      </c>
      <c r="R85" s="2" t="inlineStr">
        <is>
          <t>Moderate</t>
        </is>
      </c>
      <c r="S85" s="2" t="inlineStr">
        <is>
          <t>Moderate</t>
        </is>
      </c>
      <c r="T85" s="2" t="inlineStr">
        <is>
          <t>Domain judgement required for validation</t>
        </is>
      </c>
      <c r="U85" s="2" t="inlineStr">
        <is>
          <t>None</t>
        </is>
      </c>
      <c r="V85" s="2" t="inlineStr">
        <is>
          <t>N/A</t>
        </is>
      </c>
      <c r="W85" s="2" t="inlineStr"/>
    </row>
    <row r="86">
      <c r="A86" s="2" t="inlineStr">
        <is>
          <t>SOL</t>
        </is>
      </c>
      <c r="B86" s="2" t="inlineStr">
        <is>
          <t>SOL-04</t>
        </is>
      </c>
      <c r="C86" s="2" t="inlineStr">
        <is>
          <t>SOL-04.1.3</t>
        </is>
      </c>
      <c r="D86" s="8" t="inlineStr">
        <is>
          <t>Medium</t>
        </is>
      </c>
      <c r="E86" s="2" t="inlineStr">
        <is>
          <t>Design interfaces and dependencies between service lines — how work flows across boundaries, shared services, escalation paths</t>
        </is>
      </c>
      <c r="F86" s="2" t="inlineStr">
        <is>
          <t>AI proposes options based on requirements. Human makes design decisions.</t>
        </is>
      </c>
      <c r="G86" s="2" t="inlineStr">
        <is>
          <t>Upstream SOL-04 outputs</t>
        </is>
      </c>
      <c r="H86" s="2" t="inlineStr">
        <is>
          <t>Decision velocity: AI draft available immediately for human refinement</t>
        </is>
      </c>
      <c r="I86" s="2" t="inlineStr">
        <is>
          <t>Solution Architect</t>
        </is>
      </c>
      <c r="J86" s="2" t="n">
        <v>30</v>
      </c>
      <c r="K86" s="2" t="n">
        <v>3</v>
      </c>
      <c r="L86" s="4">
        <f>J86/COUNTIF($B:$B,B86)</f>
        <v/>
      </c>
      <c r="M86" s="5" t="n">
        <v>0.35</v>
      </c>
      <c r="N86" s="10" t="n">
        <v>0.25</v>
      </c>
      <c r="O86" s="6">
        <f>1-(1-M86)*(1-N86)</f>
        <v/>
      </c>
      <c r="P86" s="7">
        <f>L86*O86</f>
        <v/>
      </c>
      <c r="Q86" s="2" t="inlineStr">
        <is>
          <t>Medium</t>
        </is>
      </c>
      <c r="R86" s="2" t="inlineStr">
        <is>
          <t>Moderate</t>
        </is>
      </c>
      <c r="S86" s="2" t="inlineStr">
        <is>
          <t>Moderate</t>
        </is>
      </c>
      <c r="T86" s="2" t="inlineStr">
        <is>
          <t>Domain judgement required for validation</t>
        </is>
      </c>
      <c r="U86" s="2" t="inlineStr">
        <is>
          <t>None</t>
        </is>
      </c>
      <c r="V86" s="2" t="inlineStr">
        <is>
          <t>N/A</t>
        </is>
      </c>
      <c r="W86" s="2" t="inlineStr"/>
    </row>
    <row r="87">
      <c r="A87" s="2" t="inlineStr">
        <is>
          <t>SOL</t>
        </is>
      </c>
      <c r="B87" s="2" t="inlineStr">
        <is>
          <t>SOL-04</t>
        </is>
      </c>
      <c r="C87" s="2" t="inlineStr">
        <is>
          <t>SOL-04.2.1</t>
        </is>
      </c>
      <c r="D87" s="8" t="inlineStr">
        <is>
          <t>Medium</t>
        </is>
      </c>
      <c r="E87" s="2" t="inlineStr">
        <is>
          <t>Map SLA/KPI commitments to delivery components — which parts of the delivery model are responsible for which performance outcomes?</t>
        </is>
      </c>
      <c r="F87" s="2" t="inlineStr">
        <is>
          <t>AI runs models from structured inputs. Human validates assumptions.</t>
        </is>
      </c>
      <c r="G87" s="2" t="inlineStr">
        <is>
          <t>Upstream SOL-04 outputs</t>
        </is>
      </c>
      <c r="H87" s="2" t="inlineStr">
        <is>
          <t>Decision velocity: AI draft available immediately for human refinement</t>
        </is>
      </c>
      <c r="I87" s="2" t="inlineStr">
        <is>
          <t>Solution Architect</t>
        </is>
      </c>
      <c r="J87" s="2" t="n">
        <v>30</v>
      </c>
      <c r="K87" s="2" t="n">
        <v>3</v>
      </c>
      <c r="L87" s="4">
        <f>J87/COUNTIF($B:$B,B87)</f>
        <v/>
      </c>
      <c r="M87" s="5" t="n">
        <v>0.35</v>
      </c>
      <c r="N87" s="10" t="n">
        <v>0.25</v>
      </c>
      <c r="O87" s="6">
        <f>1-(1-M87)*(1-N87)</f>
        <v/>
      </c>
      <c r="P87" s="7">
        <f>L87*O87</f>
        <v/>
      </c>
      <c r="Q87" s="2" t="inlineStr">
        <is>
          <t>Medium</t>
        </is>
      </c>
      <c r="R87" s="2" t="inlineStr">
        <is>
          <t>Moderate</t>
        </is>
      </c>
      <c r="S87" s="2" t="inlineStr">
        <is>
          <t>Moderate</t>
        </is>
      </c>
      <c r="T87" s="2" t="inlineStr">
        <is>
          <t>Domain judgement required for validation</t>
        </is>
      </c>
      <c r="U87" s="2" t="inlineStr">
        <is>
          <t>None</t>
        </is>
      </c>
      <c r="V87" s="2" t="inlineStr">
        <is>
          <t>N/A</t>
        </is>
      </c>
      <c r="W87" s="2" t="inlineStr"/>
    </row>
    <row r="88">
      <c r="A88" s="2" t="inlineStr">
        <is>
          <t>SOL</t>
        </is>
      </c>
      <c r="B88" s="2" t="inlineStr">
        <is>
          <t>SOL-04</t>
        </is>
      </c>
      <c r="C88" s="2" t="inlineStr">
        <is>
          <t>SOL-04.2.2</t>
        </is>
      </c>
      <c r="D88" s="9" t="inlineStr">
        <is>
          <t>Low</t>
        </is>
      </c>
      <c r="E88" s="2" t="inlineStr">
        <is>
          <t>Design quality assurance and continuous improvement mechanisms — how we monitor, measure, and improve service delivery over the contract term</t>
        </is>
      </c>
      <c r="F88" s="2" t="inlineStr">
        <is>
          <t>AI prepares materials. Delivery is human.</t>
        </is>
      </c>
      <c r="G88" s="2" t="inlineStr">
        <is>
          <t>Upstream SOL-04 outputs</t>
        </is>
      </c>
      <c r="H88" s="2" t="inlineStr">
        <is>
          <t>Minimal: Preparation support only</t>
        </is>
      </c>
      <c r="I88" s="2" t="inlineStr">
        <is>
          <t>Solution Architect</t>
        </is>
      </c>
      <c r="J88" s="2" t="n">
        <v>30</v>
      </c>
      <c r="K88" s="2" t="n">
        <v>3</v>
      </c>
      <c r="L88" s="4">
        <f>J88/COUNTIF($B:$B,B88)</f>
        <v/>
      </c>
      <c r="M88" s="5" t="n">
        <v>0.1</v>
      </c>
      <c r="N88" s="10" t="n">
        <v>0.25</v>
      </c>
      <c r="O88" s="6">
        <f>1-(1-M88)*(1-N88)</f>
        <v/>
      </c>
      <c r="P88" s="7">
        <f>L88*O88</f>
        <v/>
      </c>
      <c r="Q88" s="2" t="inlineStr">
        <is>
          <t>Low</t>
        </is>
      </c>
      <c r="R88" s="2" t="inlineStr">
        <is>
          <t>Low</t>
        </is>
      </c>
      <c r="S88" s="2" t="inlineStr">
        <is>
          <t>Low</t>
        </is>
      </c>
      <c r="T88" s="2" t="inlineStr">
        <is>
          <t>Client-facing interaction is human</t>
        </is>
      </c>
      <c r="U88" s="2" t="inlineStr">
        <is>
          <t>None</t>
        </is>
      </c>
      <c r="V88" s="2" t="inlineStr">
        <is>
          <t>N/A</t>
        </is>
      </c>
      <c r="W88" s="2" t="inlineStr"/>
    </row>
    <row r="89">
      <c r="A89" s="2" t="inlineStr">
        <is>
          <t>SOL</t>
        </is>
      </c>
      <c r="B89" s="2" t="inlineStr">
        <is>
          <t>SOL-04</t>
        </is>
      </c>
      <c r="C89" s="2" t="inlineStr">
        <is>
          <t>SOL-04.2.3</t>
        </is>
      </c>
      <c r="D89" s="9" t="inlineStr">
        <is>
          <t>Low</t>
        </is>
      </c>
      <c r="E89" s="2" t="inlineStr">
        <is>
          <t>Validate service delivery model — confirm it delivers against requirements, is costable for COM-01, and is deliverable within the organisational concept</t>
        </is>
      </c>
      <c r="F89" s="2" t="inlineStr">
        <is>
          <t>AI prepares materials. Delivery is human.</t>
        </is>
      </c>
      <c r="G89" s="2" t="inlineStr">
        <is>
          <t>Upstream SOL-04 outputs</t>
        </is>
      </c>
      <c r="H89" s="2" t="inlineStr">
        <is>
          <t>Minimal: Preparation support only</t>
        </is>
      </c>
      <c r="I89" s="2" t="inlineStr">
        <is>
          <t>Solution Architect</t>
        </is>
      </c>
      <c r="J89" s="2" t="n">
        <v>30</v>
      </c>
      <c r="K89" s="2" t="n">
        <v>3</v>
      </c>
      <c r="L89" s="4">
        <f>J89/COUNTIF($B:$B,B89)</f>
        <v/>
      </c>
      <c r="M89" s="5" t="n">
        <v>0.1</v>
      </c>
      <c r="N89" s="10" t="n">
        <v>0.25</v>
      </c>
      <c r="O89" s="6">
        <f>1-(1-M89)*(1-N89)</f>
        <v/>
      </c>
      <c r="P89" s="7">
        <f>L89*O89</f>
        <v/>
      </c>
      <c r="Q89" s="2" t="inlineStr">
        <is>
          <t>None</t>
        </is>
      </c>
      <c r="R89" s="2" t="inlineStr">
        <is>
          <t>Low</t>
        </is>
      </c>
      <c r="S89" s="2" t="inlineStr">
        <is>
          <t>Low</t>
        </is>
      </c>
      <c r="T89" s="2" t="inlineStr">
        <is>
          <t>Client-facing interaction is human</t>
        </is>
      </c>
      <c r="U89" s="2" t="inlineStr">
        <is>
          <t>None</t>
        </is>
      </c>
      <c r="V89" s="2" t="inlineStr">
        <is>
          <t>N/A</t>
        </is>
      </c>
      <c r="W89" s="2" t="inlineStr"/>
    </row>
    <row r="90">
      <c r="A90" s="2" t="inlineStr">
        <is>
          <t>SOL</t>
        </is>
      </c>
      <c r="B90" s="2" t="inlineStr">
        <is>
          <t>SOL-05</t>
        </is>
      </c>
      <c r="C90" s="2" t="inlineStr">
        <is>
          <t>SOL-05.1.1</t>
        </is>
      </c>
      <c r="D90" s="3" t="inlineStr">
        <is>
          <t>High</t>
        </is>
      </c>
      <c r="E90" s="2" t="inlineStr">
        <is>
          <t>Design target technology architecture — platforms, infrastructure, applications, and how they support the service delivery model</t>
        </is>
      </c>
      <c r="F90" s="2" t="inlineStr">
        <is>
          <t>AI executes task autonomously from structured inputs. Human reviews.</t>
        </is>
      </c>
      <c r="G90" s="2" t="inlineStr">
        <is>
          <t>Upstream SOL-05 outputs</t>
        </is>
      </c>
      <c r="H90" s="2" t="inlineStr">
        <is>
          <t>Time reduction: Task largely automated from structured data</t>
        </is>
      </c>
      <c r="I90" s="2" t="inlineStr">
        <is>
          <t>Technical Lead</t>
        </is>
      </c>
      <c r="J90" s="2" t="n">
        <v>20</v>
      </c>
      <c r="K90" s="2" t="n">
        <v>2</v>
      </c>
      <c r="L90" s="4">
        <f>J90/COUNTIF($B:$B,B90)</f>
        <v/>
      </c>
      <c r="M90" s="5" t="n">
        <v>0.6</v>
      </c>
      <c r="N90" s="10" t="n">
        <v>0.25</v>
      </c>
      <c r="O90" s="6">
        <f>1-(1-M90)*(1-N90)</f>
        <v/>
      </c>
      <c r="P90" s="7">
        <f>L90*O90</f>
        <v/>
      </c>
      <c r="Q90" s="2" t="inlineStr">
        <is>
          <t>Medium</t>
        </is>
      </c>
      <c r="R90" s="2" t="inlineStr">
        <is>
          <t>Moderate</t>
        </is>
      </c>
      <c r="S90" s="2" t="inlineStr">
        <is>
          <t>Yes</t>
        </is>
      </c>
      <c r="T90" s="2" t="inlineStr">
        <is>
          <t>Structured data must be available</t>
        </is>
      </c>
      <c r="U90" s="2" t="inlineStr">
        <is>
          <t>None</t>
        </is>
      </c>
      <c r="V90" s="2" t="inlineStr">
        <is>
          <t>N/A</t>
        </is>
      </c>
      <c r="W90" s="2" t="inlineStr"/>
    </row>
    <row r="91">
      <c r="A91" s="2" t="inlineStr">
        <is>
          <t>SOL</t>
        </is>
      </c>
      <c r="B91" s="2" t="inlineStr">
        <is>
          <t>SOL-05</t>
        </is>
      </c>
      <c r="C91" s="2" t="inlineStr">
        <is>
          <t>SOL-05.1.2</t>
        </is>
      </c>
      <c r="D91" s="8" t="inlineStr">
        <is>
          <t>Medium</t>
        </is>
      </c>
      <c r="E91" s="2" t="inlineStr">
        <is>
          <t>Assess build vs buy vs reuse decisions — what do we develop bespoke, what COTS/partner platforms do we adopt, what existing systems do we retain and enhance?</t>
        </is>
      </c>
      <c r="F91" s="2" t="inlineStr">
        <is>
          <t>AI produces first draft. Human refines with domain judgement.</t>
        </is>
      </c>
      <c r="G91" s="2" t="inlineStr">
        <is>
          <t>Upstream SOL-05 outputs</t>
        </is>
      </c>
      <c r="H91" s="2" t="inlineStr">
        <is>
          <t>Decision velocity: AI draft available immediately for human refinement</t>
        </is>
      </c>
      <c r="I91" s="2" t="inlineStr">
        <is>
          <t>Technical Lead</t>
        </is>
      </c>
      <c r="J91" s="2" t="n">
        <v>20</v>
      </c>
      <c r="K91" s="2" t="n">
        <v>2</v>
      </c>
      <c r="L91" s="4">
        <f>J91/COUNTIF($B:$B,B91)</f>
        <v/>
      </c>
      <c r="M91" s="5" t="n">
        <v>0.35</v>
      </c>
      <c r="N91" s="10" t="n">
        <v>0.25</v>
      </c>
      <c r="O91" s="6">
        <f>1-(1-M91)*(1-N91)</f>
        <v/>
      </c>
      <c r="P91" s="7">
        <f>L91*O91</f>
        <v/>
      </c>
      <c r="Q91" s="2" t="inlineStr">
        <is>
          <t>Medium</t>
        </is>
      </c>
      <c r="R91" s="2" t="inlineStr">
        <is>
          <t>Moderate</t>
        </is>
      </c>
      <c r="S91" s="2" t="inlineStr">
        <is>
          <t>Moderate</t>
        </is>
      </c>
      <c r="T91" s="2" t="inlineStr">
        <is>
          <t>Domain judgement required for validation</t>
        </is>
      </c>
      <c r="U91" s="2" t="inlineStr">
        <is>
          <t>None</t>
        </is>
      </c>
      <c r="V91" s="2" t="inlineStr">
        <is>
          <t>N/A</t>
        </is>
      </c>
      <c r="W91" s="2" t="inlineStr"/>
    </row>
    <row r="92">
      <c r="A92" s="2" t="inlineStr">
        <is>
          <t>SOL</t>
        </is>
      </c>
      <c r="B92" s="2" t="inlineStr">
        <is>
          <t>SOL-05</t>
        </is>
      </c>
      <c r="C92" s="2" t="inlineStr">
        <is>
          <t>SOL-05.1.3</t>
        </is>
      </c>
      <c r="D92" s="8" t="inlineStr">
        <is>
          <t>Medium</t>
        </is>
      </c>
      <c r="E92" s="2" t="inlineStr">
        <is>
          <t>Design cyber security and information assurance approach — security architecture, data classification, accreditation requirements</t>
        </is>
      </c>
      <c r="F92" s="2" t="inlineStr">
        <is>
          <t>AI proposes options based on requirements. Human makes design decisions.</t>
        </is>
      </c>
      <c r="G92" s="2" t="inlineStr">
        <is>
          <t>Upstream SOL-05 outputs</t>
        </is>
      </c>
      <c r="H92" s="2" t="inlineStr">
        <is>
          <t>Decision velocity: AI draft available immediately for human refinement</t>
        </is>
      </c>
      <c r="I92" s="2" t="inlineStr">
        <is>
          <t>Technical Lead</t>
        </is>
      </c>
      <c r="J92" s="2" t="n">
        <v>20</v>
      </c>
      <c r="K92" s="2" t="n">
        <v>2</v>
      </c>
      <c r="L92" s="4">
        <f>J92/COUNTIF($B:$B,B92)</f>
        <v/>
      </c>
      <c r="M92" s="5" t="n">
        <v>0.35</v>
      </c>
      <c r="N92" s="10" t="n">
        <v>0.25</v>
      </c>
      <c r="O92" s="6">
        <f>1-(1-M92)*(1-N92)</f>
        <v/>
      </c>
      <c r="P92" s="7">
        <f>L92*O92</f>
        <v/>
      </c>
      <c r="Q92" s="2" t="inlineStr">
        <is>
          <t>Medium</t>
        </is>
      </c>
      <c r="R92" s="2" t="inlineStr">
        <is>
          <t>Moderate</t>
        </is>
      </c>
      <c r="S92" s="2" t="inlineStr">
        <is>
          <t>Moderate</t>
        </is>
      </c>
      <c r="T92" s="2" t="inlineStr">
        <is>
          <t>Domain judgement required for validation</t>
        </is>
      </c>
      <c r="U92" s="2" t="inlineStr">
        <is>
          <t>None</t>
        </is>
      </c>
      <c r="V92" s="2" t="inlineStr">
        <is>
          <t>N/A</t>
        </is>
      </c>
      <c r="W92" s="2" t="inlineStr"/>
    </row>
    <row r="93">
      <c r="A93" s="2" t="inlineStr">
        <is>
          <t>SOL</t>
        </is>
      </c>
      <c r="B93" s="2" t="inlineStr">
        <is>
          <t>SOL-05</t>
        </is>
      </c>
      <c r="C93" s="2" t="inlineStr">
        <is>
          <t>SOL-05.2.1</t>
        </is>
      </c>
      <c r="D93" s="8" t="inlineStr">
        <is>
          <t>Medium</t>
        </is>
      </c>
      <c r="E93" s="2" t="inlineStr">
        <is>
          <t>Design data architecture and migration approach — data model, data flows, migration from legacy systems, data quality strategy</t>
        </is>
      </c>
      <c r="F93" s="2" t="inlineStr">
        <is>
          <t>AI proposes options based on requirements. Human makes design decisions.</t>
        </is>
      </c>
      <c r="G93" s="2" t="inlineStr">
        <is>
          <t>Upstream SOL-05 outputs</t>
        </is>
      </c>
      <c r="H93" s="2" t="inlineStr">
        <is>
          <t>Decision velocity: AI draft available immediately for human refinement</t>
        </is>
      </c>
      <c r="I93" s="2" t="inlineStr">
        <is>
          <t>Technical Lead</t>
        </is>
      </c>
      <c r="J93" s="2" t="n">
        <v>20</v>
      </c>
      <c r="K93" s="2" t="n">
        <v>2</v>
      </c>
      <c r="L93" s="4">
        <f>J93/COUNTIF($B:$B,B93)</f>
        <v/>
      </c>
      <c r="M93" s="5" t="n">
        <v>0.35</v>
      </c>
      <c r="N93" s="10" t="n">
        <v>0.25</v>
      </c>
      <c r="O93" s="6">
        <f>1-(1-M93)*(1-N93)</f>
        <v/>
      </c>
      <c r="P93" s="7">
        <f>L93*O93</f>
        <v/>
      </c>
      <c r="Q93" s="2" t="inlineStr">
        <is>
          <t>Medium</t>
        </is>
      </c>
      <c r="R93" s="2" t="inlineStr">
        <is>
          <t>Moderate</t>
        </is>
      </c>
      <c r="S93" s="2" t="inlineStr">
        <is>
          <t>Moderate</t>
        </is>
      </c>
      <c r="T93" s="2" t="inlineStr">
        <is>
          <t>Domain judgement required for validation</t>
        </is>
      </c>
      <c r="U93" s="2" t="inlineStr">
        <is>
          <t>None</t>
        </is>
      </c>
      <c r="V93" s="2" t="inlineStr">
        <is>
          <t>N/A</t>
        </is>
      </c>
      <c r="W93" s="2" t="inlineStr"/>
    </row>
    <row r="94">
      <c r="A94" s="2" t="inlineStr">
        <is>
          <t>SOL</t>
        </is>
      </c>
      <c r="B94" s="2" t="inlineStr">
        <is>
          <t>SOL-05</t>
        </is>
      </c>
      <c r="C94" s="2" t="inlineStr">
        <is>
          <t>SOL-05.2.2</t>
        </is>
      </c>
      <c r="D94" s="8" t="inlineStr">
        <is>
          <t>Medium</t>
        </is>
      </c>
      <c r="E94" s="2" t="inlineStr">
        <is>
          <t>Design integration architecture — how systems connect, APIs, interfaces with client systems and third-party platforms</t>
        </is>
      </c>
      <c r="F94" s="2" t="inlineStr">
        <is>
          <t>AI proposes options based on requirements. Human makes design decisions.</t>
        </is>
      </c>
      <c r="G94" s="2" t="inlineStr">
        <is>
          <t>Upstream SOL-05 outputs</t>
        </is>
      </c>
      <c r="H94" s="2" t="inlineStr">
        <is>
          <t>Decision velocity: AI draft available immediately for human refinement</t>
        </is>
      </c>
      <c r="I94" s="2" t="inlineStr">
        <is>
          <t>Technical Lead</t>
        </is>
      </c>
      <c r="J94" s="2" t="n">
        <v>20</v>
      </c>
      <c r="K94" s="2" t="n">
        <v>2</v>
      </c>
      <c r="L94" s="4">
        <f>J94/COUNTIF($B:$B,B94)</f>
        <v/>
      </c>
      <c r="M94" s="5" t="n">
        <v>0.35</v>
      </c>
      <c r="N94" s="10" t="n">
        <v>0.25</v>
      </c>
      <c r="O94" s="6">
        <f>1-(1-M94)*(1-N94)</f>
        <v/>
      </c>
      <c r="P94" s="7">
        <f>L94*O94</f>
        <v/>
      </c>
      <c r="Q94" s="2" t="inlineStr">
        <is>
          <t>Medium</t>
        </is>
      </c>
      <c r="R94" s="2" t="inlineStr">
        <is>
          <t>Moderate</t>
        </is>
      </c>
      <c r="S94" s="2" t="inlineStr">
        <is>
          <t>Moderate</t>
        </is>
      </c>
      <c r="T94" s="2" t="inlineStr">
        <is>
          <t>Domain judgement required for validation</t>
        </is>
      </c>
      <c r="U94" s="2" t="inlineStr">
        <is>
          <t>None</t>
        </is>
      </c>
      <c r="V94" s="2" t="inlineStr">
        <is>
          <t>N/A</t>
        </is>
      </c>
      <c r="W94" s="2" t="inlineStr"/>
    </row>
    <row r="95">
      <c r="A95" s="2" t="inlineStr">
        <is>
          <t>SOL</t>
        </is>
      </c>
      <c r="B95" s="2" t="inlineStr">
        <is>
          <t>SOL-05</t>
        </is>
      </c>
      <c r="C95" s="2" t="inlineStr">
        <is>
          <t>SOL-05.2.3</t>
        </is>
      </c>
      <c r="D95" s="9" t="inlineStr">
        <is>
          <t>Low</t>
        </is>
      </c>
      <c r="E95" s="2" t="inlineStr">
        <is>
          <t>Validate technology solution — confirm it enables the delivery model, is costable, is deliverable, and meets security requirements</t>
        </is>
      </c>
      <c r="F95" s="2" t="inlineStr">
        <is>
          <t>AI prepares materials. Delivery is human.</t>
        </is>
      </c>
      <c r="G95" s="2" t="inlineStr">
        <is>
          <t>Upstream SOL-05 outputs</t>
        </is>
      </c>
      <c r="H95" s="2" t="inlineStr">
        <is>
          <t>Minimal: Preparation support only</t>
        </is>
      </c>
      <c r="I95" s="2" t="inlineStr">
        <is>
          <t>Technical Lead</t>
        </is>
      </c>
      <c r="J95" s="2" t="n">
        <v>20</v>
      </c>
      <c r="K95" s="2" t="n">
        <v>2</v>
      </c>
      <c r="L95" s="4">
        <f>J95/COUNTIF($B:$B,B95)</f>
        <v/>
      </c>
      <c r="M95" s="5" t="n">
        <v>0.1</v>
      </c>
      <c r="N95" s="10" t="n">
        <v>0.25</v>
      </c>
      <c r="O95" s="6">
        <f>1-(1-M95)*(1-N95)</f>
        <v/>
      </c>
      <c r="P95" s="7">
        <f>L95*O95</f>
        <v/>
      </c>
      <c r="Q95" s="2" t="inlineStr">
        <is>
          <t>None</t>
        </is>
      </c>
      <c r="R95" s="2" t="inlineStr">
        <is>
          <t>Low</t>
        </is>
      </c>
      <c r="S95" s="2" t="inlineStr">
        <is>
          <t>Low</t>
        </is>
      </c>
      <c r="T95" s="2" t="inlineStr">
        <is>
          <t>Client-facing interaction is human</t>
        </is>
      </c>
      <c r="U95" s="2" t="inlineStr">
        <is>
          <t>None</t>
        </is>
      </c>
      <c r="V95" s="2" t="inlineStr">
        <is>
          <t>N/A</t>
        </is>
      </c>
      <c r="W95" s="2" t="inlineStr"/>
    </row>
    <row r="96">
      <c r="A96" s="2" t="inlineStr">
        <is>
          <t>SOL</t>
        </is>
      </c>
      <c r="B96" s="2" t="inlineStr">
        <is>
          <t>SOL-06</t>
        </is>
      </c>
      <c r="C96" s="2" t="inlineStr">
        <is>
          <t>SOL-06.1.1</t>
        </is>
      </c>
      <c r="D96" s="3" t="inlineStr">
        <is>
          <t>High</t>
        </is>
      </c>
      <c r="E96" s="2" t="inlineStr">
        <is>
          <t>Design target workforce structure — roles, grades, FTEs, reporting lines, mapped to service lines and organisational concept</t>
        </is>
      </c>
      <c r="F96" s="2" t="inlineStr">
        <is>
          <t>AI maps and cross-references data systematically</t>
        </is>
      </c>
      <c r="G96" s="2" t="inlineStr">
        <is>
          <t>Upstream SOL-06 outputs</t>
        </is>
      </c>
      <c r="H96" s="2" t="inlineStr">
        <is>
          <t>Time reduction: Task largely automated from structured data</t>
        </is>
      </c>
      <c r="I96" s="2" t="inlineStr">
        <is>
          <t>HR Lead</t>
        </is>
      </c>
      <c r="J96" s="2" t="n">
        <v>8</v>
      </c>
      <c r="K96" s="2" t="n">
        <v>1</v>
      </c>
      <c r="L96" s="4">
        <f>J96/COUNTIF($B:$B,B96)</f>
        <v/>
      </c>
      <c r="M96" s="5" t="n">
        <v>0.6</v>
      </c>
      <c r="N96" s="5" t="n">
        <v>0.15</v>
      </c>
      <c r="O96" s="6">
        <f>1-(1-M96)*(1-N96)</f>
        <v/>
      </c>
      <c r="P96" s="7">
        <f>L96*O96</f>
        <v/>
      </c>
      <c r="Q96" s="2" t="inlineStr">
        <is>
          <t>High</t>
        </is>
      </c>
      <c r="R96" s="2" t="inlineStr">
        <is>
          <t>Yes</t>
        </is>
      </c>
      <c r="S96" s="2" t="inlineStr">
        <is>
          <t>Yes</t>
        </is>
      </c>
      <c r="T96" s="2" t="inlineStr">
        <is>
          <t>Structured data must be available</t>
        </is>
      </c>
      <c r="U96" s="2" t="inlineStr">
        <is>
          <t>None</t>
        </is>
      </c>
      <c r="V96" s="2" t="inlineStr">
        <is>
          <t>N/A</t>
        </is>
      </c>
      <c r="W96" s="2" t="inlineStr"/>
    </row>
    <row r="97">
      <c r="A97" s="2" t="inlineStr">
        <is>
          <t>SOL</t>
        </is>
      </c>
      <c r="B97" s="2" t="inlineStr">
        <is>
          <t>SOL-06</t>
        </is>
      </c>
      <c r="C97" s="2" t="inlineStr">
        <is>
          <t>SOL-06.1.2</t>
        </is>
      </c>
      <c r="D97" s="8" t="inlineStr">
        <is>
          <t>Medium</t>
        </is>
      </c>
      <c r="E97" s="2" t="inlineStr">
        <is>
          <t>Define skills and capability requirements per role — what competencies, qualifications, clearances, and experience does the future workforce need?</t>
        </is>
      </c>
      <c r="F97" s="2" t="inlineStr">
        <is>
          <t>AI accelerates with draft/analysis. Human applies domain judgement.</t>
        </is>
      </c>
      <c r="G97" s="2" t="inlineStr">
        <is>
          <t>Upstream SOL-06 outputs</t>
        </is>
      </c>
      <c r="H97" s="2" t="inlineStr">
        <is>
          <t>Decision velocity: AI draft available immediately for human refinement</t>
        </is>
      </c>
      <c r="I97" s="2" t="inlineStr">
        <is>
          <t>HR Lead</t>
        </is>
      </c>
      <c r="J97" s="2" t="n">
        <v>8</v>
      </c>
      <c r="K97" s="2" t="n">
        <v>1</v>
      </c>
      <c r="L97" s="4">
        <f>J97/COUNTIF($B:$B,B97)</f>
        <v/>
      </c>
      <c r="M97" s="5" t="n">
        <v>0.35</v>
      </c>
      <c r="N97" s="5" t="n">
        <v>0.15</v>
      </c>
      <c r="O97" s="6">
        <f>1-(1-M97)*(1-N97)</f>
        <v/>
      </c>
      <c r="P97" s="7">
        <f>L97*O97</f>
        <v/>
      </c>
      <c r="Q97" s="2" t="inlineStr">
        <is>
          <t>Medium</t>
        </is>
      </c>
      <c r="R97" s="2" t="inlineStr">
        <is>
          <t>Moderate</t>
        </is>
      </c>
      <c r="S97" s="2" t="inlineStr">
        <is>
          <t>Moderate</t>
        </is>
      </c>
      <c r="T97" s="2" t="inlineStr">
        <is>
          <t>Domain judgement required for validation</t>
        </is>
      </c>
      <c r="U97" s="2" t="inlineStr">
        <is>
          <t>None</t>
        </is>
      </c>
      <c r="V97" s="2" t="inlineStr">
        <is>
          <t>N/A</t>
        </is>
      </c>
      <c r="W97" s="2" t="inlineStr"/>
    </row>
    <row r="98">
      <c r="A98" s="2" t="inlineStr">
        <is>
          <t>SOL</t>
        </is>
      </c>
      <c r="B98" s="2" t="inlineStr">
        <is>
          <t>SOL-06</t>
        </is>
      </c>
      <c r="C98" s="2" t="inlineStr">
        <is>
          <t>SOL-06.2.1</t>
        </is>
      </c>
      <c r="D98" s="8" t="inlineStr">
        <is>
          <t>Medium</t>
        </is>
      </c>
      <c r="E98" s="2" t="inlineStr">
        <is>
          <t>Analyse TUPE-transferring workforce — headcount, terms and conditions, pensions, collective agreements, protected rights, and legal obligations</t>
        </is>
      </c>
      <c r="F98" s="2" t="inlineStr">
        <is>
          <t>AI provides analysis and assessment. Human validates with judgement.</t>
        </is>
      </c>
      <c r="G98" s="2" t="inlineStr">
        <is>
          <t>Upstream SOL-06 outputs</t>
        </is>
      </c>
      <c r="H98" s="2" t="inlineStr">
        <is>
          <t>Decision velocity: AI draft available immediately for human refinement</t>
        </is>
      </c>
      <c r="I98" s="2" t="inlineStr">
        <is>
          <t>HR Lead</t>
        </is>
      </c>
      <c r="J98" s="2" t="n">
        <v>8</v>
      </c>
      <c r="K98" s="2" t="n">
        <v>1</v>
      </c>
      <c r="L98" s="4">
        <f>J98/COUNTIF($B:$B,B98)</f>
        <v/>
      </c>
      <c r="M98" s="5" t="n">
        <v>0.35</v>
      </c>
      <c r="N98" s="5" t="n">
        <v>0.15</v>
      </c>
      <c r="O98" s="6">
        <f>1-(1-M98)*(1-N98)</f>
        <v/>
      </c>
      <c r="P98" s="7">
        <f>L98*O98</f>
        <v/>
      </c>
      <c r="Q98" s="2" t="inlineStr">
        <is>
          <t>Medium</t>
        </is>
      </c>
      <c r="R98" s="2" t="inlineStr">
        <is>
          <t>Moderate</t>
        </is>
      </c>
      <c r="S98" s="2" t="inlineStr">
        <is>
          <t>Moderate</t>
        </is>
      </c>
      <c r="T98" s="2" t="inlineStr">
        <is>
          <t>Domain judgement required for validation</t>
        </is>
      </c>
      <c r="U98" s="2" t="inlineStr">
        <is>
          <t>None</t>
        </is>
      </c>
      <c r="V98" s="2" t="inlineStr">
        <is>
          <t>N/A</t>
        </is>
      </c>
      <c r="W98" s="2" t="inlineStr"/>
    </row>
    <row r="99">
      <c r="A99" s="2" t="inlineStr">
        <is>
          <t>SOL</t>
        </is>
      </c>
      <c r="B99" s="2" t="inlineStr">
        <is>
          <t>SOL-06</t>
        </is>
      </c>
      <c r="C99" s="2" t="inlineStr">
        <is>
          <t>SOL-06.2.2</t>
        </is>
      </c>
      <c r="D99" s="8" t="inlineStr">
        <is>
          <t>Medium</t>
        </is>
      </c>
      <c r="E99" s="2" t="inlineStr">
        <is>
          <t>Conduct workforce gap analysis — delta between transferring workforce and target staffing model: recruit, redeploy, upskill, or restructure</t>
        </is>
      </c>
      <c r="F99" s="2" t="inlineStr">
        <is>
          <t>AI provides analysis and assessment. Human validates with judgement.</t>
        </is>
      </c>
      <c r="G99" s="2" t="inlineStr">
        <is>
          <t>Upstream SOL-06 outputs</t>
        </is>
      </c>
      <c r="H99" s="2" t="inlineStr">
        <is>
          <t>Decision velocity: AI draft available immediately for human refinement</t>
        </is>
      </c>
      <c r="I99" s="2" t="inlineStr">
        <is>
          <t>HR Lead</t>
        </is>
      </c>
      <c r="J99" s="2" t="n">
        <v>8</v>
      </c>
      <c r="K99" s="2" t="n">
        <v>1</v>
      </c>
      <c r="L99" s="4">
        <f>J99/COUNTIF($B:$B,B99)</f>
        <v/>
      </c>
      <c r="M99" s="5" t="n">
        <v>0.35</v>
      </c>
      <c r="N99" s="5" t="n">
        <v>0.15</v>
      </c>
      <c r="O99" s="6">
        <f>1-(1-M99)*(1-N99)</f>
        <v/>
      </c>
      <c r="P99" s="7">
        <f>L99*O99</f>
        <v/>
      </c>
      <c r="Q99" s="2" t="inlineStr">
        <is>
          <t>Medium</t>
        </is>
      </c>
      <c r="R99" s="2" t="inlineStr">
        <is>
          <t>Moderate</t>
        </is>
      </c>
      <c r="S99" s="2" t="inlineStr">
        <is>
          <t>Moderate</t>
        </is>
      </c>
      <c r="T99" s="2" t="inlineStr">
        <is>
          <t>Domain judgement required for validation</t>
        </is>
      </c>
      <c r="U99" s="2" t="inlineStr">
        <is>
          <t>None</t>
        </is>
      </c>
      <c r="V99" s="2" t="inlineStr">
        <is>
          <t>N/A</t>
        </is>
      </c>
      <c r="W99" s="2" t="inlineStr"/>
    </row>
    <row r="100">
      <c r="A100" s="2" t="inlineStr">
        <is>
          <t>SOL</t>
        </is>
      </c>
      <c r="B100" s="2" t="inlineStr">
        <is>
          <t>SOL-06</t>
        </is>
      </c>
      <c r="C100" s="2" t="inlineStr">
        <is>
          <t>SOL-06.2.3</t>
        </is>
      </c>
      <c r="D100" s="9" t="inlineStr">
        <is>
          <t>Low</t>
        </is>
      </c>
      <c r="E100" s="2" t="inlineStr">
        <is>
          <t>Validate staffing model — confirm it delivers the service, is TUPE-compliant, and is costable for COM-01</t>
        </is>
      </c>
      <c r="F100" s="2" t="inlineStr">
        <is>
          <t>AI prepares materials. Delivery is human.</t>
        </is>
      </c>
      <c r="G100" s="2" t="inlineStr">
        <is>
          <t>Upstream SOL-06 outputs</t>
        </is>
      </c>
      <c r="H100" s="2" t="inlineStr">
        <is>
          <t>Minimal: Preparation support only</t>
        </is>
      </c>
      <c r="I100" s="2" t="inlineStr">
        <is>
          <t>HR Lead</t>
        </is>
      </c>
      <c r="J100" s="2" t="n">
        <v>8</v>
      </c>
      <c r="K100" s="2" t="n">
        <v>1</v>
      </c>
      <c r="L100" s="4">
        <f>J100/COUNTIF($B:$B,B100)</f>
        <v/>
      </c>
      <c r="M100" s="5" t="n">
        <v>0.1</v>
      </c>
      <c r="N100" s="5" t="n">
        <v>0.15</v>
      </c>
      <c r="O100" s="6">
        <f>1-(1-M100)*(1-N100)</f>
        <v/>
      </c>
      <c r="P100" s="7">
        <f>L100*O100</f>
        <v/>
      </c>
      <c r="Q100" s="2" t="inlineStr">
        <is>
          <t>None</t>
        </is>
      </c>
      <c r="R100" s="2" t="inlineStr">
        <is>
          <t>Low</t>
        </is>
      </c>
      <c r="S100" s="2" t="inlineStr">
        <is>
          <t>Low</t>
        </is>
      </c>
      <c r="T100" s="2" t="inlineStr">
        <is>
          <t>Client-facing interaction is human</t>
        </is>
      </c>
      <c r="U100" s="2" t="inlineStr">
        <is>
          <t>None</t>
        </is>
      </c>
      <c r="V100" s="2" t="inlineStr">
        <is>
          <t>N/A</t>
        </is>
      </c>
      <c r="W100" s="2" t="inlineStr"/>
    </row>
    <row r="101">
      <c r="A101" s="2" t="inlineStr">
        <is>
          <t>SOL</t>
        </is>
      </c>
      <c r="B101" s="2" t="inlineStr">
        <is>
          <t>SOL-07</t>
        </is>
      </c>
      <c r="C101" s="2" t="inlineStr">
        <is>
          <t>SOL-07.1.1</t>
        </is>
      </c>
      <c r="D101" s="8" t="inlineStr">
        <is>
          <t>Medium</t>
        </is>
      </c>
      <c r="E101" s="2" t="inlineStr">
        <is>
          <t>Design the transition approach and phasing — pre-contract, day one, transition period, steady state — with service continuity as the overriding constraint</t>
        </is>
      </c>
      <c r="F101" s="2" t="inlineStr">
        <is>
          <t>AI proposes options based on requirements. Human makes design decisions.</t>
        </is>
      </c>
      <c r="G101" s="2" t="inlineStr">
        <is>
          <t>Upstream SOL-07 outputs</t>
        </is>
      </c>
      <c r="H101" s="2" t="inlineStr">
        <is>
          <t>Decision velocity: AI draft available immediately for human refinement</t>
        </is>
      </c>
      <c r="I101" s="2" t="inlineStr">
        <is>
          <t>Delivery Director</t>
        </is>
      </c>
      <c r="J101" s="2" t="n">
        <v>16</v>
      </c>
      <c r="K101" s="2" t="n">
        <v>2</v>
      </c>
      <c r="L101" s="4">
        <f>J101/COUNTIF($B:$B,B101)</f>
        <v/>
      </c>
      <c r="M101" s="5" t="n">
        <v>0.35</v>
      </c>
      <c r="N101" s="5" t="n">
        <v>0.15</v>
      </c>
      <c r="O101" s="6">
        <f>1-(1-M101)*(1-N101)</f>
        <v/>
      </c>
      <c r="P101" s="7">
        <f>L101*O101</f>
        <v/>
      </c>
      <c r="Q101" s="2" t="inlineStr">
        <is>
          <t>Medium</t>
        </is>
      </c>
      <c r="R101" s="2" t="inlineStr">
        <is>
          <t>Moderate</t>
        </is>
      </c>
      <c r="S101" s="2" t="inlineStr">
        <is>
          <t>Moderate</t>
        </is>
      </c>
      <c r="T101" s="2" t="inlineStr">
        <is>
          <t>Domain judgement required for validation</t>
        </is>
      </c>
      <c r="U101" s="2" t="inlineStr">
        <is>
          <t>None</t>
        </is>
      </c>
      <c r="V101" s="2" t="inlineStr">
        <is>
          <t>N/A</t>
        </is>
      </c>
      <c r="W101" s="2" t="inlineStr"/>
    </row>
    <row r="102">
      <c r="A102" s="2" t="inlineStr">
        <is>
          <t>SOL</t>
        </is>
      </c>
      <c r="B102" s="2" t="inlineStr">
        <is>
          <t>SOL-07</t>
        </is>
      </c>
      <c r="C102" s="2" t="inlineStr">
        <is>
          <t>SOL-07.1.2</t>
        </is>
      </c>
      <c r="D102" s="8" t="inlineStr">
        <is>
          <t>Medium</t>
        </is>
      </c>
      <c r="E102" s="2" t="inlineStr">
        <is>
          <t>Plan people transition — TUPE transfer process, day-one workforce readiness, induction, gap recruitment timeline, training programme</t>
        </is>
      </c>
      <c r="F102" s="2" t="inlineStr">
        <is>
          <t>AI drafts plan from upstream outputs. Human validates and refines.</t>
        </is>
      </c>
      <c r="G102" s="2" t="inlineStr">
        <is>
          <t>Upstream SOL-07 outputs</t>
        </is>
      </c>
      <c r="H102" s="2" t="inlineStr">
        <is>
          <t>Decision velocity: AI draft available immediately for human refinement</t>
        </is>
      </c>
      <c r="I102" s="2" t="inlineStr">
        <is>
          <t>Delivery Director</t>
        </is>
      </c>
      <c r="J102" s="2" t="n">
        <v>16</v>
      </c>
      <c r="K102" s="2" t="n">
        <v>2</v>
      </c>
      <c r="L102" s="4">
        <f>J102/COUNTIF($B:$B,B102)</f>
        <v/>
      </c>
      <c r="M102" s="5" t="n">
        <v>0.35</v>
      </c>
      <c r="N102" s="5" t="n">
        <v>0.15</v>
      </c>
      <c r="O102" s="6">
        <f>1-(1-M102)*(1-N102)</f>
        <v/>
      </c>
      <c r="P102" s="7">
        <f>L102*O102</f>
        <v/>
      </c>
      <c r="Q102" s="2" t="inlineStr">
        <is>
          <t>Medium</t>
        </is>
      </c>
      <c r="R102" s="2" t="inlineStr">
        <is>
          <t>Moderate</t>
        </is>
      </c>
      <c r="S102" s="2" t="inlineStr">
        <is>
          <t>Moderate</t>
        </is>
      </c>
      <c r="T102" s="2" t="inlineStr">
        <is>
          <t>Domain judgement required for validation</t>
        </is>
      </c>
      <c r="U102" s="2" t="inlineStr">
        <is>
          <t>None</t>
        </is>
      </c>
      <c r="V102" s="2" t="inlineStr">
        <is>
          <t>N/A</t>
        </is>
      </c>
      <c r="W102" s="2" t="inlineStr"/>
    </row>
    <row r="103">
      <c r="A103" s="2" t="inlineStr">
        <is>
          <t>SOL</t>
        </is>
      </c>
      <c r="B103" s="2" t="inlineStr">
        <is>
          <t>SOL-07</t>
        </is>
      </c>
      <c r="C103" s="2" t="inlineStr">
        <is>
          <t>SOL-07.1.3</t>
        </is>
      </c>
      <c r="D103" s="8" t="inlineStr">
        <is>
          <t>Medium</t>
        </is>
      </c>
      <c r="E103" s="2" t="inlineStr">
        <is>
          <t>Plan technology and data transition — system migration, data migration, new platform deployment, parallel running, legacy decommission</t>
        </is>
      </c>
      <c r="F103" s="2" t="inlineStr">
        <is>
          <t>AI drafts plan from upstream outputs. Human validates and refines.</t>
        </is>
      </c>
      <c r="G103" s="2" t="inlineStr">
        <is>
          <t>Upstream SOL-07 outputs</t>
        </is>
      </c>
      <c r="H103" s="2" t="inlineStr">
        <is>
          <t>Decision velocity: AI draft available immediately for human refinement</t>
        </is>
      </c>
      <c r="I103" s="2" t="inlineStr">
        <is>
          <t>Delivery Director</t>
        </is>
      </c>
      <c r="J103" s="2" t="n">
        <v>16</v>
      </c>
      <c r="K103" s="2" t="n">
        <v>2</v>
      </c>
      <c r="L103" s="4">
        <f>J103/COUNTIF($B:$B,B103)</f>
        <v/>
      </c>
      <c r="M103" s="5" t="n">
        <v>0.35</v>
      </c>
      <c r="N103" s="5" t="n">
        <v>0.15</v>
      </c>
      <c r="O103" s="6">
        <f>1-(1-M103)*(1-N103)</f>
        <v/>
      </c>
      <c r="P103" s="7">
        <f>L103*O103</f>
        <v/>
      </c>
      <c r="Q103" s="2" t="inlineStr">
        <is>
          <t>Medium</t>
        </is>
      </c>
      <c r="R103" s="2" t="inlineStr">
        <is>
          <t>Moderate</t>
        </is>
      </c>
      <c r="S103" s="2" t="inlineStr">
        <is>
          <t>Moderate</t>
        </is>
      </c>
      <c r="T103" s="2" t="inlineStr">
        <is>
          <t>Domain judgement required for validation</t>
        </is>
      </c>
      <c r="U103" s="2" t="inlineStr">
        <is>
          <t>None</t>
        </is>
      </c>
      <c r="V103" s="2" t="inlineStr">
        <is>
          <t>N/A</t>
        </is>
      </c>
      <c r="W103" s="2" t="inlineStr"/>
    </row>
    <row r="104">
      <c r="A104" s="2" t="inlineStr">
        <is>
          <t>SOL</t>
        </is>
      </c>
      <c r="B104" s="2" t="inlineStr">
        <is>
          <t>SOL-07</t>
        </is>
      </c>
      <c r="C104" s="2" t="inlineStr">
        <is>
          <t>SOL-07.2.1</t>
        </is>
      </c>
      <c r="D104" s="8" t="inlineStr">
        <is>
          <t>Medium</t>
        </is>
      </c>
      <c r="E104" s="2" t="inlineStr">
        <is>
          <t>Design the mobilisation programme — governance, milestones, dependencies, resource plan, client and outgoing-supplier interface</t>
        </is>
      </c>
      <c r="F104" s="2" t="inlineStr">
        <is>
          <t>AI proposes options based on requirements. Human makes design decisions.</t>
        </is>
      </c>
      <c r="G104" s="2" t="inlineStr">
        <is>
          <t>Upstream SOL-07 outputs</t>
        </is>
      </c>
      <c r="H104" s="2" t="inlineStr">
        <is>
          <t>Decision velocity: AI draft available immediately for human refinement</t>
        </is>
      </c>
      <c r="I104" s="2" t="inlineStr">
        <is>
          <t>Delivery Director</t>
        </is>
      </c>
      <c r="J104" s="2" t="n">
        <v>16</v>
      </c>
      <c r="K104" s="2" t="n">
        <v>2</v>
      </c>
      <c r="L104" s="4">
        <f>J104/COUNTIF($B:$B,B104)</f>
        <v/>
      </c>
      <c r="M104" s="5" t="n">
        <v>0.35</v>
      </c>
      <c r="N104" s="5" t="n">
        <v>0.15</v>
      </c>
      <c r="O104" s="6">
        <f>1-(1-M104)*(1-N104)</f>
        <v/>
      </c>
      <c r="P104" s="7">
        <f>L104*O104</f>
        <v/>
      </c>
      <c r="Q104" s="2" t="inlineStr">
        <is>
          <t>Medium</t>
        </is>
      </c>
      <c r="R104" s="2" t="inlineStr">
        <is>
          <t>Moderate</t>
        </is>
      </c>
      <c r="S104" s="2" t="inlineStr">
        <is>
          <t>Moderate</t>
        </is>
      </c>
      <c r="T104" s="2" t="inlineStr">
        <is>
          <t>Domain judgement required for validation</t>
        </is>
      </c>
      <c r="U104" s="2" t="inlineStr">
        <is>
          <t>None</t>
        </is>
      </c>
      <c r="V104" s="2" t="inlineStr">
        <is>
          <t>N/A</t>
        </is>
      </c>
      <c r="W104" s="2" t="inlineStr"/>
    </row>
    <row r="105">
      <c r="A105" s="2" t="inlineStr">
        <is>
          <t>SOL</t>
        </is>
      </c>
      <c r="B105" s="2" t="inlineStr">
        <is>
          <t>SOL-07</t>
        </is>
      </c>
      <c r="C105" s="2" t="inlineStr">
        <is>
          <t>SOL-07.2.2</t>
        </is>
      </c>
      <c r="D105" s="9" t="inlineStr">
        <is>
          <t>Low</t>
        </is>
      </c>
      <c r="E105" s="2" t="inlineStr">
        <is>
          <t>Identify transition risks and develop mitigation strategies — what could go wrong during transition and how we prevent or manage it</t>
        </is>
      </c>
      <c r="F105" s="2" t="inlineStr">
        <is>
          <t>AI provides minimal preparation support. Task is fundamentally human.</t>
        </is>
      </c>
      <c r="G105" s="2" t="inlineStr">
        <is>
          <t>Upstream SOL-07 outputs</t>
        </is>
      </c>
      <c r="H105" s="2" t="inlineStr">
        <is>
          <t>Minimal: Preparation support only</t>
        </is>
      </c>
      <c r="I105" s="2" t="inlineStr">
        <is>
          <t>Delivery Director</t>
        </is>
      </c>
      <c r="J105" s="2" t="n">
        <v>16</v>
      </c>
      <c r="K105" s="2" t="n">
        <v>2</v>
      </c>
      <c r="L105" s="4">
        <f>J105/COUNTIF($B:$B,B105)</f>
        <v/>
      </c>
      <c r="M105" s="5" t="n">
        <v>0.1</v>
      </c>
      <c r="N105" s="5" t="n">
        <v>0.15</v>
      </c>
      <c r="O105" s="6">
        <f>1-(1-M105)*(1-N105)</f>
        <v/>
      </c>
      <c r="P105" s="7">
        <f>L105*O105</f>
        <v/>
      </c>
      <c r="Q105" s="2" t="inlineStr">
        <is>
          <t>Low</t>
        </is>
      </c>
      <c r="R105" s="2" t="inlineStr">
        <is>
          <t>Low</t>
        </is>
      </c>
      <c r="S105" s="2" t="inlineStr">
        <is>
          <t>Low</t>
        </is>
      </c>
      <c r="T105" s="2" t="inlineStr">
        <is>
          <t>Human relationship/judgement required</t>
        </is>
      </c>
      <c r="U105" s="2" t="inlineStr">
        <is>
          <t>None</t>
        </is>
      </c>
      <c r="V105" s="2" t="inlineStr">
        <is>
          <t>N/A</t>
        </is>
      </c>
      <c r="W105" s="2" t="inlineStr"/>
    </row>
    <row r="106">
      <c r="A106" s="2" t="inlineStr">
        <is>
          <t>SOL</t>
        </is>
      </c>
      <c r="B106" s="2" t="inlineStr">
        <is>
          <t>SOL-07</t>
        </is>
      </c>
      <c r="C106" s="2" t="inlineStr">
        <is>
          <t>SOL-07.2.3</t>
        </is>
      </c>
      <c r="D106" s="9" t="inlineStr">
        <is>
          <t>Low</t>
        </is>
      </c>
      <c r="E106" s="2" t="inlineStr">
        <is>
          <t>Validate transition plan — confirm it delivers service continuity, is achievable within timeline, and is costable</t>
        </is>
      </c>
      <c r="F106" s="2" t="inlineStr">
        <is>
          <t>AI prepares materials. Delivery is human.</t>
        </is>
      </c>
      <c r="G106" s="2" t="inlineStr">
        <is>
          <t>Upstream SOL-07 outputs</t>
        </is>
      </c>
      <c r="H106" s="2" t="inlineStr">
        <is>
          <t>Minimal: Preparation support only</t>
        </is>
      </c>
      <c r="I106" s="2" t="inlineStr">
        <is>
          <t>Delivery Director</t>
        </is>
      </c>
      <c r="J106" s="2" t="n">
        <v>16</v>
      </c>
      <c r="K106" s="2" t="n">
        <v>2</v>
      </c>
      <c r="L106" s="4">
        <f>J106/COUNTIF($B:$B,B106)</f>
        <v/>
      </c>
      <c r="M106" s="5" t="n">
        <v>0.1</v>
      </c>
      <c r="N106" s="5" t="n">
        <v>0.15</v>
      </c>
      <c r="O106" s="6">
        <f>1-(1-M106)*(1-N106)</f>
        <v/>
      </c>
      <c r="P106" s="7">
        <f>L106*O106</f>
        <v/>
      </c>
      <c r="Q106" s="2" t="inlineStr">
        <is>
          <t>None</t>
        </is>
      </c>
      <c r="R106" s="2" t="inlineStr">
        <is>
          <t>Low</t>
        </is>
      </c>
      <c r="S106" s="2" t="inlineStr">
        <is>
          <t>Low</t>
        </is>
      </c>
      <c r="T106" s="2" t="inlineStr">
        <is>
          <t>Client-facing interaction is human</t>
        </is>
      </c>
      <c r="U106" s="2" t="inlineStr">
        <is>
          <t>None</t>
        </is>
      </c>
      <c r="V106" s="2" t="inlineStr">
        <is>
          <t>N/A</t>
        </is>
      </c>
      <c r="W106" s="2" t="inlineStr"/>
    </row>
    <row r="107">
      <c r="A107" s="2" t="inlineStr">
        <is>
          <t>SOL</t>
        </is>
      </c>
      <c r="B107" s="2" t="inlineStr">
        <is>
          <t>SOL-08</t>
        </is>
      </c>
      <c r="C107" s="2" t="inlineStr">
        <is>
          <t>SOL-08.1.1</t>
        </is>
      </c>
      <c r="D107" s="3" t="inlineStr">
        <is>
          <t>High</t>
        </is>
      </c>
      <c r="E107" s="2" t="inlineStr">
        <is>
          <t>Define innovation strategy — vision, principles, and how innovation aligns to buyer values, win themes, and the evaluation framework</t>
        </is>
      </c>
      <c r="F107" s="2" t="inlineStr">
        <is>
          <t>AI executes task autonomously from structured inputs. Human reviews.</t>
        </is>
      </c>
      <c r="G107" s="2" t="inlineStr">
        <is>
          <t>Upstream SOL-08 outputs</t>
        </is>
      </c>
      <c r="H107" s="2" t="inlineStr">
        <is>
          <t>Time reduction: Task largely automated from structured data</t>
        </is>
      </c>
      <c r="I107" s="2" t="inlineStr">
        <is>
          <t>Solution Architect</t>
        </is>
      </c>
      <c r="J107" s="2" t="n">
        <v>5</v>
      </c>
      <c r="K107" s="2" t="n">
        <v>1</v>
      </c>
      <c r="L107" s="4">
        <f>J107/COUNTIF($B:$B,B107)</f>
        <v/>
      </c>
      <c r="M107" s="5" t="n">
        <v>0.6</v>
      </c>
      <c r="N107" s="5" t="n">
        <v>0.15</v>
      </c>
      <c r="O107" s="6">
        <f>1-(1-M107)*(1-N107)</f>
        <v/>
      </c>
      <c r="P107" s="7">
        <f>L107*O107</f>
        <v/>
      </c>
      <c r="Q107" s="2" t="inlineStr">
        <is>
          <t>Medium</t>
        </is>
      </c>
      <c r="R107" s="2" t="inlineStr">
        <is>
          <t>Moderate</t>
        </is>
      </c>
      <c r="S107" s="2" t="inlineStr">
        <is>
          <t>Yes</t>
        </is>
      </c>
      <c r="T107" s="2" t="inlineStr">
        <is>
          <t>Structured data must be available</t>
        </is>
      </c>
      <c r="U107" s="2" t="inlineStr">
        <is>
          <t>None</t>
        </is>
      </c>
      <c r="V107" s="2" t="inlineStr">
        <is>
          <t>N/A</t>
        </is>
      </c>
      <c r="W107" s="2" t="inlineStr"/>
    </row>
    <row r="108">
      <c r="A108" s="2" t="inlineStr">
        <is>
          <t>SOL</t>
        </is>
      </c>
      <c r="B108" s="2" t="inlineStr">
        <is>
          <t>SOL-08</t>
        </is>
      </c>
      <c r="C108" s="2" t="inlineStr">
        <is>
          <t>SOL-08.1.2</t>
        </is>
      </c>
      <c r="D108" s="8" t="inlineStr">
        <is>
          <t>Medium</t>
        </is>
      </c>
      <c r="E108" s="2" t="inlineStr">
        <is>
          <t>Design innovation roadmap across the contract term — what innovations, when, what investment required, what outcomes delivered</t>
        </is>
      </c>
      <c r="F108" s="2" t="inlineStr">
        <is>
          <t>AI proposes options based on requirements. Human makes design decisions.</t>
        </is>
      </c>
      <c r="G108" s="2" t="inlineStr">
        <is>
          <t>Upstream SOL-08 outputs</t>
        </is>
      </c>
      <c r="H108" s="2" t="inlineStr">
        <is>
          <t>Decision velocity: AI draft available immediately for human refinement</t>
        </is>
      </c>
      <c r="I108" s="2" t="inlineStr">
        <is>
          <t>Solution Architect</t>
        </is>
      </c>
      <c r="J108" s="2" t="n">
        <v>5</v>
      </c>
      <c r="K108" s="2" t="n">
        <v>1</v>
      </c>
      <c r="L108" s="4">
        <f>J108/COUNTIF($B:$B,B108)</f>
        <v/>
      </c>
      <c r="M108" s="5" t="n">
        <v>0.35</v>
      </c>
      <c r="N108" s="5" t="n">
        <v>0.15</v>
      </c>
      <c r="O108" s="6">
        <f>1-(1-M108)*(1-N108)</f>
        <v/>
      </c>
      <c r="P108" s="7">
        <f>L108*O108</f>
        <v/>
      </c>
      <c r="Q108" s="2" t="inlineStr">
        <is>
          <t>Medium</t>
        </is>
      </c>
      <c r="R108" s="2" t="inlineStr">
        <is>
          <t>Moderate</t>
        </is>
      </c>
      <c r="S108" s="2" t="inlineStr">
        <is>
          <t>Moderate</t>
        </is>
      </c>
      <c r="T108" s="2" t="inlineStr">
        <is>
          <t>Domain judgement required for validation</t>
        </is>
      </c>
      <c r="U108" s="2" t="inlineStr">
        <is>
          <t>None</t>
        </is>
      </c>
      <c r="V108" s="2" t="inlineStr">
        <is>
          <t>N/A</t>
        </is>
      </c>
      <c r="W108" s="2" t="inlineStr"/>
    </row>
    <row r="109">
      <c r="A109" s="2" t="inlineStr">
        <is>
          <t>SOL</t>
        </is>
      </c>
      <c r="B109" s="2" t="inlineStr">
        <is>
          <t>SOL-08</t>
        </is>
      </c>
      <c r="C109" s="2" t="inlineStr">
        <is>
          <t>SOL-08.1.3</t>
        </is>
      </c>
      <c r="D109" s="8" t="inlineStr">
        <is>
          <t>Medium</t>
        </is>
      </c>
      <c r="E109" s="2" t="inlineStr">
        <is>
          <t>Identify day-one innovations — what we bring from the start that the incumbent does not have and that immediately improves the service</t>
        </is>
      </c>
      <c r="F109" s="2" t="inlineStr">
        <is>
          <t>AI accelerates with draft/analysis. Human applies domain judgement.</t>
        </is>
      </c>
      <c r="G109" s="2" t="inlineStr">
        <is>
          <t>Upstream SOL-08 outputs</t>
        </is>
      </c>
      <c r="H109" s="2" t="inlineStr">
        <is>
          <t>Decision velocity: AI draft available immediately for human refinement</t>
        </is>
      </c>
      <c r="I109" s="2" t="inlineStr">
        <is>
          <t>Solution Architect</t>
        </is>
      </c>
      <c r="J109" s="2" t="n">
        <v>5</v>
      </c>
      <c r="K109" s="2" t="n">
        <v>1</v>
      </c>
      <c r="L109" s="4">
        <f>J109/COUNTIF($B:$B,B109)</f>
        <v/>
      </c>
      <c r="M109" s="5" t="n">
        <v>0.35</v>
      </c>
      <c r="N109" s="5" t="n">
        <v>0.15</v>
      </c>
      <c r="O109" s="6">
        <f>1-(1-M109)*(1-N109)</f>
        <v/>
      </c>
      <c r="P109" s="7">
        <f>L109*O109</f>
        <v/>
      </c>
      <c r="Q109" s="2" t="inlineStr">
        <is>
          <t>Medium</t>
        </is>
      </c>
      <c r="R109" s="2" t="inlineStr">
        <is>
          <t>Moderate</t>
        </is>
      </c>
      <c r="S109" s="2" t="inlineStr">
        <is>
          <t>Moderate</t>
        </is>
      </c>
      <c r="T109" s="2" t="inlineStr">
        <is>
          <t>Domain judgement required for validation</t>
        </is>
      </c>
      <c r="U109" s="2" t="inlineStr">
        <is>
          <t>None</t>
        </is>
      </c>
      <c r="V109" s="2" t="inlineStr">
        <is>
          <t>N/A</t>
        </is>
      </c>
      <c r="W109" s="2" t="inlineStr"/>
    </row>
    <row r="110">
      <c r="A110" s="2" t="inlineStr">
        <is>
          <t>SOL</t>
        </is>
      </c>
      <c r="B110" s="2" t="inlineStr">
        <is>
          <t>SOL-08</t>
        </is>
      </c>
      <c r="C110" s="2" t="inlineStr">
        <is>
          <t>SOL-08.2.1</t>
        </is>
      </c>
      <c r="D110" s="8" t="inlineStr">
        <is>
          <t>Medium</t>
        </is>
      </c>
      <c r="E110" s="2" t="inlineStr">
        <is>
          <t>Design continuous improvement governance — how improvements are identified, assessed, approved, funded, and measured over the contract term</t>
        </is>
      </c>
      <c r="F110" s="2" t="inlineStr">
        <is>
          <t>AI proposes options based on requirements. Human makes design decisions.</t>
        </is>
      </c>
      <c r="G110" s="2" t="inlineStr">
        <is>
          <t>Upstream SOL-08 outputs</t>
        </is>
      </c>
      <c r="H110" s="2" t="inlineStr">
        <is>
          <t>Decision velocity: AI draft available immediately for human refinement</t>
        </is>
      </c>
      <c r="I110" s="2" t="inlineStr">
        <is>
          <t>Solution Architect</t>
        </is>
      </c>
      <c r="J110" s="2" t="n">
        <v>5</v>
      </c>
      <c r="K110" s="2" t="n">
        <v>1</v>
      </c>
      <c r="L110" s="4">
        <f>J110/COUNTIF($B:$B,B110)</f>
        <v/>
      </c>
      <c r="M110" s="5" t="n">
        <v>0.35</v>
      </c>
      <c r="N110" s="5" t="n">
        <v>0.15</v>
      </c>
      <c r="O110" s="6">
        <f>1-(1-M110)*(1-N110)</f>
        <v/>
      </c>
      <c r="P110" s="7">
        <f>L110*O110</f>
        <v/>
      </c>
      <c r="Q110" s="2" t="inlineStr">
        <is>
          <t>Medium</t>
        </is>
      </c>
      <c r="R110" s="2" t="inlineStr">
        <is>
          <t>Moderate</t>
        </is>
      </c>
      <c r="S110" s="2" t="inlineStr">
        <is>
          <t>Moderate</t>
        </is>
      </c>
      <c r="T110" s="2" t="inlineStr">
        <is>
          <t>Domain judgement required for validation</t>
        </is>
      </c>
      <c r="U110" s="2" t="inlineStr">
        <is>
          <t>None</t>
        </is>
      </c>
      <c r="V110" s="2" t="inlineStr">
        <is>
          <t>N/A</t>
        </is>
      </c>
      <c r="W110" s="2" t="inlineStr"/>
    </row>
    <row r="111">
      <c r="A111" s="2" t="inlineStr">
        <is>
          <t>SOL</t>
        </is>
      </c>
      <c r="B111" s="2" t="inlineStr">
        <is>
          <t>SOL-08</t>
        </is>
      </c>
      <c r="C111" s="2" t="inlineStr">
        <is>
          <t>SOL-08.3.1</t>
        </is>
      </c>
      <c r="D111" s="8" t="inlineStr">
        <is>
          <t>Medium</t>
        </is>
      </c>
      <c r="E111" s="2" t="inlineStr">
        <is>
          <t>Model the innovation productivity curve — how AI, automation, and process improvement progressively reduce cost base over the contract term</t>
        </is>
      </c>
      <c r="F111" s="2" t="inlineStr">
        <is>
          <t>AI runs models from structured inputs. Human validates assumptions.</t>
        </is>
      </c>
      <c r="G111" s="2" t="inlineStr">
        <is>
          <t>Upstream SOL-08 outputs</t>
        </is>
      </c>
      <c r="H111" s="2" t="inlineStr">
        <is>
          <t>Decision velocity: AI draft available immediately for human refinement</t>
        </is>
      </c>
      <c r="I111" s="2" t="inlineStr">
        <is>
          <t>Solution Architect</t>
        </is>
      </c>
      <c r="J111" s="2" t="n">
        <v>5</v>
      </c>
      <c r="K111" s="2" t="n">
        <v>1</v>
      </c>
      <c r="L111" s="4">
        <f>J111/COUNTIF($B:$B,B111)</f>
        <v/>
      </c>
      <c r="M111" s="5" t="n">
        <v>0.35</v>
      </c>
      <c r="N111" s="5" t="n">
        <v>0.15</v>
      </c>
      <c r="O111" s="6">
        <f>1-(1-M111)*(1-N111)</f>
        <v/>
      </c>
      <c r="P111" s="7">
        <f>L111*O111</f>
        <v/>
      </c>
      <c r="Q111" s="2" t="inlineStr">
        <is>
          <t>Medium</t>
        </is>
      </c>
      <c r="R111" s="2" t="inlineStr">
        <is>
          <t>Moderate</t>
        </is>
      </c>
      <c r="S111" s="2" t="inlineStr">
        <is>
          <t>Moderate</t>
        </is>
      </c>
      <c r="T111" s="2" t="inlineStr">
        <is>
          <t>Domain judgement required for validation</t>
        </is>
      </c>
      <c r="U111" s="2" t="inlineStr">
        <is>
          <t>None</t>
        </is>
      </c>
      <c r="V111" s="2" t="inlineStr">
        <is>
          <t>N/A</t>
        </is>
      </c>
      <c r="W111" s="2" t="inlineStr"/>
    </row>
    <row r="112">
      <c r="A112" s="2" t="inlineStr">
        <is>
          <t>SOL</t>
        </is>
      </c>
      <c r="B112" s="2" t="inlineStr">
        <is>
          <t>SOL-08</t>
        </is>
      </c>
      <c r="C112" s="2" t="inlineStr">
        <is>
          <t>SOL-08.3.2</t>
        </is>
      </c>
      <c r="D112" s="8" t="inlineStr">
        <is>
          <t>Medium</t>
        </is>
      </c>
      <c r="E112" s="2" t="inlineStr">
        <is>
          <t>Design value sharing and investment framework — who benefits from productivity gains, how innovation investment is funded, and how this is contractually governed</t>
        </is>
      </c>
      <c r="F112" s="2" t="inlineStr">
        <is>
          <t>AI proposes options based on requirements. Human makes design decisions.</t>
        </is>
      </c>
      <c r="G112" s="2" t="inlineStr">
        <is>
          <t>Upstream SOL-08 outputs</t>
        </is>
      </c>
      <c r="H112" s="2" t="inlineStr">
        <is>
          <t>Decision velocity: AI draft available immediately for human refinement</t>
        </is>
      </c>
      <c r="I112" s="2" t="inlineStr">
        <is>
          <t>Solution Architect</t>
        </is>
      </c>
      <c r="J112" s="2" t="n">
        <v>5</v>
      </c>
      <c r="K112" s="2" t="n">
        <v>1</v>
      </c>
      <c r="L112" s="4">
        <f>J112/COUNTIF($B:$B,B112)</f>
        <v/>
      </c>
      <c r="M112" s="5" t="n">
        <v>0.35</v>
      </c>
      <c r="N112" s="5" t="n">
        <v>0.15</v>
      </c>
      <c r="O112" s="6">
        <f>1-(1-M112)*(1-N112)</f>
        <v/>
      </c>
      <c r="P112" s="7">
        <f>L112*O112</f>
        <v/>
      </c>
      <c r="Q112" s="2" t="inlineStr">
        <is>
          <t>Medium</t>
        </is>
      </c>
      <c r="R112" s="2" t="inlineStr">
        <is>
          <t>Moderate</t>
        </is>
      </c>
      <c r="S112" s="2" t="inlineStr">
        <is>
          <t>Moderate</t>
        </is>
      </c>
      <c r="T112" s="2" t="inlineStr">
        <is>
          <t>Domain judgement required for validation</t>
        </is>
      </c>
      <c r="U112" s="2" t="inlineStr">
        <is>
          <t>None</t>
        </is>
      </c>
      <c r="V112" s="2" t="inlineStr">
        <is>
          <t>N/A</t>
        </is>
      </c>
      <c r="W112" s="2" t="inlineStr"/>
    </row>
    <row r="113">
      <c r="A113" s="2" t="inlineStr">
        <is>
          <t>SOL</t>
        </is>
      </c>
      <c r="B113" s="2" t="inlineStr">
        <is>
          <t>SOL-08</t>
        </is>
      </c>
      <c r="C113" s="2" t="inlineStr">
        <is>
          <t>SOL-08.3.3</t>
        </is>
      </c>
      <c r="D113" s="9" t="inlineStr">
        <is>
          <t>Low</t>
        </is>
      </c>
      <c r="E113" s="2" t="inlineStr">
        <is>
          <t>Plan workforce transformation alongside innovation — how roles evolve, redeploy, or reduce as AI and automation are introduced, within TUPE and employment law constraints</t>
        </is>
      </c>
      <c r="F113" s="2" t="inlineStr">
        <is>
          <t>AI provides minimal preparation support. Task is fundamentally human.</t>
        </is>
      </c>
      <c r="G113" s="2" t="inlineStr">
        <is>
          <t>Upstream SOL-08 outputs</t>
        </is>
      </c>
      <c r="H113" s="2" t="inlineStr">
        <is>
          <t>Minimal: Preparation support only</t>
        </is>
      </c>
      <c r="I113" s="2" t="inlineStr">
        <is>
          <t>Solution Architect</t>
        </is>
      </c>
      <c r="J113" s="2" t="n">
        <v>5</v>
      </c>
      <c r="K113" s="2" t="n">
        <v>1</v>
      </c>
      <c r="L113" s="4">
        <f>J113/COUNTIF($B:$B,B113)</f>
        <v/>
      </c>
      <c r="M113" s="5" t="n">
        <v>0.1</v>
      </c>
      <c r="N113" s="5" t="n">
        <v>0.15</v>
      </c>
      <c r="O113" s="6">
        <f>1-(1-M113)*(1-N113)</f>
        <v/>
      </c>
      <c r="P113" s="7">
        <f>L113*O113</f>
        <v/>
      </c>
      <c r="Q113" s="2" t="inlineStr">
        <is>
          <t>Low</t>
        </is>
      </c>
      <c r="R113" s="2" t="inlineStr">
        <is>
          <t>Low</t>
        </is>
      </c>
      <c r="S113" s="2" t="inlineStr">
        <is>
          <t>Low</t>
        </is>
      </c>
      <c r="T113" s="2" t="inlineStr">
        <is>
          <t>Human relationship/judgement required</t>
        </is>
      </c>
      <c r="U113" s="2" t="inlineStr">
        <is>
          <t>None</t>
        </is>
      </c>
      <c r="V113" s="2" t="inlineStr">
        <is>
          <t>N/A</t>
        </is>
      </c>
      <c r="W113" s="2" t="inlineStr"/>
    </row>
    <row r="114">
      <c r="A114" s="2" t="inlineStr">
        <is>
          <t>SOL</t>
        </is>
      </c>
      <c r="B114" s="2" t="inlineStr">
        <is>
          <t>SOL-08</t>
        </is>
      </c>
      <c r="C114" s="2" t="inlineStr">
        <is>
          <t>SOL-08.3.4</t>
        </is>
      </c>
      <c r="D114" s="9" t="inlineStr">
        <is>
          <t>Low</t>
        </is>
      </c>
      <c r="E114" s="2" t="inlineStr">
        <is>
          <t>Validate innovation roadmap — credible investment case, measurable outcomes, commercially viable, workforce impact managed, aligned to evaluation criteria</t>
        </is>
      </c>
      <c r="F114" s="2" t="inlineStr">
        <is>
          <t>AI prepares pack/summary. Decision is human governance.</t>
        </is>
      </c>
      <c r="G114" s="2" t="inlineStr">
        <is>
          <t>Upstream SOL-08 outputs</t>
        </is>
      </c>
      <c r="H114" s="2" t="inlineStr">
        <is>
          <t>Minimal: Preparation support only</t>
        </is>
      </c>
      <c r="I114" s="2" t="inlineStr">
        <is>
          <t>Solution Architect</t>
        </is>
      </c>
      <c r="J114" s="2" t="n">
        <v>5</v>
      </c>
      <c r="K114" s="2" t="n">
        <v>1</v>
      </c>
      <c r="L114" s="4">
        <f>J114/COUNTIF($B:$B,B114)</f>
        <v/>
      </c>
      <c r="M114" s="5" t="n">
        <v>0.1</v>
      </c>
      <c r="N114" s="5" t="n">
        <v>0.15</v>
      </c>
      <c r="O114" s="6">
        <f>1-(1-M114)*(1-N114)</f>
        <v/>
      </c>
      <c r="P114" s="7">
        <f>L114*O114</f>
        <v/>
      </c>
      <c r="Q114" s="2" t="inlineStr">
        <is>
          <t>Low</t>
        </is>
      </c>
      <c r="R114" s="2" t="inlineStr">
        <is>
          <t>Low</t>
        </is>
      </c>
      <c r="S114" s="2" t="inlineStr">
        <is>
          <t>Low</t>
        </is>
      </c>
      <c r="T114" s="2" t="inlineStr">
        <is>
          <t>Team validation requires human judgement</t>
        </is>
      </c>
      <c r="U114" s="2" t="inlineStr">
        <is>
          <t>None</t>
        </is>
      </c>
      <c r="V114" s="2" t="inlineStr">
        <is>
          <t>N/A</t>
        </is>
      </c>
      <c r="W114" s="2" t="inlineStr"/>
    </row>
    <row r="115">
      <c r="A115" s="2" t="inlineStr">
        <is>
          <t>SOL</t>
        </is>
      </c>
      <c r="B115" s="2" t="inlineStr">
        <is>
          <t>SOL-09</t>
        </is>
      </c>
      <c r="C115" s="2" t="inlineStr">
        <is>
          <t>SOL-09.1.1</t>
        </is>
      </c>
      <c r="D115" s="3" t="inlineStr">
        <is>
          <t>High</t>
        </is>
      </c>
      <c r="E115" s="2" t="inlineStr">
        <is>
          <t>Analyse social value requirements and evaluation criteria — what the ITT requires, what themes are weighted, what the client's local priorities are</t>
        </is>
      </c>
      <c r="F115" s="2" t="inlineStr">
        <is>
          <t>AI executes task autonomously from structured inputs. Human reviews.</t>
        </is>
      </c>
      <c r="G115" s="2" t="inlineStr">
        <is>
          <t>Upstream SOL-09 outputs</t>
        </is>
      </c>
      <c r="H115" s="2" t="inlineStr">
        <is>
          <t>Time reduction: Task largely automated from structured data</t>
        </is>
      </c>
      <c r="I115" s="2" t="inlineStr">
        <is>
          <t>Solution Architect</t>
        </is>
      </c>
      <c r="J115" s="2" t="n">
        <v>5</v>
      </c>
      <c r="K115" s="2" t="n">
        <v>1</v>
      </c>
      <c r="L115" s="4">
        <f>J115/COUNTIF($B:$B,B115)</f>
        <v/>
      </c>
      <c r="M115" s="5" t="n">
        <v>0.6</v>
      </c>
      <c r="N115" s="5" t="n">
        <v>0.15</v>
      </c>
      <c r="O115" s="6">
        <f>1-(1-M115)*(1-N115)</f>
        <v/>
      </c>
      <c r="P115" s="7">
        <f>L115*O115</f>
        <v/>
      </c>
      <c r="Q115" s="2" t="inlineStr">
        <is>
          <t>High</t>
        </is>
      </c>
      <c r="R115" s="2" t="inlineStr">
        <is>
          <t>Yes</t>
        </is>
      </c>
      <c r="S115" s="2" t="inlineStr">
        <is>
          <t>Yes</t>
        </is>
      </c>
      <c r="T115" s="2" t="inlineStr">
        <is>
          <t>Structured data must be available</t>
        </is>
      </c>
      <c r="U115" s="2" t="inlineStr">
        <is>
          <t>ITT Document Pack</t>
        </is>
      </c>
      <c r="V115" s="2" t="inlineStr">
        <is>
          <t>N/A</t>
        </is>
      </c>
      <c r="W115" s="2" t="inlineStr"/>
    </row>
    <row r="116">
      <c r="A116" s="2" t="inlineStr">
        <is>
          <t>SOL</t>
        </is>
      </c>
      <c r="B116" s="2" t="inlineStr">
        <is>
          <t>SOL-09</t>
        </is>
      </c>
      <c r="C116" s="2" t="inlineStr">
        <is>
          <t>SOL-09.1.2</t>
        </is>
      </c>
      <c r="D116" s="8" t="inlineStr">
        <is>
          <t>Medium</t>
        </is>
      </c>
      <c r="E116" s="2" t="inlineStr">
        <is>
          <t>Design social value commitments — specific, measurable, embedded in delivery model and supply chain, aligned to Social Value Model themes and local priorities</t>
        </is>
      </c>
      <c r="F116" s="2" t="inlineStr">
        <is>
          <t>AI proposes options based on requirements. Human makes design decisions.</t>
        </is>
      </c>
      <c r="G116" s="2" t="inlineStr">
        <is>
          <t>Upstream SOL-09 outputs</t>
        </is>
      </c>
      <c r="H116" s="2" t="inlineStr">
        <is>
          <t>Decision velocity: AI draft available immediately for human refinement</t>
        </is>
      </c>
      <c r="I116" s="2" t="inlineStr">
        <is>
          <t>Solution Architect</t>
        </is>
      </c>
      <c r="J116" s="2" t="n">
        <v>5</v>
      </c>
      <c r="K116" s="2" t="n">
        <v>1</v>
      </c>
      <c r="L116" s="4">
        <f>J116/COUNTIF($B:$B,B116)</f>
        <v/>
      </c>
      <c r="M116" s="5" t="n">
        <v>0.35</v>
      </c>
      <c r="N116" s="5" t="n">
        <v>0.15</v>
      </c>
      <c r="O116" s="6">
        <f>1-(1-M116)*(1-N116)</f>
        <v/>
      </c>
      <c r="P116" s="7">
        <f>L116*O116</f>
        <v/>
      </c>
      <c r="Q116" s="2" t="inlineStr">
        <is>
          <t>Medium</t>
        </is>
      </c>
      <c r="R116" s="2" t="inlineStr">
        <is>
          <t>Moderate</t>
        </is>
      </c>
      <c r="S116" s="2" t="inlineStr">
        <is>
          <t>Moderate</t>
        </is>
      </c>
      <c r="T116" s="2" t="inlineStr">
        <is>
          <t>Domain judgement required for validation</t>
        </is>
      </c>
      <c r="U116" s="2" t="inlineStr">
        <is>
          <t>None</t>
        </is>
      </c>
      <c r="V116" s="2" t="inlineStr">
        <is>
          <t>N/A</t>
        </is>
      </c>
      <c r="W116" s="2" t="inlineStr"/>
    </row>
    <row r="117">
      <c r="A117" s="2" t="inlineStr">
        <is>
          <t>SOL</t>
        </is>
      </c>
      <c r="B117" s="2" t="inlineStr">
        <is>
          <t>SOL-09</t>
        </is>
      </c>
      <c r="C117" s="2" t="inlineStr">
        <is>
          <t>SOL-09.1.3</t>
        </is>
      </c>
      <c r="D117" s="8" t="inlineStr">
        <is>
          <t>Medium</t>
        </is>
      </c>
      <c r="E117" s="2" t="inlineStr">
        <is>
          <t>Define monitoring and reporting framework — how social value commitments will be tracked, measured, and reported over the contract term</t>
        </is>
      </c>
      <c r="F117" s="2" t="inlineStr">
        <is>
          <t>AI accelerates with draft/analysis. Human applies domain judgement.</t>
        </is>
      </c>
      <c r="G117" s="2" t="inlineStr">
        <is>
          <t>Upstream SOL-09 outputs</t>
        </is>
      </c>
      <c r="H117" s="2" t="inlineStr">
        <is>
          <t>Decision velocity: AI draft available immediately for human refinement</t>
        </is>
      </c>
      <c r="I117" s="2" t="inlineStr">
        <is>
          <t>Solution Architect</t>
        </is>
      </c>
      <c r="J117" s="2" t="n">
        <v>5</v>
      </c>
      <c r="K117" s="2" t="n">
        <v>1</v>
      </c>
      <c r="L117" s="4">
        <f>J117/COUNTIF($B:$B,B117)</f>
        <v/>
      </c>
      <c r="M117" s="5" t="n">
        <v>0.35</v>
      </c>
      <c r="N117" s="5" t="n">
        <v>0.15</v>
      </c>
      <c r="O117" s="6">
        <f>1-(1-M117)*(1-N117)</f>
        <v/>
      </c>
      <c r="P117" s="7">
        <f>L117*O117</f>
        <v/>
      </c>
      <c r="Q117" s="2" t="inlineStr">
        <is>
          <t>Medium</t>
        </is>
      </c>
      <c r="R117" s="2" t="inlineStr">
        <is>
          <t>Moderate</t>
        </is>
      </c>
      <c r="S117" s="2" t="inlineStr">
        <is>
          <t>Moderate</t>
        </is>
      </c>
      <c r="T117" s="2" t="inlineStr">
        <is>
          <t>Domain judgement required for validation</t>
        </is>
      </c>
      <c r="U117" s="2" t="inlineStr">
        <is>
          <t>None</t>
        </is>
      </c>
      <c r="V117" s="2" t="inlineStr">
        <is>
          <t>N/A</t>
        </is>
      </c>
      <c r="W117" s="2" t="inlineStr"/>
    </row>
    <row r="118">
      <c r="A118" s="2" t="inlineStr">
        <is>
          <t>SOL</t>
        </is>
      </c>
      <c r="B118" s="2" t="inlineStr">
        <is>
          <t>SOL-09</t>
        </is>
      </c>
      <c r="C118" s="2" t="inlineStr">
        <is>
          <t>SOL-09.2.1</t>
        </is>
      </c>
      <c r="D118" s="8" t="inlineStr">
        <is>
          <t>Medium</t>
        </is>
      </c>
      <c r="E118" s="2" t="inlineStr">
        <is>
          <t>Embed social value commitments in the operating model — link each commitment to specific service delivery, staffing, or supply chain components</t>
        </is>
      </c>
      <c r="F118" s="2" t="inlineStr">
        <is>
          <t>AI runs models from structured inputs. Human validates assumptions.</t>
        </is>
      </c>
      <c r="G118" s="2" t="inlineStr">
        <is>
          <t>Upstream SOL-09 outputs</t>
        </is>
      </c>
      <c r="H118" s="2" t="inlineStr">
        <is>
          <t>Decision velocity: AI draft available immediately for human refinement</t>
        </is>
      </c>
      <c r="I118" s="2" t="inlineStr">
        <is>
          <t>Solution Architect</t>
        </is>
      </c>
      <c r="J118" s="2" t="n">
        <v>5</v>
      </c>
      <c r="K118" s="2" t="n">
        <v>1</v>
      </c>
      <c r="L118" s="4">
        <f>J118/COUNTIF($B:$B,B118)</f>
        <v/>
      </c>
      <c r="M118" s="5" t="n">
        <v>0.35</v>
      </c>
      <c r="N118" s="5" t="n">
        <v>0.15</v>
      </c>
      <c r="O118" s="6">
        <f>1-(1-M118)*(1-N118)</f>
        <v/>
      </c>
      <c r="P118" s="7">
        <f>L118*O118</f>
        <v/>
      </c>
      <c r="Q118" s="2" t="inlineStr">
        <is>
          <t>Medium</t>
        </is>
      </c>
      <c r="R118" s="2" t="inlineStr">
        <is>
          <t>Moderate</t>
        </is>
      </c>
      <c r="S118" s="2" t="inlineStr">
        <is>
          <t>Moderate</t>
        </is>
      </c>
      <c r="T118" s="2" t="inlineStr">
        <is>
          <t>Domain judgement required for validation</t>
        </is>
      </c>
      <c r="U118" s="2" t="inlineStr">
        <is>
          <t>None</t>
        </is>
      </c>
      <c r="V118" s="2" t="inlineStr">
        <is>
          <t>N/A</t>
        </is>
      </c>
      <c r="W118" s="2" t="inlineStr"/>
    </row>
    <row r="119">
      <c r="A119" s="2" t="inlineStr">
        <is>
          <t>SOL</t>
        </is>
      </c>
      <c r="B119" s="2" t="inlineStr">
        <is>
          <t>SOL-09</t>
        </is>
      </c>
      <c r="C119" s="2" t="inlineStr">
        <is>
          <t>SOL-09.2.2</t>
        </is>
      </c>
      <c r="D119" s="9" t="inlineStr">
        <is>
          <t>Low</t>
        </is>
      </c>
      <c r="E119" s="2" t="inlineStr">
        <is>
          <t>Validate social value plan — commitments are deliverable, measurable, proportionate, and will score against evaluation criteria</t>
        </is>
      </c>
      <c r="F119" s="2" t="inlineStr">
        <is>
          <t>AI prepares materials. Delivery is human.</t>
        </is>
      </c>
      <c r="G119" s="2" t="inlineStr">
        <is>
          <t>Upstream SOL-09 outputs</t>
        </is>
      </c>
      <c r="H119" s="2" t="inlineStr">
        <is>
          <t>Minimal: Preparation support only</t>
        </is>
      </c>
      <c r="I119" s="2" t="inlineStr">
        <is>
          <t>Solution Architect</t>
        </is>
      </c>
      <c r="J119" s="2" t="n">
        <v>5</v>
      </c>
      <c r="K119" s="2" t="n">
        <v>1</v>
      </c>
      <c r="L119" s="4">
        <f>J119/COUNTIF($B:$B,B119)</f>
        <v/>
      </c>
      <c r="M119" s="5" t="n">
        <v>0.1</v>
      </c>
      <c r="N119" s="5" t="n">
        <v>0.15</v>
      </c>
      <c r="O119" s="6">
        <f>1-(1-M119)*(1-N119)</f>
        <v/>
      </c>
      <c r="P119" s="7">
        <f>L119*O119</f>
        <v/>
      </c>
      <c r="Q119" s="2" t="inlineStr">
        <is>
          <t>Low</t>
        </is>
      </c>
      <c r="R119" s="2" t="inlineStr">
        <is>
          <t>Low</t>
        </is>
      </c>
      <c r="S119" s="2" t="inlineStr">
        <is>
          <t>Low</t>
        </is>
      </c>
      <c r="T119" s="2" t="inlineStr">
        <is>
          <t>Client-facing interaction is human</t>
        </is>
      </c>
      <c r="U119" s="2" t="inlineStr">
        <is>
          <t>None</t>
        </is>
      </c>
      <c r="V119" s="2" t="inlineStr">
        <is>
          <t>N/A</t>
        </is>
      </c>
      <c r="W119" s="2" t="inlineStr"/>
    </row>
    <row r="120">
      <c r="A120" s="2" t="inlineStr">
        <is>
          <t>SOL</t>
        </is>
      </c>
      <c r="B120" s="2" t="inlineStr">
        <is>
          <t>SOL-10</t>
        </is>
      </c>
      <c r="C120" s="2" t="inlineStr">
        <is>
          <t>SOL-10.1.1</t>
        </is>
      </c>
      <c r="D120" s="3" t="inlineStr">
        <is>
          <t>High</t>
        </is>
      </c>
      <c r="E120" s="2" t="inlineStr">
        <is>
          <t>Map evidence requirements to evaluation sections — what type of evidence does each scored section need to achieve maximum marks?</t>
        </is>
      </c>
      <c r="F120" s="2" t="inlineStr">
        <is>
          <t>AI maps and cross-references data systematically</t>
        </is>
      </c>
      <c r="G120" s="2" t="inlineStr">
        <is>
          <t>Upstream SOL-10 outputs</t>
        </is>
      </c>
      <c r="H120" s="2" t="inlineStr">
        <is>
          <t>Time reduction: Task largely automated from structured data</t>
        </is>
      </c>
      <c r="I120" s="2" t="inlineStr">
        <is>
          <t>Solution Architect</t>
        </is>
      </c>
      <c r="J120" s="2" t="n">
        <v>3</v>
      </c>
      <c r="K120" s="2" t="n">
        <v>1</v>
      </c>
      <c r="L120" s="4">
        <f>J120/COUNTIF($B:$B,B120)</f>
        <v/>
      </c>
      <c r="M120" s="5" t="n">
        <v>0.6</v>
      </c>
      <c r="N120" s="5" t="n">
        <v>0.1</v>
      </c>
      <c r="O120" s="6">
        <f>1-(1-M120)*(1-N120)</f>
        <v/>
      </c>
      <c r="P120" s="7">
        <f>L120*O120</f>
        <v/>
      </c>
      <c r="Q120" s="2" t="inlineStr">
        <is>
          <t>High</t>
        </is>
      </c>
      <c r="R120" s="2" t="inlineStr">
        <is>
          <t>Yes</t>
        </is>
      </c>
      <c r="S120" s="2" t="inlineStr">
        <is>
          <t>Yes</t>
        </is>
      </c>
      <c r="T120" s="2" t="inlineStr">
        <is>
          <t>Structured data must be available</t>
        </is>
      </c>
      <c r="U120" s="2" t="inlineStr">
        <is>
          <t>Evidence Library</t>
        </is>
      </c>
      <c r="V120" s="2" t="inlineStr">
        <is>
          <t>Phase 3</t>
        </is>
      </c>
      <c r="W120" s="2" t="inlineStr"/>
    </row>
    <row r="121">
      <c r="A121" s="2" t="inlineStr">
        <is>
          <t>SOL</t>
        </is>
      </c>
      <c r="B121" s="2" t="inlineStr">
        <is>
          <t>SOL-10</t>
        </is>
      </c>
      <c r="C121" s="2" t="inlineStr">
        <is>
          <t>SOL-10.1.2</t>
        </is>
      </c>
      <c r="D121" s="3" t="inlineStr">
        <is>
          <t>High</t>
        </is>
      </c>
      <c r="E121" s="2" t="inlineStr">
        <is>
          <t>Assess current evidence availability — search existing library, identify what is reusable, what is outdated, and where the gaps are</t>
        </is>
      </c>
      <c r="F121" s="2" t="inlineStr">
        <is>
          <t>AI executes task autonomously from structured inputs. Human reviews.</t>
        </is>
      </c>
      <c r="G121" s="2" t="inlineStr">
        <is>
          <t>Upstream SOL-10 outputs</t>
        </is>
      </c>
      <c r="H121" s="2" t="inlineStr">
        <is>
          <t>Time reduction: Task largely automated from structured data</t>
        </is>
      </c>
      <c r="I121" s="2" t="inlineStr">
        <is>
          <t>Solution Architect</t>
        </is>
      </c>
      <c r="J121" s="2" t="n">
        <v>3</v>
      </c>
      <c r="K121" s="2" t="n">
        <v>1</v>
      </c>
      <c r="L121" s="4">
        <f>J121/COUNTIF($B:$B,B121)</f>
        <v/>
      </c>
      <c r="M121" s="5" t="n">
        <v>0.6</v>
      </c>
      <c r="N121" s="5" t="n">
        <v>0.1</v>
      </c>
      <c r="O121" s="6">
        <f>1-(1-M121)*(1-N121)</f>
        <v/>
      </c>
      <c r="P121" s="7">
        <f>L121*O121</f>
        <v/>
      </c>
      <c r="Q121" s="2" t="inlineStr">
        <is>
          <t>Medium</t>
        </is>
      </c>
      <c r="R121" s="2" t="inlineStr">
        <is>
          <t>Moderate</t>
        </is>
      </c>
      <c r="S121" s="2" t="inlineStr">
        <is>
          <t>Yes</t>
        </is>
      </c>
      <c r="T121" s="2" t="inlineStr">
        <is>
          <t>Structured data must be available</t>
        </is>
      </c>
      <c r="U121" s="2" t="inlineStr">
        <is>
          <t>Evidence Library</t>
        </is>
      </c>
      <c r="V121" s="2" t="inlineStr">
        <is>
          <t>Phase 3</t>
        </is>
      </c>
      <c r="W121" s="2" t="inlineStr"/>
    </row>
    <row r="122">
      <c r="A122" s="2" t="inlineStr">
        <is>
          <t>SOL</t>
        </is>
      </c>
      <c r="B122" s="2" t="inlineStr">
        <is>
          <t>SOL-10</t>
        </is>
      </c>
      <c r="C122" s="2" t="inlineStr">
        <is>
          <t>SOL-10.1.3</t>
        </is>
      </c>
      <c r="D122" s="3" t="inlineStr">
        <is>
          <t>High</t>
        </is>
      </c>
      <c r="E122" s="2" t="inlineStr">
        <is>
          <t>Cross-reference evidence gaps with score gap analysis — where evidence gaps create scoring risk, prioritise accordingly</t>
        </is>
      </c>
      <c r="F122" s="2" t="inlineStr">
        <is>
          <t>AI executes task autonomously from structured inputs. Human reviews.</t>
        </is>
      </c>
      <c r="G122" s="2" t="inlineStr">
        <is>
          <t>Upstream SOL-10 outputs</t>
        </is>
      </c>
      <c r="H122" s="2" t="inlineStr">
        <is>
          <t>Time reduction: Task largely automated from structured data</t>
        </is>
      </c>
      <c r="I122" s="2" t="inlineStr">
        <is>
          <t>Solution Architect</t>
        </is>
      </c>
      <c r="J122" s="2" t="n">
        <v>3</v>
      </c>
      <c r="K122" s="2" t="n">
        <v>1</v>
      </c>
      <c r="L122" s="4">
        <f>J122/COUNTIF($B:$B,B122)</f>
        <v/>
      </c>
      <c r="M122" s="5" t="n">
        <v>0.6</v>
      </c>
      <c r="N122" s="5" t="n">
        <v>0.1</v>
      </c>
      <c r="O122" s="6">
        <f>1-(1-M122)*(1-N122)</f>
        <v/>
      </c>
      <c r="P122" s="7">
        <f>L122*O122</f>
        <v/>
      </c>
      <c r="Q122" s="2" t="inlineStr">
        <is>
          <t>High</t>
        </is>
      </c>
      <c r="R122" s="2" t="inlineStr">
        <is>
          <t>Yes</t>
        </is>
      </c>
      <c r="S122" s="2" t="inlineStr">
        <is>
          <t>Yes</t>
        </is>
      </c>
      <c r="T122" s="2" t="inlineStr">
        <is>
          <t>Structured data must be available</t>
        </is>
      </c>
      <c r="U122" s="2" t="inlineStr">
        <is>
          <t>Evidence Library</t>
        </is>
      </c>
      <c r="V122" s="2" t="inlineStr">
        <is>
          <t>Phase 3</t>
        </is>
      </c>
      <c r="W122" s="2" t="inlineStr"/>
    </row>
    <row r="123">
      <c r="A123" s="2" t="inlineStr">
        <is>
          <t>SOL</t>
        </is>
      </c>
      <c r="B123" s="2" t="inlineStr">
        <is>
          <t>SOL-10</t>
        </is>
      </c>
      <c r="C123" s="2" t="inlineStr">
        <is>
          <t>SOL-10.2.1</t>
        </is>
      </c>
      <c r="D123" s="8" t="inlineStr">
        <is>
          <t>Medium</t>
        </is>
      </c>
      <c r="E123" s="2" t="inlineStr">
        <is>
          <t>Retrieve and adapt existing evidence from content library — case studies, CVs, credentials, certifications, reference letters</t>
        </is>
      </c>
      <c r="F123" s="2" t="inlineStr">
        <is>
          <t>AI accelerates with draft/analysis. Human applies domain judgement.</t>
        </is>
      </c>
      <c r="G123" s="2" t="inlineStr">
        <is>
          <t>Upstream SOL-10 outputs</t>
        </is>
      </c>
      <c r="H123" s="2" t="inlineStr">
        <is>
          <t>Decision velocity: AI draft available immediately for human refinement</t>
        </is>
      </c>
      <c r="I123" s="2" t="inlineStr">
        <is>
          <t>Solution Architect</t>
        </is>
      </c>
      <c r="J123" s="2" t="n">
        <v>3</v>
      </c>
      <c r="K123" s="2" t="n">
        <v>1</v>
      </c>
      <c r="L123" s="4">
        <f>J123/COUNTIF($B:$B,B123)</f>
        <v/>
      </c>
      <c r="M123" s="5" t="n">
        <v>0.35</v>
      </c>
      <c r="N123" s="5" t="n">
        <v>0.1</v>
      </c>
      <c r="O123" s="6">
        <f>1-(1-M123)*(1-N123)</f>
        <v/>
      </c>
      <c r="P123" s="7">
        <f>L123*O123</f>
        <v/>
      </c>
      <c r="Q123" s="2" t="inlineStr">
        <is>
          <t>Medium</t>
        </is>
      </c>
      <c r="R123" s="2" t="inlineStr">
        <is>
          <t>Moderate</t>
        </is>
      </c>
      <c r="S123" s="2" t="inlineStr">
        <is>
          <t>Moderate</t>
        </is>
      </c>
      <c r="T123" s="2" t="inlineStr">
        <is>
          <t>Domain judgement required for validation</t>
        </is>
      </c>
      <c r="U123" s="2" t="inlineStr">
        <is>
          <t>Evidence Library</t>
        </is>
      </c>
      <c r="V123" s="2" t="inlineStr">
        <is>
          <t>Phase 3</t>
        </is>
      </c>
      <c r="W123" s="2" t="inlineStr"/>
    </row>
    <row r="124">
      <c r="A124" s="2" t="inlineStr">
        <is>
          <t>SOL</t>
        </is>
      </c>
      <c r="B124" s="2" t="inlineStr">
        <is>
          <t>SOL-10</t>
        </is>
      </c>
      <c r="C124" s="2" t="inlineStr">
        <is>
          <t>SOL-10.2.2</t>
        </is>
      </c>
      <c r="D124" s="8" t="inlineStr">
        <is>
          <t>Medium</t>
        </is>
      </c>
      <c r="E124" s="2" t="inlineStr">
        <is>
          <t>Commission new evidence where gaps identified — new case studies, reference letters, updated CVs, partner credentials, performance data</t>
        </is>
      </c>
      <c r="F124" s="2" t="inlineStr">
        <is>
          <t>AI accelerates with draft/analysis. Human applies domain judgement.</t>
        </is>
      </c>
      <c r="G124" s="2" t="inlineStr">
        <is>
          <t>Upstream SOL-10 outputs</t>
        </is>
      </c>
      <c r="H124" s="2" t="inlineStr">
        <is>
          <t>Decision velocity: AI draft available immediately for human refinement</t>
        </is>
      </c>
      <c r="I124" s="2" t="inlineStr">
        <is>
          <t>Solution Architect</t>
        </is>
      </c>
      <c r="J124" s="2" t="n">
        <v>3</v>
      </c>
      <c r="K124" s="2" t="n">
        <v>1</v>
      </c>
      <c r="L124" s="4">
        <f>J124/COUNTIF($B:$B,B124)</f>
        <v/>
      </c>
      <c r="M124" s="5" t="n">
        <v>0.35</v>
      </c>
      <c r="N124" s="5" t="n">
        <v>0.1</v>
      </c>
      <c r="O124" s="6">
        <f>1-(1-M124)*(1-N124)</f>
        <v/>
      </c>
      <c r="P124" s="7">
        <f>L124*O124</f>
        <v/>
      </c>
      <c r="Q124" s="2" t="inlineStr">
        <is>
          <t>Medium</t>
        </is>
      </c>
      <c r="R124" s="2" t="inlineStr">
        <is>
          <t>Moderate</t>
        </is>
      </c>
      <c r="S124" s="2" t="inlineStr">
        <is>
          <t>Moderate</t>
        </is>
      </c>
      <c r="T124" s="2" t="inlineStr">
        <is>
          <t>Domain judgement required for validation</t>
        </is>
      </c>
      <c r="U124" s="2" t="inlineStr">
        <is>
          <t>Evidence Library</t>
        </is>
      </c>
      <c r="V124" s="2" t="inlineStr">
        <is>
          <t>Phase 3</t>
        </is>
      </c>
      <c r="W124" s="2" t="inlineStr"/>
    </row>
    <row r="125">
      <c r="A125" s="2" t="inlineStr">
        <is>
          <t>SOL</t>
        </is>
      </c>
      <c r="B125" s="2" t="inlineStr">
        <is>
          <t>SOL-10</t>
        </is>
      </c>
      <c r="C125" s="2" t="inlineStr">
        <is>
          <t>SOL-10.2.3</t>
        </is>
      </c>
      <c r="D125" s="9" t="inlineStr">
        <is>
          <t>Low</t>
        </is>
      </c>
      <c r="E125" s="2" t="inlineStr">
        <is>
          <t>Validate evidence requirements matrix — all high-priority evidence either sourced or commissioned, feeds PRD-03 for assembly</t>
        </is>
      </c>
      <c r="F125" s="2" t="inlineStr">
        <is>
          <t>AI prepares pack/summary. Decision is human governance.</t>
        </is>
      </c>
      <c r="G125" s="2" t="inlineStr">
        <is>
          <t>Upstream SOL-10 outputs</t>
        </is>
      </c>
      <c r="H125" s="2" t="inlineStr">
        <is>
          <t>Minimal: Preparation support only</t>
        </is>
      </c>
      <c r="I125" s="2" t="inlineStr">
        <is>
          <t>Solution Architect</t>
        </is>
      </c>
      <c r="J125" s="2" t="n">
        <v>3</v>
      </c>
      <c r="K125" s="2" t="n">
        <v>1</v>
      </c>
      <c r="L125" s="4">
        <f>J125/COUNTIF($B:$B,B125)</f>
        <v/>
      </c>
      <c r="M125" s="5" t="n">
        <v>0.1</v>
      </c>
      <c r="N125" s="5" t="n">
        <v>0.1</v>
      </c>
      <c r="O125" s="6">
        <f>1-(1-M125)*(1-N125)</f>
        <v/>
      </c>
      <c r="P125" s="7">
        <f>L125*O125</f>
        <v/>
      </c>
      <c r="Q125" s="2" t="inlineStr">
        <is>
          <t>Low</t>
        </is>
      </c>
      <c r="R125" s="2" t="inlineStr">
        <is>
          <t>Low</t>
        </is>
      </c>
      <c r="S125" s="2" t="inlineStr">
        <is>
          <t>Low</t>
        </is>
      </c>
      <c r="T125" s="2" t="inlineStr">
        <is>
          <t>Team validation requires human judgement</t>
        </is>
      </c>
      <c r="U125" s="2" t="inlineStr">
        <is>
          <t>Evidence Library</t>
        </is>
      </c>
      <c r="V125" s="2" t="inlineStr">
        <is>
          <t>Phase 3</t>
        </is>
      </c>
      <c r="W125" s="2" t="inlineStr"/>
    </row>
    <row r="126">
      <c r="A126" s="2" t="inlineStr">
        <is>
          <t>SOL</t>
        </is>
      </c>
      <c r="B126" s="2" t="inlineStr">
        <is>
          <t>SOL-11</t>
        </is>
      </c>
      <c r="C126" s="2" t="inlineStr">
        <is>
          <t>SOL-11.1.1</t>
        </is>
      </c>
      <c r="D126" s="3" t="inlineStr">
        <is>
          <t>High</t>
        </is>
      </c>
      <c r="E126" s="2" t="inlineStr">
        <is>
          <t>Consolidate all solution workstream outputs into a single design pack — TOM, service delivery, technology, staffing, transition, innovation, social value, evidence, risk</t>
        </is>
      </c>
      <c r="F126" s="2" t="inlineStr">
        <is>
          <t>AI consolidates upstream outputs into structured document automatically</t>
        </is>
      </c>
      <c r="G126" s="2" t="inlineStr">
        <is>
          <t>Upstream SOL-11 outputs</t>
        </is>
      </c>
      <c r="H126" s="2" t="inlineStr">
        <is>
          <t>Time reduction: Task largely automated from structured data</t>
        </is>
      </c>
      <c r="I126" s="2" t="inlineStr">
        <is>
          <t>Solution Architect</t>
        </is>
      </c>
      <c r="J126" s="2" t="n">
        <v>3</v>
      </c>
      <c r="K126" s="2" t="n">
        <v>1</v>
      </c>
      <c r="L126" s="4">
        <f>J126/COUNTIF($B:$B,B126)</f>
        <v/>
      </c>
      <c r="M126" s="5" t="n">
        <v>0.6</v>
      </c>
      <c r="N126" s="5" t="n">
        <v>0.1</v>
      </c>
      <c r="O126" s="6">
        <f>1-(1-M126)*(1-N126)</f>
        <v/>
      </c>
      <c r="P126" s="7">
        <f>L126*O126</f>
        <v/>
      </c>
      <c r="Q126" s="2" t="inlineStr">
        <is>
          <t>Medium</t>
        </is>
      </c>
      <c r="R126" s="2" t="inlineStr">
        <is>
          <t>Moderate</t>
        </is>
      </c>
      <c r="S126" s="2" t="inlineStr">
        <is>
          <t>Yes</t>
        </is>
      </c>
      <c r="T126" s="2" t="inlineStr">
        <is>
          <t>Structured data must be available</t>
        </is>
      </c>
      <c r="U126" s="2" t="inlineStr">
        <is>
          <t>Evidence Library</t>
        </is>
      </c>
      <c r="V126" s="2" t="inlineStr">
        <is>
          <t>N/A</t>
        </is>
      </c>
      <c r="W126" s="2" t="inlineStr"/>
    </row>
    <row r="127">
      <c r="A127" s="2" t="inlineStr">
        <is>
          <t>SOL</t>
        </is>
      </c>
      <c r="B127" s="2" t="inlineStr">
        <is>
          <t>SOL-11</t>
        </is>
      </c>
      <c r="C127" s="2" t="inlineStr">
        <is>
          <t>SOL-11.1.2</t>
        </is>
      </c>
      <c r="D127" s="8" t="inlineStr">
        <is>
          <t>Medium</t>
        </is>
      </c>
      <c r="E127" s="2" t="inlineStr">
        <is>
          <t>Conduct completeness and coherence check — are all components present, consistent with each other, and aligned to the win strategy?</t>
        </is>
      </c>
      <c r="F127" s="2" t="inlineStr">
        <is>
          <t>AI accelerates with draft/analysis. Human applies domain judgement.</t>
        </is>
      </c>
      <c r="G127" s="2" t="inlineStr">
        <is>
          <t>Upstream SOL-11 outputs</t>
        </is>
      </c>
      <c r="H127" s="2" t="inlineStr">
        <is>
          <t>Decision velocity: AI draft available immediately for human refinement</t>
        </is>
      </c>
      <c r="I127" s="2" t="inlineStr">
        <is>
          <t>Solution Architect</t>
        </is>
      </c>
      <c r="J127" s="2" t="n">
        <v>3</v>
      </c>
      <c r="K127" s="2" t="n">
        <v>1</v>
      </c>
      <c r="L127" s="4">
        <f>J127/COUNTIF($B:$B,B127)</f>
        <v/>
      </c>
      <c r="M127" s="5" t="n">
        <v>0.35</v>
      </c>
      <c r="N127" s="5" t="n">
        <v>0.1</v>
      </c>
      <c r="O127" s="6">
        <f>1-(1-M127)*(1-N127)</f>
        <v/>
      </c>
      <c r="P127" s="7">
        <f>L127*O127</f>
        <v/>
      </c>
      <c r="Q127" s="2" t="inlineStr">
        <is>
          <t>Medium</t>
        </is>
      </c>
      <c r="R127" s="2" t="inlineStr">
        <is>
          <t>Moderate</t>
        </is>
      </c>
      <c r="S127" s="2" t="inlineStr">
        <is>
          <t>Moderate</t>
        </is>
      </c>
      <c r="T127" s="2" t="inlineStr">
        <is>
          <t>Domain judgement required for validation</t>
        </is>
      </c>
      <c r="U127" s="2" t="inlineStr">
        <is>
          <t>None</t>
        </is>
      </c>
      <c r="V127" s="2" t="inlineStr">
        <is>
          <t>N/A</t>
        </is>
      </c>
      <c r="W127" s="2" t="inlineStr"/>
    </row>
    <row r="128">
      <c r="A128" s="2" t="inlineStr">
        <is>
          <t>SOL</t>
        </is>
      </c>
      <c r="B128" s="2" t="inlineStr">
        <is>
          <t>SOL-11</t>
        </is>
      </c>
      <c r="C128" s="2" t="inlineStr">
        <is>
          <t>SOL-11.2.1</t>
        </is>
      </c>
      <c r="D128" s="8" t="inlineStr">
        <is>
          <t>Medium</t>
        </is>
      </c>
      <c r="E128" s="2" t="inlineStr">
        <is>
          <t>Conduct internal solution assurance review — is the solution deliverable, costable, compliant, and competitive?</t>
        </is>
      </c>
      <c r="F128" s="2" t="inlineStr">
        <is>
          <t>AI provides analysis and assessment. Human validates with judgement.</t>
        </is>
      </c>
      <c r="G128" s="2" t="inlineStr">
        <is>
          <t>Upstream SOL-11 outputs</t>
        </is>
      </c>
      <c r="H128" s="2" t="inlineStr">
        <is>
          <t>Decision velocity: AI draft available immediately for human refinement</t>
        </is>
      </c>
      <c r="I128" s="2" t="inlineStr">
        <is>
          <t>Solution Architect</t>
        </is>
      </c>
      <c r="J128" s="2" t="n">
        <v>3</v>
      </c>
      <c r="K128" s="2" t="n">
        <v>1</v>
      </c>
      <c r="L128" s="4">
        <f>J128/COUNTIF($B:$B,B128)</f>
        <v/>
      </c>
      <c r="M128" s="5" t="n">
        <v>0.35</v>
      </c>
      <c r="N128" s="5" t="n">
        <v>0.1</v>
      </c>
      <c r="O128" s="6">
        <f>1-(1-M128)*(1-N128)</f>
        <v/>
      </c>
      <c r="P128" s="7">
        <f>L128*O128</f>
        <v/>
      </c>
      <c r="Q128" s="2" t="inlineStr">
        <is>
          <t>Medium</t>
        </is>
      </c>
      <c r="R128" s="2" t="inlineStr">
        <is>
          <t>Moderate</t>
        </is>
      </c>
      <c r="S128" s="2" t="inlineStr">
        <is>
          <t>Moderate</t>
        </is>
      </c>
      <c r="T128" s="2" t="inlineStr">
        <is>
          <t>Domain judgement required for validation</t>
        </is>
      </c>
      <c r="U128" s="2" t="inlineStr">
        <is>
          <t>None</t>
        </is>
      </c>
      <c r="V128" s="2" t="inlineStr">
        <is>
          <t>N/A</t>
        </is>
      </c>
      <c r="W128" s="2" t="inlineStr"/>
    </row>
    <row r="129">
      <c r="A129" s="2" t="inlineStr">
        <is>
          <t>SOL</t>
        </is>
      </c>
      <c r="B129" s="2" t="inlineStr">
        <is>
          <t>SOL-11</t>
        </is>
      </c>
      <c r="C129" s="2" t="inlineStr">
        <is>
          <t>SOL-11.2.2</t>
        </is>
      </c>
      <c r="D129" s="9" t="inlineStr">
        <is>
          <t>Low</t>
        </is>
      </c>
      <c r="E129" s="2" t="inlineStr">
        <is>
          <t>Baseline and lock solution design pack — formal sign-off, "Solution Design Complete" milestone fires, feeds GOV-02</t>
        </is>
      </c>
      <c r="F129" s="2" t="inlineStr">
        <is>
          <t>AI provides minimal preparation support. Task is fundamentally human.</t>
        </is>
      </c>
      <c r="G129" s="2" t="inlineStr">
        <is>
          <t>Upstream SOL-11 outputs</t>
        </is>
      </c>
      <c r="H129" s="2" t="inlineStr">
        <is>
          <t>Minimal: Preparation support only</t>
        </is>
      </c>
      <c r="I129" s="2" t="inlineStr">
        <is>
          <t>Solution Architect</t>
        </is>
      </c>
      <c r="J129" s="2" t="n">
        <v>3</v>
      </c>
      <c r="K129" s="2" t="n">
        <v>1</v>
      </c>
      <c r="L129" s="4">
        <f>J129/COUNTIF($B:$B,B129)</f>
        <v/>
      </c>
      <c r="M129" s="5" t="n">
        <v>0.1</v>
      </c>
      <c r="N129" s="5" t="n">
        <v>0.1</v>
      </c>
      <c r="O129" s="6">
        <f>1-(1-M129)*(1-N129)</f>
        <v/>
      </c>
      <c r="P129" s="7">
        <f>L129*O129</f>
        <v/>
      </c>
      <c r="Q129" s="2" t="inlineStr">
        <is>
          <t>Low</t>
        </is>
      </c>
      <c r="R129" s="2" t="inlineStr">
        <is>
          <t>Low</t>
        </is>
      </c>
      <c r="S129" s="2" t="inlineStr">
        <is>
          <t>Low</t>
        </is>
      </c>
      <c r="T129" s="2" t="inlineStr">
        <is>
          <t>Governance decision is human</t>
        </is>
      </c>
      <c r="U129" s="2" t="inlineStr">
        <is>
          <t>None</t>
        </is>
      </c>
      <c r="V129" s="2" t="inlineStr">
        <is>
          <t>N/A</t>
        </is>
      </c>
      <c r="W129" s="2" t="inlineStr"/>
    </row>
    <row r="130">
      <c r="A130" s="2" t="inlineStr">
        <is>
          <t>SOL</t>
        </is>
      </c>
      <c r="B130" s="2" t="inlineStr">
        <is>
          <t>SOL-12</t>
        </is>
      </c>
      <c r="C130" s="2" t="inlineStr">
        <is>
          <t>SOL-12.1.1</t>
        </is>
      </c>
      <c r="D130" s="3" t="inlineStr">
        <is>
          <t>High</t>
        </is>
      </c>
      <c r="E130" s="2" t="inlineStr">
        <is>
          <t>Harvest solution risks from all upstream SOL activities — consolidate technology, staffing, transition, innovation, and social value risks into a single register</t>
        </is>
      </c>
      <c r="F130" s="2" t="inlineStr">
        <is>
          <t>AI consolidates upstream outputs into structured document automatically</t>
        </is>
      </c>
      <c r="G130" s="2" t="inlineStr">
        <is>
          <t>Upstream SOL-12 outputs</t>
        </is>
      </c>
      <c r="H130" s="2" t="inlineStr">
        <is>
          <t>Time reduction: Task largely automated from structured data</t>
        </is>
      </c>
      <c r="I130" s="2" t="inlineStr">
        <is>
          <t>Solution Architect</t>
        </is>
      </c>
      <c r="J130" s="2" t="n">
        <v>3</v>
      </c>
      <c r="K130" s="2" t="n">
        <v>1</v>
      </c>
      <c r="L130" s="4">
        <f>J130/COUNTIF($B:$B,B130)</f>
        <v/>
      </c>
      <c r="M130" s="5" t="n">
        <v>0.6</v>
      </c>
      <c r="N130" s="5" t="n">
        <v>0.1</v>
      </c>
      <c r="O130" s="6">
        <f>1-(1-M130)*(1-N130)</f>
        <v/>
      </c>
      <c r="P130" s="7">
        <f>L130*O130</f>
        <v/>
      </c>
      <c r="Q130" s="2" t="inlineStr">
        <is>
          <t>Medium</t>
        </is>
      </c>
      <c r="R130" s="2" t="inlineStr">
        <is>
          <t>Moderate</t>
        </is>
      </c>
      <c r="S130" s="2" t="inlineStr">
        <is>
          <t>Yes</t>
        </is>
      </c>
      <c r="T130" s="2" t="inlineStr">
        <is>
          <t>Structured data must be available</t>
        </is>
      </c>
      <c r="U130" s="2" t="inlineStr">
        <is>
          <t>None</t>
        </is>
      </c>
      <c r="V130" s="2" t="inlineStr">
        <is>
          <t>Phase 5</t>
        </is>
      </c>
      <c r="W130" s="2" t="inlineStr"/>
    </row>
    <row r="131">
      <c r="A131" s="2" t="inlineStr">
        <is>
          <t>SOL</t>
        </is>
      </c>
      <c r="B131" s="2" t="inlineStr">
        <is>
          <t>SOL-12</t>
        </is>
      </c>
      <c r="C131" s="2" t="inlineStr">
        <is>
          <t>SOL-12.1.2</t>
        </is>
      </c>
      <c r="D131" s="3" t="inlineStr">
        <is>
          <t>High</t>
        </is>
      </c>
      <c r="E131" s="2" t="inlineStr">
        <is>
          <t>Identify additional delivery and compliance risks not captured upstream — gaps, dependencies, assumptions that could fail, integration risks across solution components</t>
        </is>
      </c>
      <c r="F131" s="2" t="inlineStr">
        <is>
          <t>AI executes task autonomously from structured inputs. Human reviews.</t>
        </is>
      </c>
      <c r="G131" s="2" t="inlineStr">
        <is>
          <t>Upstream SOL-12 outputs</t>
        </is>
      </c>
      <c r="H131" s="2" t="inlineStr">
        <is>
          <t>Time reduction: Task largely automated from structured data</t>
        </is>
      </c>
      <c r="I131" s="2" t="inlineStr">
        <is>
          <t>Solution Architect</t>
        </is>
      </c>
      <c r="J131" s="2" t="n">
        <v>3</v>
      </c>
      <c r="K131" s="2" t="n">
        <v>1</v>
      </c>
      <c r="L131" s="4">
        <f>J131/COUNTIF($B:$B,B131)</f>
        <v/>
      </c>
      <c r="M131" s="5" t="n">
        <v>0.6</v>
      </c>
      <c r="N131" s="5" t="n">
        <v>0.1</v>
      </c>
      <c r="O131" s="6">
        <f>1-(1-M131)*(1-N131)</f>
        <v/>
      </c>
      <c r="P131" s="7">
        <f>L131*O131</f>
        <v/>
      </c>
      <c r="Q131" s="2" t="inlineStr">
        <is>
          <t>Medium</t>
        </is>
      </c>
      <c r="R131" s="2" t="inlineStr">
        <is>
          <t>Moderate</t>
        </is>
      </c>
      <c r="S131" s="2" t="inlineStr">
        <is>
          <t>Yes</t>
        </is>
      </c>
      <c r="T131" s="2" t="inlineStr">
        <is>
          <t>Structured data must be available</t>
        </is>
      </c>
      <c r="U131" s="2" t="inlineStr">
        <is>
          <t>None</t>
        </is>
      </c>
      <c r="V131" s="2" t="inlineStr">
        <is>
          <t>Phase 5</t>
        </is>
      </c>
      <c r="W131" s="2" t="inlineStr"/>
    </row>
    <row r="132">
      <c r="A132" s="2" t="inlineStr">
        <is>
          <t>SOL</t>
        </is>
      </c>
      <c r="B132" s="2" t="inlineStr">
        <is>
          <t>SOL-12</t>
        </is>
      </c>
      <c r="C132" s="2" t="inlineStr">
        <is>
          <t>SOL-12.2.1</t>
        </is>
      </c>
      <c r="D132" s="8" t="inlineStr">
        <is>
          <t>Medium</t>
        </is>
      </c>
      <c r="E132" s="2" t="inlineStr">
        <is>
          <t>Assess and prioritise consolidated risks — likelihood, impact, proximity, and assign risk owner for each</t>
        </is>
      </c>
      <c r="F132" s="2" t="inlineStr">
        <is>
          <t>AI provides analysis and assessment. Human validates with judgement.</t>
        </is>
      </c>
      <c r="G132" s="2" t="inlineStr">
        <is>
          <t>Upstream SOL-12 outputs</t>
        </is>
      </c>
      <c r="H132" s="2" t="inlineStr">
        <is>
          <t>Decision velocity: AI draft available immediately for human refinement</t>
        </is>
      </c>
      <c r="I132" s="2" t="inlineStr">
        <is>
          <t>Solution Architect</t>
        </is>
      </c>
      <c r="J132" s="2" t="n">
        <v>3</v>
      </c>
      <c r="K132" s="2" t="n">
        <v>1</v>
      </c>
      <c r="L132" s="4">
        <f>J132/COUNTIF($B:$B,B132)</f>
        <v/>
      </c>
      <c r="M132" s="5" t="n">
        <v>0.35</v>
      </c>
      <c r="N132" s="5" t="n">
        <v>0.1</v>
      </c>
      <c r="O132" s="6">
        <f>1-(1-M132)*(1-N132)</f>
        <v/>
      </c>
      <c r="P132" s="7">
        <f>L132*O132</f>
        <v/>
      </c>
      <c r="Q132" s="2" t="inlineStr">
        <is>
          <t>Medium</t>
        </is>
      </c>
      <c r="R132" s="2" t="inlineStr">
        <is>
          <t>Moderate</t>
        </is>
      </c>
      <c r="S132" s="2" t="inlineStr">
        <is>
          <t>Moderate</t>
        </is>
      </c>
      <c r="T132" s="2" t="inlineStr">
        <is>
          <t>Domain judgement required for validation</t>
        </is>
      </c>
      <c r="U132" s="2" t="inlineStr">
        <is>
          <t>None</t>
        </is>
      </c>
      <c r="V132" s="2" t="inlineStr">
        <is>
          <t>Phase 5</t>
        </is>
      </c>
      <c r="W132" s="2" t="inlineStr"/>
    </row>
    <row r="133">
      <c r="A133" s="2" t="inlineStr">
        <is>
          <t>SOL</t>
        </is>
      </c>
      <c r="B133" s="2" t="inlineStr">
        <is>
          <t>SOL-12</t>
        </is>
      </c>
      <c r="C133" s="2" t="inlineStr">
        <is>
          <t>SOL-12.2.2</t>
        </is>
      </c>
      <c r="D133" s="8" t="inlineStr">
        <is>
          <t>Medium</t>
        </is>
      </c>
      <c r="E133" s="2" t="inlineStr">
        <is>
          <t>Develop mitigation strategies for high-priority risks and confirm residual risk position</t>
        </is>
      </c>
      <c r="F133" s="2" t="inlineStr">
        <is>
          <t>AI produces first draft. Human refines with domain judgement.</t>
        </is>
      </c>
      <c r="G133" s="2" t="inlineStr">
        <is>
          <t>Upstream SOL-12 outputs</t>
        </is>
      </c>
      <c r="H133" s="2" t="inlineStr">
        <is>
          <t>Decision velocity: AI draft available immediately for human refinement</t>
        </is>
      </c>
      <c r="I133" s="2" t="inlineStr">
        <is>
          <t>Solution Architect</t>
        </is>
      </c>
      <c r="J133" s="2" t="n">
        <v>3</v>
      </c>
      <c r="K133" s="2" t="n">
        <v>1</v>
      </c>
      <c r="L133" s="4">
        <f>J133/COUNTIF($B:$B,B133)</f>
        <v/>
      </c>
      <c r="M133" s="5" t="n">
        <v>0.35</v>
      </c>
      <c r="N133" s="5" t="n">
        <v>0.1</v>
      </c>
      <c r="O133" s="6">
        <f>1-(1-M133)*(1-N133)</f>
        <v/>
      </c>
      <c r="P133" s="7">
        <f>L133*O133</f>
        <v/>
      </c>
      <c r="Q133" s="2" t="inlineStr">
        <is>
          <t>Medium</t>
        </is>
      </c>
      <c r="R133" s="2" t="inlineStr">
        <is>
          <t>Moderate</t>
        </is>
      </c>
      <c r="S133" s="2" t="inlineStr">
        <is>
          <t>Moderate</t>
        </is>
      </c>
      <c r="T133" s="2" t="inlineStr">
        <is>
          <t>Domain judgement required for validation</t>
        </is>
      </c>
      <c r="U133" s="2" t="inlineStr">
        <is>
          <t>None</t>
        </is>
      </c>
      <c r="V133" s="2" t="inlineStr">
        <is>
          <t>Phase 5</t>
        </is>
      </c>
      <c r="W133" s="2" t="inlineStr"/>
    </row>
    <row r="134">
      <c r="A134" s="2" t="inlineStr">
        <is>
          <t>SOL</t>
        </is>
      </c>
      <c r="B134" s="2" t="inlineStr">
        <is>
          <t>SOL-12</t>
        </is>
      </c>
      <c r="C134" s="2" t="inlineStr">
        <is>
          <t>SOL-12.2.3</t>
        </is>
      </c>
      <c r="D134" s="9" t="inlineStr">
        <is>
          <t>Low</t>
        </is>
      </c>
      <c r="E134" s="2" t="inlineStr">
        <is>
          <t>Validate solution risk register — confirm it is complete, mitigations are credible, and the register is ready for governance gates and BM-13</t>
        </is>
      </c>
      <c r="F134" s="2" t="inlineStr">
        <is>
          <t>AI prepares pack/summary. Decision is human governance.</t>
        </is>
      </c>
      <c r="G134" s="2" t="inlineStr">
        <is>
          <t>Upstream SOL-12 outputs</t>
        </is>
      </c>
      <c r="H134" s="2" t="inlineStr">
        <is>
          <t>Minimal: Preparation support only</t>
        </is>
      </c>
      <c r="I134" s="2" t="inlineStr">
        <is>
          <t>Solution Architect</t>
        </is>
      </c>
      <c r="J134" s="2" t="n">
        <v>3</v>
      </c>
      <c r="K134" s="2" t="n">
        <v>1</v>
      </c>
      <c r="L134" s="4">
        <f>J134/COUNTIF($B:$B,B134)</f>
        <v/>
      </c>
      <c r="M134" s="5" t="n">
        <v>0.1</v>
      </c>
      <c r="N134" s="5" t="n">
        <v>0.1</v>
      </c>
      <c r="O134" s="6">
        <f>1-(1-M134)*(1-N134)</f>
        <v/>
      </c>
      <c r="P134" s="7">
        <f>L134*O134</f>
        <v/>
      </c>
      <c r="Q134" s="2" t="inlineStr">
        <is>
          <t>None</t>
        </is>
      </c>
      <c r="R134" s="2" t="inlineStr">
        <is>
          <t>Low</t>
        </is>
      </c>
      <c r="S134" s="2" t="inlineStr">
        <is>
          <t>Low</t>
        </is>
      </c>
      <c r="T134" s="2" t="inlineStr">
        <is>
          <t>Governance decision is human</t>
        </is>
      </c>
      <c r="U134" s="2" t="inlineStr">
        <is>
          <t>None</t>
        </is>
      </c>
      <c r="V134" s="2" t="inlineStr">
        <is>
          <t>Phase 5</t>
        </is>
      </c>
      <c r="W134" s="2" t="inlineStr"/>
    </row>
    <row r="135">
      <c r="A135" s="2" t="inlineStr">
        <is>
          <t>COM</t>
        </is>
      </c>
      <c r="B135" s="2" t="inlineStr">
        <is>
          <t>COM-01</t>
        </is>
      </c>
      <c r="C135" s="2" t="inlineStr">
        <is>
          <t>COM-01.1.1</t>
        </is>
      </c>
      <c r="D135" s="3" t="inlineStr">
        <is>
          <t>High</t>
        </is>
      </c>
      <c r="E135" s="2" t="inlineStr">
        <is>
          <t>Build workforce cost model — people costs from SOL-06 staffing model: salaries, pensions, employer NI, benefits, training, recruitment costs per role per year</t>
        </is>
      </c>
      <c r="F135" s="2" t="inlineStr">
        <is>
          <t>AI executes task autonomously from structured inputs. Human reviews.</t>
        </is>
      </c>
      <c r="G135" s="2" t="inlineStr">
        <is>
          <t>Upstream COM-01 outputs</t>
        </is>
      </c>
      <c r="H135" s="2" t="inlineStr">
        <is>
          <t>Time reduction: Task largely automated from structured data</t>
        </is>
      </c>
      <c r="I135" s="2" t="inlineStr">
        <is>
          <t>Commercial Lead</t>
        </is>
      </c>
      <c r="J135" s="2" t="n">
        <v>8</v>
      </c>
      <c r="K135" s="2" t="n">
        <v>1</v>
      </c>
      <c r="L135" s="4">
        <f>J135/COUNTIF($B:$B,B135)</f>
        <v/>
      </c>
      <c r="M135" s="5" t="n">
        <v>0.6</v>
      </c>
      <c r="N135" s="5" t="n">
        <v>0.15</v>
      </c>
      <c r="O135" s="6">
        <f>1-(1-M135)*(1-N135)</f>
        <v/>
      </c>
      <c r="P135" s="7">
        <f>L135*O135</f>
        <v/>
      </c>
      <c r="Q135" s="2" t="inlineStr">
        <is>
          <t>Medium</t>
        </is>
      </c>
      <c r="R135" s="2" t="inlineStr">
        <is>
          <t>Moderate</t>
        </is>
      </c>
      <c r="S135" s="2" t="inlineStr">
        <is>
          <t>Yes</t>
        </is>
      </c>
      <c r="T135" s="2" t="inlineStr">
        <is>
          <t>Structured data must be available</t>
        </is>
      </c>
      <c r="U135" s="2" t="inlineStr">
        <is>
          <t>Corporate Cost Data</t>
        </is>
      </c>
      <c r="V135" s="2" t="inlineStr">
        <is>
          <t>Phase 4</t>
        </is>
      </c>
      <c r="W135" s="2" t="inlineStr"/>
    </row>
    <row r="136">
      <c r="A136" s="2" t="inlineStr">
        <is>
          <t>COM</t>
        </is>
      </c>
      <c r="B136" s="2" t="inlineStr">
        <is>
          <t>COM-01</t>
        </is>
      </c>
      <c r="C136" s="2" t="inlineStr">
        <is>
          <t>COM-01.1.2</t>
        </is>
      </c>
      <c r="D136" s="3" t="inlineStr">
        <is>
          <t>High</t>
        </is>
      </c>
      <c r="E136" s="2" t="inlineStr">
        <is>
          <t>Build non-workforce cost model — technology, facilities, consumables, travel, insurance, management overhead, third-party services</t>
        </is>
      </c>
      <c r="F136" s="2" t="inlineStr">
        <is>
          <t>AI executes task autonomously from structured inputs. Human reviews.</t>
        </is>
      </c>
      <c r="G136" s="2" t="inlineStr">
        <is>
          <t>Upstream COM-01 outputs</t>
        </is>
      </c>
      <c r="H136" s="2" t="inlineStr">
        <is>
          <t>Time reduction: Task largely automated from structured data</t>
        </is>
      </c>
      <c r="I136" s="2" t="inlineStr">
        <is>
          <t>Commercial Lead</t>
        </is>
      </c>
      <c r="J136" s="2" t="n">
        <v>8</v>
      </c>
      <c r="K136" s="2" t="n">
        <v>1</v>
      </c>
      <c r="L136" s="4">
        <f>J136/COUNTIF($B:$B,B136)</f>
        <v/>
      </c>
      <c r="M136" s="5" t="n">
        <v>0.6</v>
      </c>
      <c r="N136" s="5" t="n">
        <v>0.15</v>
      </c>
      <c r="O136" s="6">
        <f>1-(1-M136)*(1-N136)</f>
        <v/>
      </c>
      <c r="P136" s="7">
        <f>L136*O136</f>
        <v/>
      </c>
      <c r="Q136" s="2" t="inlineStr">
        <is>
          <t>Medium</t>
        </is>
      </c>
      <c r="R136" s="2" t="inlineStr">
        <is>
          <t>Moderate</t>
        </is>
      </c>
      <c r="S136" s="2" t="inlineStr">
        <is>
          <t>Yes</t>
        </is>
      </c>
      <c r="T136" s="2" t="inlineStr">
        <is>
          <t>Structured data must be available</t>
        </is>
      </c>
      <c r="U136" s="2" t="inlineStr">
        <is>
          <t>Corporate Cost Data</t>
        </is>
      </c>
      <c r="V136" s="2" t="inlineStr">
        <is>
          <t>Phase 4</t>
        </is>
      </c>
      <c r="W136" s="2" t="inlineStr"/>
    </row>
    <row r="137">
      <c r="A137" s="2" t="inlineStr">
        <is>
          <t>COM</t>
        </is>
      </c>
      <c r="B137" s="2" t="inlineStr">
        <is>
          <t>COM-01</t>
        </is>
      </c>
      <c r="C137" s="2" t="inlineStr">
        <is>
          <t>COM-01.1.3</t>
        </is>
      </c>
      <c r="D137" s="8" t="inlineStr">
        <is>
          <t>Medium</t>
        </is>
      </c>
      <c r="E137" s="2" t="inlineStr">
        <is>
          <t>Build transition and mobilisation cost model — one-off costs from SOL-07: dual running, recruitment, technology migration, training, mobilisation team</t>
        </is>
      </c>
      <c r="F137" s="2" t="inlineStr">
        <is>
          <t>AI runs models from structured inputs. Human validates assumptions.</t>
        </is>
      </c>
      <c r="G137" s="2" t="inlineStr">
        <is>
          <t>Upstream COM-01 outputs</t>
        </is>
      </c>
      <c r="H137" s="2" t="inlineStr">
        <is>
          <t>Decision velocity: AI draft available immediately for human refinement</t>
        </is>
      </c>
      <c r="I137" s="2" t="inlineStr">
        <is>
          <t>Commercial Lead</t>
        </is>
      </c>
      <c r="J137" s="2" t="n">
        <v>8</v>
      </c>
      <c r="K137" s="2" t="n">
        <v>1</v>
      </c>
      <c r="L137" s="4">
        <f>J137/COUNTIF($B:$B,B137)</f>
        <v/>
      </c>
      <c r="M137" s="5" t="n">
        <v>0.35</v>
      </c>
      <c r="N137" s="5" t="n">
        <v>0.15</v>
      </c>
      <c r="O137" s="6">
        <f>1-(1-M137)*(1-N137)</f>
        <v/>
      </c>
      <c r="P137" s="7">
        <f>L137*O137</f>
        <v/>
      </c>
      <c r="Q137" s="2" t="inlineStr">
        <is>
          <t>Medium</t>
        </is>
      </c>
      <c r="R137" s="2" t="inlineStr">
        <is>
          <t>Moderate</t>
        </is>
      </c>
      <c r="S137" s="2" t="inlineStr">
        <is>
          <t>Moderate</t>
        </is>
      </c>
      <c r="T137" s="2" t="inlineStr">
        <is>
          <t>Domain judgement required for validation</t>
        </is>
      </c>
      <c r="U137" s="2" t="inlineStr">
        <is>
          <t>Corporate Cost Data</t>
        </is>
      </c>
      <c r="V137" s="2" t="inlineStr">
        <is>
          <t>Phase 4</t>
        </is>
      </c>
      <c r="W137" s="2" t="inlineStr"/>
    </row>
    <row r="138">
      <c r="A138" s="2" t="inlineStr">
        <is>
          <t>COM</t>
        </is>
      </c>
      <c r="B138" s="2" t="inlineStr">
        <is>
          <t>COM-01</t>
        </is>
      </c>
      <c r="C138" s="2" t="inlineStr">
        <is>
          <t>COM-01.1.4</t>
        </is>
      </c>
      <c r="D138" s="8" t="inlineStr">
        <is>
          <t>Medium</t>
        </is>
      </c>
      <c r="E138" s="2" t="inlineStr">
        <is>
          <t>Incorporate partner and supply chain cost placeholder — to be updated when COM-03 confirms partner pricing</t>
        </is>
      </c>
      <c r="F138" s="2" t="inlineStr">
        <is>
          <t>AI accelerates with draft/analysis. Human applies domain judgement.</t>
        </is>
      </c>
      <c r="G138" s="2" t="inlineStr">
        <is>
          <t>Upstream COM-01 outputs</t>
        </is>
      </c>
      <c r="H138" s="2" t="inlineStr">
        <is>
          <t>Decision velocity: AI draft available immediately for human refinement</t>
        </is>
      </c>
      <c r="I138" s="2" t="inlineStr">
        <is>
          <t>Commercial Lead</t>
        </is>
      </c>
      <c r="J138" s="2" t="n">
        <v>8</v>
      </c>
      <c r="K138" s="2" t="n">
        <v>1</v>
      </c>
      <c r="L138" s="4">
        <f>J138/COUNTIF($B:$B,B138)</f>
        <v/>
      </c>
      <c r="M138" s="5" t="n">
        <v>0.35</v>
      </c>
      <c r="N138" s="5" t="n">
        <v>0.15</v>
      </c>
      <c r="O138" s="6">
        <f>1-(1-M138)*(1-N138)</f>
        <v/>
      </c>
      <c r="P138" s="7">
        <f>L138*O138</f>
        <v/>
      </c>
      <c r="Q138" s="2" t="inlineStr">
        <is>
          <t>Medium</t>
        </is>
      </c>
      <c r="R138" s="2" t="inlineStr">
        <is>
          <t>Moderate</t>
        </is>
      </c>
      <c r="S138" s="2" t="inlineStr">
        <is>
          <t>Moderate</t>
        </is>
      </c>
      <c r="T138" s="2" t="inlineStr">
        <is>
          <t>Domain judgement required for validation</t>
        </is>
      </c>
      <c r="U138" s="2" t="inlineStr">
        <is>
          <t>None</t>
        </is>
      </c>
      <c r="V138" s="2" t="inlineStr">
        <is>
          <t>Phase 4</t>
        </is>
      </c>
      <c r="W138" s="2" t="inlineStr"/>
    </row>
    <row r="139">
      <c r="A139" s="2" t="inlineStr">
        <is>
          <t>COM</t>
        </is>
      </c>
      <c r="B139" s="2" t="inlineStr">
        <is>
          <t>COM-01</t>
        </is>
      </c>
      <c r="C139" s="2" t="inlineStr">
        <is>
          <t>COM-01.2.1</t>
        </is>
      </c>
      <c r="D139" s="8" t="inlineStr">
        <is>
          <t>Medium</t>
        </is>
      </c>
      <c r="E139" s="2" t="inlineStr">
        <is>
          <t>Model cost trajectory across the contract term — year-on-year cost profile incorporating innovation productivity curve and planned changes</t>
        </is>
      </c>
      <c r="F139" s="2" t="inlineStr">
        <is>
          <t>AI runs models from structured inputs. Human validates assumptions.</t>
        </is>
      </c>
      <c r="G139" s="2" t="inlineStr">
        <is>
          <t>Upstream COM-01 outputs</t>
        </is>
      </c>
      <c r="H139" s="2" t="inlineStr">
        <is>
          <t>Decision velocity: AI draft available immediately for human refinement</t>
        </is>
      </c>
      <c r="I139" s="2" t="inlineStr">
        <is>
          <t>Commercial Lead</t>
        </is>
      </c>
      <c r="J139" s="2" t="n">
        <v>8</v>
      </c>
      <c r="K139" s="2" t="n">
        <v>1</v>
      </c>
      <c r="L139" s="4">
        <f>J139/COUNTIF($B:$B,B139)</f>
        <v/>
      </c>
      <c r="M139" s="5" t="n">
        <v>0.35</v>
      </c>
      <c r="N139" s="5" t="n">
        <v>0.15</v>
      </c>
      <c r="O139" s="6">
        <f>1-(1-M139)*(1-N139)</f>
        <v/>
      </c>
      <c r="P139" s="7">
        <f>L139*O139</f>
        <v/>
      </c>
      <c r="Q139" s="2" t="inlineStr">
        <is>
          <t>Medium</t>
        </is>
      </c>
      <c r="R139" s="2" t="inlineStr">
        <is>
          <t>Moderate</t>
        </is>
      </c>
      <c r="S139" s="2" t="inlineStr">
        <is>
          <t>Moderate</t>
        </is>
      </c>
      <c r="T139" s="2" t="inlineStr">
        <is>
          <t>Domain judgement required for validation</t>
        </is>
      </c>
      <c r="U139" s="2" t="inlineStr">
        <is>
          <t>None</t>
        </is>
      </c>
      <c r="V139" s="2" t="inlineStr">
        <is>
          <t>Phase 4</t>
        </is>
      </c>
      <c r="W139" s="2" t="inlineStr"/>
    </row>
    <row r="140">
      <c r="A140" s="2" t="inlineStr">
        <is>
          <t>COM</t>
        </is>
      </c>
      <c r="B140" s="2" t="inlineStr">
        <is>
          <t>COM-01</t>
        </is>
      </c>
      <c r="C140" s="2" t="inlineStr">
        <is>
          <t>COM-01.2.2</t>
        </is>
      </c>
      <c r="D140" s="8" t="inlineStr">
        <is>
          <t>Medium</t>
        </is>
      </c>
      <c r="E140" s="2" t="inlineStr">
        <is>
          <t>Document all cost assumptions — inflation, attrition, utilisation, volume, demand variability, rate card basis, contingency approach</t>
        </is>
      </c>
      <c r="F140" s="2" t="inlineStr">
        <is>
          <t>AI accelerates with draft/analysis. Human applies domain judgement.</t>
        </is>
      </c>
      <c r="G140" s="2" t="inlineStr">
        <is>
          <t>Upstream COM-01 outputs</t>
        </is>
      </c>
      <c r="H140" s="2" t="inlineStr">
        <is>
          <t>Decision velocity: AI draft available immediately for human refinement</t>
        </is>
      </c>
      <c r="I140" s="2" t="inlineStr">
        <is>
          <t>Commercial Lead</t>
        </is>
      </c>
      <c r="J140" s="2" t="n">
        <v>8</v>
      </c>
      <c r="K140" s="2" t="n">
        <v>1</v>
      </c>
      <c r="L140" s="4">
        <f>J140/COUNTIF($B:$B,B140)</f>
        <v/>
      </c>
      <c r="M140" s="5" t="n">
        <v>0.35</v>
      </c>
      <c r="N140" s="5" t="n">
        <v>0.15</v>
      </c>
      <c r="O140" s="6">
        <f>1-(1-M140)*(1-N140)</f>
        <v/>
      </c>
      <c r="P140" s="7">
        <f>L140*O140</f>
        <v/>
      </c>
      <c r="Q140" s="2" t="inlineStr">
        <is>
          <t>Medium</t>
        </is>
      </c>
      <c r="R140" s="2" t="inlineStr">
        <is>
          <t>Moderate</t>
        </is>
      </c>
      <c r="S140" s="2" t="inlineStr">
        <is>
          <t>Moderate</t>
        </is>
      </c>
      <c r="T140" s="2" t="inlineStr">
        <is>
          <t>Domain judgement required for validation</t>
        </is>
      </c>
      <c r="U140" s="2" t="inlineStr">
        <is>
          <t>None</t>
        </is>
      </c>
      <c r="V140" s="2" t="inlineStr">
        <is>
          <t>Phase 4</t>
        </is>
      </c>
      <c r="W140" s="2" t="inlineStr"/>
    </row>
    <row r="141">
      <c r="A141" s="2" t="inlineStr">
        <is>
          <t>COM</t>
        </is>
      </c>
      <c r="B141" s="2" t="inlineStr">
        <is>
          <t>COM-01</t>
        </is>
      </c>
      <c r="C141" s="2" t="inlineStr">
        <is>
          <t>COM-01.2.3</t>
        </is>
      </c>
      <c r="D141" s="9" t="inlineStr">
        <is>
          <t>Low</t>
        </is>
      </c>
      <c r="E141" s="2" t="inlineStr">
        <is>
          <t>Validate should-cost model — confirm it reflects the locked solution, is internally consistent, and provides a credible basis for pricing</t>
        </is>
      </c>
      <c r="F141" s="2" t="inlineStr">
        <is>
          <t>AI prepares pack/summary. Decision is human governance.</t>
        </is>
      </c>
      <c r="G141" s="2" t="inlineStr">
        <is>
          <t>Upstream COM-01 outputs</t>
        </is>
      </c>
      <c r="H141" s="2" t="inlineStr">
        <is>
          <t>Minimal: Preparation support only</t>
        </is>
      </c>
      <c r="I141" s="2" t="inlineStr">
        <is>
          <t>Commercial Lead</t>
        </is>
      </c>
      <c r="J141" s="2" t="n">
        <v>8</v>
      </c>
      <c r="K141" s="2" t="n">
        <v>1</v>
      </c>
      <c r="L141" s="4">
        <f>J141/COUNTIF($B:$B,B141)</f>
        <v/>
      </c>
      <c r="M141" s="5" t="n">
        <v>0.1</v>
      </c>
      <c r="N141" s="5" t="n">
        <v>0.15</v>
      </c>
      <c r="O141" s="6">
        <f>1-(1-M141)*(1-N141)</f>
        <v/>
      </c>
      <c r="P141" s="7">
        <f>L141*O141</f>
        <v/>
      </c>
      <c r="Q141" s="2" t="inlineStr">
        <is>
          <t>None</t>
        </is>
      </c>
      <c r="R141" s="2" t="inlineStr">
        <is>
          <t>Low</t>
        </is>
      </c>
      <c r="S141" s="2" t="inlineStr">
        <is>
          <t>Low</t>
        </is>
      </c>
      <c r="T141" s="2" t="inlineStr">
        <is>
          <t>Governance decision is human</t>
        </is>
      </c>
      <c r="U141" s="2" t="inlineStr">
        <is>
          <t>Corporate Cost Data</t>
        </is>
      </c>
      <c r="V141" s="2" t="inlineStr">
        <is>
          <t>Phase 4</t>
        </is>
      </c>
      <c r="W141" s="2" t="inlineStr"/>
    </row>
    <row r="142">
      <c r="A142" s="2" t="inlineStr">
        <is>
          <t>COM</t>
        </is>
      </c>
      <c r="B142" s="2" t="inlineStr">
        <is>
          <t>COM-02</t>
        </is>
      </c>
      <c r="C142" s="2" t="inlineStr">
        <is>
          <t>COM-02.1.1</t>
        </is>
      </c>
      <c r="D142" s="3" t="inlineStr">
        <is>
          <t>High</t>
        </is>
      </c>
      <c r="E142" s="2" t="inlineStr">
        <is>
          <t>Establish the current cost baseline — existing contract value, historical award data, and industry benchmarking for comparable services or commodities</t>
        </is>
      </c>
      <c r="F142" s="2" t="inlineStr">
        <is>
          <t>AI executes task autonomously from structured inputs. Human reviews.</t>
        </is>
      </c>
      <c r="G142" s="2" t="inlineStr">
        <is>
          <t>Upstream COM-02 outputs</t>
        </is>
      </c>
      <c r="H142" s="2" t="inlineStr">
        <is>
          <t>Time reduction: Task largely automated from structured data</t>
        </is>
      </c>
      <c r="I142" s="2" t="inlineStr">
        <is>
          <t>Commercial Lead</t>
        </is>
      </c>
      <c r="J142" s="2" t="n">
        <v>3</v>
      </c>
      <c r="K142" s="2" t="n">
        <v>1</v>
      </c>
      <c r="L142" s="4">
        <f>J142/COUNTIF($B:$B,B142)</f>
        <v/>
      </c>
      <c r="M142" s="5" t="n">
        <v>0.6</v>
      </c>
      <c r="N142" s="10" t="n">
        <v>0.25</v>
      </c>
      <c r="O142" s="6">
        <f>1-(1-M142)*(1-N142)</f>
        <v/>
      </c>
      <c r="P142" s="7">
        <f>L142*O142</f>
        <v/>
      </c>
      <c r="Q142" s="2" t="inlineStr">
        <is>
          <t>Medium</t>
        </is>
      </c>
      <c r="R142" s="2" t="inlineStr">
        <is>
          <t>Moderate</t>
        </is>
      </c>
      <c r="S142" s="2" t="inlineStr">
        <is>
          <t>Yes</t>
        </is>
      </c>
      <c r="T142" s="2" t="inlineStr">
        <is>
          <t>Structured data must be available</t>
        </is>
      </c>
      <c r="U142" s="2" t="inlineStr">
        <is>
          <t>None</t>
        </is>
      </c>
      <c r="V142" s="2" t="inlineStr">
        <is>
          <t>Phase 4</t>
        </is>
      </c>
      <c r="W142" s="2" t="inlineStr"/>
    </row>
    <row r="143">
      <c r="A143" s="2" t="inlineStr">
        <is>
          <t>COM</t>
        </is>
      </c>
      <c r="B143" s="2" t="inlineStr">
        <is>
          <t>COM-02</t>
        </is>
      </c>
      <c r="C143" s="2" t="inlineStr">
        <is>
          <t>COM-02.1.2</t>
        </is>
      </c>
      <c r="D143" s="3" t="inlineStr">
        <is>
          <t>High</t>
        </is>
      </c>
      <c r="E143" s="2" t="inlineStr">
        <is>
          <t>Assess competitor price positioning — what are credible competitors likely to bid based on their cost base, strategy, and market behaviour?</t>
        </is>
      </c>
      <c r="F143" s="2" t="inlineStr">
        <is>
          <t>AI executes task autonomously from structured inputs. Human reviews.</t>
        </is>
      </c>
      <c r="G143" s="2" t="inlineStr">
        <is>
          <t>Upstream COM-02 outputs</t>
        </is>
      </c>
      <c r="H143" s="2" t="inlineStr">
        <is>
          <t>Time reduction: Task largely automated from structured data</t>
        </is>
      </c>
      <c r="I143" s="2" t="inlineStr">
        <is>
          <t>Commercial Lead</t>
        </is>
      </c>
      <c r="J143" s="2" t="n">
        <v>3</v>
      </c>
      <c r="K143" s="2" t="n">
        <v>1</v>
      </c>
      <c r="L143" s="4">
        <f>J143/COUNTIF($B:$B,B143)</f>
        <v/>
      </c>
      <c r="M143" s="5" t="n">
        <v>0.6</v>
      </c>
      <c r="N143" s="10" t="n">
        <v>0.25</v>
      </c>
      <c r="O143" s="6">
        <f>1-(1-M143)*(1-N143)</f>
        <v/>
      </c>
      <c r="P143" s="7">
        <f>L143*O143</f>
        <v/>
      </c>
      <c r="Q143" s="2" t="inlineStr">
        <is>
          <t>Medium</t>
        </is>
      </c>
      <c r="R143" s="2" t="inlineStr">
        <is>
          <t>Moderate</t>
        </is>
      </c>
      <c r="S143" s="2" t="inlineStr">
        <is>
          <t>Yes</t>
        </is>
      </c>
      <c r="T143" s="2" t="inlineStr">
        <is>
          <t>Structured data must be available</t>
        </is>
      </c>
      <c r="U143" s="2" t="inlineStr">
        <is>
          <t>Corporate Cost Data</t>
        </is>
      </c>
      <c r="V143" s="2" t="inlineStr">
        <is>
          <t>Phase 4</t>
        </is>
      </c>
      <c r="W143" s="2" t="inlineStr"/>
    </row>
    <row r="144">
      <c r="A144" s="2" t="inlineStr">
        <is>
          <t>COM</t>
        </is>
      </c>
      <c r="B144" s="2" t="inlineStr">
        <is>
          <t>COM-02</t>
        </is>
      </c>
      <c r="C144" s="2" t="inlineStr">
        <is>
          <t>COM-02.1.3</t>
        </is>
      </c>
      <c r="D144" s="8" t="inlineStr">
        <is>
          <t>Medium</t>
        </is>
      </c>
      <c r="E144" s="2" t="inlineStr">
        <is>
          <t>Assess client budget and affordability — what can the client afford, what signals have they given, and how does the Procurement Act MAT framework affect price evaluation?</t>
        </is>
      </c>
      <c r="F144" s="2" t="inlineStr">
        <is>
          <t>AI provides analysis and assessment. Human validates with judgement.</t>
        </is>
      </c>
      <c r="G144" s="2" t="inlineStr">
        <is>
          <t>Upstream COM-02 outputs</t>
        </is>
      </c>
      <c r="H144" s="2" t="inlineStr">
        <is>
          <t>Decision velocity: AI draft available immediately for human refinement</t>
        </is>
      </c>
      <c r="I144" s="2" t="inlineStr">
        <is>
          <t>Commercial Lead</t>
        </is>
      </c>
      <c r="J144" s="2" t="n">
        <v>3</v>
      </c>
      <c r="K144" s="2" t="n">
        <v>1</v>
      </c>
      <c r="L144" s="4">
        <f>J144/COUNTIF($B:$B,B144)</f>
        <v/>
      </c>
      <c r="M144" s="5" t="n">
        <v>0.35</v>
      </c>
      <c r="N144" s="10" t="n">
        <v>0.25</v>
      </c>
      <c r="O144" s="6">
        <f>1-(1-M144)*(1-N144)</f>
        <v/>
      </c>
      <c r="P144" s="7">
        <f>L144*O144</f>
        <v/>
      </c>
      <c r="Q144" s="2" t="inlineStr">
        <is>
          <t>Medium</t>
        </is>
      </c>
      <c r="R144" s="2" t="inlineStr">
        <is>
          <t>Moderate</t>
        </is>
      </c>
      <c r="S144" s="2" t="inlineStr">
        <is>
          <t>Moderate</t>
        </is>
      </c>
      <c r="T144" s="2" t="inlineStr">
        <is>
          <t>Domain judgement required for validation</t>
        </is>
      </c>
      <c r="U144" s="2" t="inlineStr">
        <is>
          <t>Corporate Cost Data</t>
        </is>
      </c>
      <c r="V144" s="2" t="inlineStr">
        <is>
          <t>Phase 4</t>
        </is>
      </c>
      <c r="W144" s="2" t="inlineStr"/>
    </row>
    <row r="145">
      <c r="A145" s="2" t="inlineStr">
        <is>
          <t>COM</t>
        </is>
      </c>
      <c r="B145" s="2" t="inlineStr">
        <is>
          <t>COM-02</t>
        </is>
      </c>
      <c r="C145" s="2" t="inlineStr">
        <is>
          <t>COM-02.2.1</t>
        </is>
      </c>
      <c r="D145" s="8" t="inlineStr">
        <is>
          <t>Medium</t>
        </is>
      </c>
      <c r="E145" s="2" t="inlineStr">
        <is>
          <t>Model the price envelope — floor, competitive midpoint, and ceiling — incorporating quality/price interaction and Procurement Act MAT assessment framework</t>
        </is>
      </c>
      <c r="F145" s="2" t="inlineStr">
        <is>
          <t>AI provides analysis and assessment. Human validates with judgement.</t>
        </is>
      </c>
      <c r="G145" s="2" t="inlineStr">
        <is>
          <t>Upstream COM-02 outputs</t>
        </is>
      </c>
      <c r="H145" s="2" t="inlineStr">
        <is>
          <t>Decision velocity: AI draft available immediately for human refinement</t>
        </is>
      </c>
      <c r="I145" s="2" t="inlineStr">
        <is>
          <t>Commercial Lead</t>
        </is>
      </c>
      <c r="J145" s="2" t="n">
        <v>3</v>
      </c>
      <c r="K145" s="2" t="n">
        <v>1</v>
      </c>
      <c r="L145" s="4">
        <f>J145/COUNTIF($B:$B,B145)</f>
        <v/>
      </c>
      <c r="M145" s="5" t="n">
        <v>0.35</v>
      </c>
      <c r="N145" s="10" t="n">
        <v>0.25</v>
      </c>
      <c r="O145" s="6">
        <f>1-(1-M145)*(1-N145)</f>
        <v/>
      </c>
      <c r="P145" s="7">
        <f>L145*O145</f>
        <v/>
      </c>
      <c r="Q145" s="2" t="inlineStr">
        <is>
          <t>Medium</t>
        </is>
      </c>
      <c r="R145" s="2" t="inlineStr">
        <is>
          <t>Moderate</t>
        </is>
      </c>
      <c r="S145" s="2" t="inlineStr">
        <is>
          <t>Moderate</t>
        </is>
      </c>
      <c r="T145" s="2" t="inlineStr">
        <is>
          <t>Domain judgement required for validation</t>
        </is>
      </c>
      <c r="U145" s="2" t="inlineStr">
        <is>
          <t>Corporate Cost Data</t>
        </is>
      </c>
      <c r="V145" s="2" t="inlineStr">
        <is>
          <t>Phase 4</t>
        </is>
      </c>
      <c r="W145" s="2" t="inlineStr"/>
    </row>
    <row r="146">
      <c r="A146" s="2" t="inlineStr">
        <is>
          <t>COM</t>
        </is>
      </c>
      <c r="B146" s="2" t="inlineStr">
        <is>
          <t>COM-02</t>
        </is>
      </c>
      <c r="C146" s="2" t="inlineStr">
        <is>
          <t>COM-02.2.2</t>
        </is>
      </c>
      <c r="D146" s="8" t="inlineStr">
        <is>
          <t>Medium</t>
        </is>
      </c>
      <c r="E146" s="2" t="inlineStr">
        <is>
          <t>Compare bottom-up cost against top-down price envelope — is the gap bridgeable? What are the options if it is not?</t>
        </is>
      </c>
      <c r="F146" s="2" t="inlineStr">
        <is>
          <t>AI accelerates with draft/analysis. Human applies domain judgement.</t>
        </is>
      </c>
      <c r="G146" s="2" t="inlineStr">
        <is>
          <t>Upstream COM-02 outputs</t>
        </is>
      </c>
      <c r="H146" s="2" t="inlineStr">
        <is>
          <t>Decision velocity: AI draft available immediately for human refinement</t>
        </is>
      </c>
      <c r="I146" s="2" t="inlineStr">
        <is>
          <t>Commercial Lead</t>
        </is>
      </c>
      <c r="J146" s="2" t="n">
        <v>3</v>
      </c>
      <c r="K146" s="2" t="n">
        <v>1</v>
      </c>
      <c r="L146" s="4">
        <f>J146/COUNTIF($B:$B,B146)</f>
        <v/>
      </c>
      <c r="M146" s="5" t="n">
        <v>0.35</v>
      </c>
      <c r="N146" s="10" t="n">
        <v>0.25</v>
      </c>
      <c r="O146" s="6">
        <f>1-(1-M146)*(1-N146)</f>
        <v/>
      </c>
      <c r="P146" s="7">
        <f>L146*O146</f>
        <v/>
      </c>
      <c r="Q146" s="2" t="inlineStr">
        <is>
          <t>Medium</t>
        </is>
      </c>
      <c r="R146" s="2" t="inlineStr">
        <is>
          <t>Moderate</t>
        </is>
      </c>
      <c r="S146" s="2" t="inlineStr">
        <is>
          <t>Moderate</t>
        </is>
      </c>
      <c r="T146" s="2" t="inlineStr">
        <is>
          <t>Domain judgement required for validation</t>
        </is>
      </c>
      <c r="U146" s="2" t="inlineStr">
        <is>
          <t>Corporate Cost Data</t>
        </is>
      </c>
      <c r="V146" s="2" t="inlineStr">
        <is>
          <t>Phase 4</t>
        </is>
      </c>
      <c r="W146" s="2" t="inlineStr"/>
    </row>
    <row r="147">
      <c r="A147" s="2" t="inlineStr">
        <is>
          <t>COM</t>
        </is>
      </c>
      <c r="B147" s="2" t="inlineStr">
        <is>
          <t>COM-02</t>
        </is>
      </c>
      <c r="C147" s="2" t="inlineStr">
        <is>
          <t>COM-02.2.3</t>
        </is>
      </c>
      <c r="D147" s="9" t="inlineStr">
        <is>
          <t>Low</t>
        </is>
      </c>
      <c r="E147" s="2" t="inlineStr">
        <is>
          <t>Validate price-to-win assessment — confirm the recommended price position and escalate if bottom-up exceeds top-down</t>
        </is>
      </c>
      <c r="F147" s="2" t="inlineStr">
        <is>
          <t>AI prepares pack/summary. Decision is human governance.</t>
        </is>
      </c>
      <c r="G147" s="2" t="inlineStr">
        <is>
          <t>Upstream COM-02 outputs</t>
        </is>
      </c>
      <c r="H147" s="2" t="inlineStr">
        <is>
          <t>Minimal: Preparation support only</t>
        </is>
      </c>
      <c r="I147" s="2" t="inlineStr">
        <is>
          <t>Commercial Lead</t>
        </is>
      </c>
      <c r="J147" s="2" t="n">
        <v>3</v>
      </c>
      <c r="K147" s="2" t="n">
        <v>1</v>
      </c>
      <c r="L147" s="4">
        <f>J147/COUNTIF($B:$B,B147)</f>
        <v/>
      </c>
      <c r="M147" s="5" t="n">
        <v>0.1</v>
      </c>
      <c r="N147" s="10" t="n">
        <v>0.25</v>
      </c>
      <c r="O147" s="6">
        <f>1-(1-M147)*(1-N147)</f>
        <v/>
      </c>
      <c r="P147" s="7">
        <f>L147*O147</f>
        <v/>
      </c>
      <c r="Q147" s="2" t="inlineStr">
        <is>
          <t>None</t>
        </is>
      </c>
      <c r="R147" s="2" t="inlineStr">
        <is>
          <t>Low</t>
        </is>
      </c>
      <c r="S147" s="2" t="inlineStr">
        <is>
          <t>Low</t>
        </is>
      </c>
      <c r="T147" s="2" t="inlineStr">
        <is>
          <t>Governance decision is human</t>
        </is>
      </c>
      <c r="U147" s="2" t="inlineStr">
        <is>
          <t>Corporate Cost Data</t>
        </is>
      </c>
      <c r="V147" s="2" t="inlineStr">
        <is>
          <t>Phase 4</t>
        </is>
      </c>
      <c r="W147" s="2" t="inlineStr"/>
    </row>
    <row r="148">
      <c r="A148" s="2" t="inlineStr">
        <is>
          <t>COM</t>
        </is>
      </c>
      <c r="B148" s="2" t="inlineStr">
        <is>
          <t>COM-03</t>
        </is>
      </c>
      <c r="C148" s="2" t="inlineStr">
        <is>
          <t>COM-03.1.1</t>
        </is>
      </c>
      <c r="D148" s="3" t="inlineStr">
        <is>
          <t>High</t>
        </is>
      </c>
      <c r="E148" s="2" t="inlineStr">
        <is>
          <t>Detail the inter-party commercial framework — margin stack, risk sharing principles, payment flow, indexation basis, volume commitments between consortium members</t>
        </is>
      </c>
      <c r="F148" s="2" t="inlineStr">
        <is>
          <t>AI executes task autonomously from structured inputs. Human reviews.</t>
        </is>
      </c>
      <c r="G148" s="2" t="inlineStr">
        <is>
          <t>Upstream COM-03 outputs</t>
        </is>
      </c>
      <c r="H148" s="2" t="inlineStr">
        <is>
          <t>Time reduction: Task largely automated from structured data</t>
        </is>
      </c>
      <c r="I148" s="2" t="inlineStr">
        <is>
          <t>Commercial Lead</t>
        </is>
      </c>
      <c r="J148" s="2" t="n">
        <v>5</v>
      </c>
      <c r="K148" s="2" t="n">
        <v>1</v>
      </c>
      <c r="L148" s="4">
        <f>J148/COUNTIF($B:$B,B148)</f>
        <v/>
      </c>
      <c r="M148" s="5" t="n">
        <v>0.6</v>
      </c>
      <c r="N148" s="5" t="n">
        <v>0.15</v>
      </c>
      <c r="O148" s="6">
        <f>1-(1-M148)*(1-N148)</f>
        <v/>
      </c>
      <c r="P148" s="7">
        <f>L148*O148</f>
        <v/>
      </c>
      <c r="Q148" s="2" t="inlineStr">
        <is>
          <t>Medium</t>
        </is>
      </c>
      <c r="R148" s="2" t="inlineStr">
        <is>
          <t>Moderate</t>
        </is>
      </c>
      <c r="S148" s="2" t="inlineStr">
        <is>
          <t>Yes</t>
        </is>
      </c>
      <c r="T148" s="2" t="inlineStr">
        <is>
          <t>Structured data must be available</t>
        </is>
      </c>
      <c r="U148" s="2" t="inlineStr">
        <is>
          <t>None</t>
        </is>
      </c>
      <c r="V148" s="2" t="inlineStr">
        <is>
          <t>N/A</t>
        </is>
      </c>
      <c r="W148" s="2" t="inlineStr"/>
    </row>
    <row r="149">
      <c r="A149" s="2" t="inlineStr">
        <is>
          <t>COM</t>
        </is>
      </c>
      <c r="B149" s="2" t="inlineStr">
        <is>
          <t>COM-03</t>
        </is>
      </c>
      <c r="C149" s="2" t="inlineStr">
        <is>
          <t>COM-03.1.2</t>
        </is>
      </c>
      <c r="D149" s="8" t="inlineStr">
        <is>
          <t>Medium</t>
        </is>
      </c>
      <c r="E149" s="2" t="inlineStr">
        <is>
          <t>Prepare structured pricing requests for each partner — scope, volumes, assumptions, timeline, format aligned to work breakdown and our commercial model</t>
        </is>
      </c>
      <c r="F149" s="2" t="inlineStr">
        <is>
          <t>AI runs models from structured inputs. Human validates assumptions.</t>
        </is>
      </c>
      <c r="G149" s="2" t="inlineStr">
        <is>
          <t>Upstream COM-03 outputs</t>
        </is>
      </c>
      <c r="H149" s="2" t="inlineStr">
        <is>
          <t>Decision velocity: AI draft available immediately for human refinement</t>
        </is>
      </c>
      <c r="I149" s="2" t="inlineStr">
        <is>
          <t>Commercial Lead</t>
        </is>
      </c>
      <c r="J149" s="2" t="n">
        <v>5</v>
      </c>
      <c r="K149" s="2" t="n">
        <v>1</v>
      </c>
      <c r="L149" s="4">
        <f>J149/COUNTIF($B:$B,B149)</f>
        <v/>
      </c>
      <c r="M149" s="5" t="n">
        <v>0.35</v>
      </c>
      <c r="N149" s="5" t="n">
        <v>0.15</v>
      </c>
      <c r="O149" s="6">
        <f>1-(1-M149)*(1-N149)</f>
        <v/>
      </c>
      <c r="P149" s="7">
        <f>L149*O149</f>
        <v/>
      </c>
      <c r="Q149" s="2" t="inlineStr">
        <is>
          <t>Medium</t>
        </is>
      </c>
      <c r="R149" s="2" t="inlineStr">
        <is>
          <t>Moderate</t>
        </is>
      </c>
      <c r="S149" s="2" t="inlineStr">
        <is>
          <t>Moderate</t>
        </is>
      </c>
      <c r="T149" s="2" t="inlineStr">
        <is>
          <t>Domain judgement required for validation</t>
        </is>
      </c>
      <c r="U149" s="2" t="inlineStr">
        <is>
          <t>None</t>
        </is>
      </c>
      <c r="V149" s="2" t="inlineStr">
        <is>
          <t>N/A</t>
        </is>
      </c>
      <c r="W149" s="2" t="inlineStr"/>
    </row>
    <row r="150">
      <c r="A150" s="2" t="inlineStr">
        <is>
          <t>COM</t>
        </is>
      </c>
      <c r="B150" s="2" t="inlineStr">
        <is>
          <t>COM-03</t>
        </is>
      </c>
      <c r="C150" s="2" t="inlineStr">
        <is>
          <t>COM-03.2.1</t>
        </is>
      </c>
      <c r="D150" s="8" t="inlineStr">
        <is>
          <t>Medium</t>
        </is>
      </c>
      <c r="E150" s="2" t="inlineStr">
        <is>
          <t>Review and validate partner pricing submissions — completeness, assumption alignment, competitiveness, and fit within our commercial model</t>
        </is>
      </c>
      <c r="F150" s="2" t="inlineStr">
        <is>
          <t>AI provides analysis and assessment. Human validates with judgement.</t>
        </is>
      </c>
      <c r="G150" s="2" t="inlineStr">
        <is>
          <t>Upstream COM-03 outputs</t>
        </is>
      </c>
      <c r="H150" s="2" t="inlineStr">
        <is>
          <t>Decision velocity: AI draft available immediately for human refinement</t>
        </is>
      </c>
      <c r="I150" s="2" t="inlineStr">
        <is>
          <t>Commercial Lead</t>
        </is>
      </c>
      <c r="J150" s="2" t="n">
        <v>5</v>
      </c>
      <c r="K150" s="2" t="n">
        <v>1</v>
      </c>
      <c r="L150" s="4">
        <f>J150/COUNTIF($B:$B,B150)</f>
        <v/>
      </c>
      <c r="M150" s="5" t="n">
        <v>0.35</v>
      </c>
      <c r="N150" s="5" t="n">
        <v>0.15</v>
      </c>
      <c r="O150" s="6">
        <f>1-(1-M150)*(1-N150)</f>
        <v/>
      </c>
      <c r="P150" s="7">
        <f>L150*O150</f>
        <v/>
      </c>
      <c r="Q150" s="2" t="inlineStr">
        <is>
          <t>Medium</t>
        </is>
      </c>
      <c r="R150" s="2" t="inlineStr">
        <is>
          <t>Moderate</t>
        </is>
      </c>
      <c r="S150" s="2" t="inlineStr">
        <is>
          <t>Moderate</t>
        </is>
      </c>
      <c r="T150" s="2" t="inlineStr">
        <is>
          <t>Domain judgement required for validation</t>
        </is>
      </c>
      <c r="U150" s="2" t="inlineStr">
        <is>
          <t>None</t>
        </is>
      </c>
      <c r="V150" s="2" t="inlineStr">
        <is>
          <t>N/A</t>
        </is>
      </c>
      <c r="W150" s="2" t="inlineStr"/>
    </row>
    <row r="151">
      <c r="A151" s="2" t="inlineStr">
        <is>
          <t>COM</t>
        </is>
      </c>
      <c r="B151" s="2" t="inlineStr">
        <is>
          <t>COM-03</t>
        </is>
      </c>
      <c r="C151" s="2" t="inlineStr">
        <is>
          <t>COM-03.2.2</t>
        </is>
      </c>
      <c r="D151" s="8" t="inlineStr">
        <is>
          <t>Medium</t>
        </is>
      </c>
      <c r="E151" s="2" t="inlineStr">
        <is>
          <t>Negotiate partner pricing and terms — resolve gaps, align assumptions, agree final pricing and risk allocation per partner</t>
        </is>
      </c>
      <c r="F151" s="2" t="inlineStr">
        <is>
          <t>AI accelerates with draft/analysis. Human applies domain judgement.</t>
        </is>
      </c>
      <c r="G151" s="2" t="inlineStr">
        <is>
          <t>Upstream COM-03 outputs</t>
        </is>
      </c>
      <c r="H151" s="2" t="inlineStr">
        <is>
          <t>Decision velocity: AI draft available immediately for human refinement</t>
        </is>
      </c>
      <c r="I151" s="2" t="inlineStr">
        <is>
          <t>Commercial Lead</t>
        </is>
      </c>
      <c r="J151" s="2" t="n">
        <v>5</v>
      </c>
      <c r="K151" s="2" t="n">
        <v>1</v>
      </c>
      <c r="L151" s="4">
        <f>J151/COUNTIF($B:$B,B151)</f>
        <v/>
      </c>
      <c r="M151" s="5" t="n">
        <v>0.35</v>
      </c>
      <c r="N151" s="5" t="n">
        <v>0.15</v>
      </c>
      <c r="O151" s="6">
        <f>1-(1-M151)*(1-N151)</f>
        <v/>
      </c>
      <c r="P151" s="7">
        <f>L151*O151</f>
        <v/>
      </c>
      <c r="Q151" s="2" t="inlineStr">
        <is>
          <t>Medium</t>
        </is>
      </c>
      <c r="R151" s="2" t="inlineStr">
        <is>
          <t>Moderate</t>
        </is>
      </c>
      <c r="S151" s="2" t="inlineStr">
        <is>
          <t>Moderate</t>
        </is>
      </c>
      <c r="T151" s="2" t="inlineStr">
        <is>
          <t>Domain judgement required for validation</t>
        </is>
      </c>
      <c r="U151" s="2" t="inlineStr">
        <is>
          <t>None</t>
        </is>
      </c>
      <c r="V151" s="2" t="inlineStr">
        <is>
          <t>N/A</t>
        </is>
      </c>
      <c r="W151" s="2" t="inlineStr"/>
    </row>
    <row r="152">
      <c r="A152" s="2" t="inlineStr">
        <is>
          <t>COM</t>
        </is>
      </c>
      <c r="B152" s="2" t="inlineStr">
        <is>
          <t>COM-03</t>
        </is>
      </c>
      <c r="C152" s="2" t="inlineStr">
        <is>
          <t>COM-03.3.1</t>
        </is>
      </c>
      <c r="D152" s="9" t="inlineStr">
        <is>
          <t>Low</t>
        </is>
      </c>
      <c r="E152" s="2" t="inlineStr">
        <is>
          <t>Integrate confirmed partner pricing into the should-cost model — replace placeholders, reconcile assumptions, update year-on-year cost trajectory</t>
        </is>
      </c>
      <c r="F152" s="2" t="inlineStr">
        <is>
          <t>AI prepares pack/summary. Decision is human governance.</t>
        </is>
      </c>
      <c r="G152" s="2" t="inlineStr">
        <is>
          <t>Upstream COM-03 outputs</t>
        </is>
      </c>
      <c r="H152" s="2" t="inlineStr">
        <is>
          <t>Minimal: Preparation support only</t>
        </is>
      </c>
      <c r="I152" s="2" t="inlineStr">
        <is>
          <t>Commercial Lead</t>
        </is>
      </c>
      <c r="J152" s="2" t="n">
        <v>5</v>
      </c>
      <c r="K152" s="2" t="n">
        <v>1</v>
      </c>
      <c r="L152" s="4">
        <f>J152/COUNTIF($B:$B,B152)</f>
        <v/>
      </c>
      <c r="M152" s="5" t="n">
        <v>0.1</v>
      </c>
      <c r="N152" s="5" t="n">
        <v>0.15</v>
      </c>
      <c r="O152" s="6">
        <f>1-(1-M152)*(1-N152)</f>
        <v/>
      </c>
      <c r="P152" s="7">
        <f>L152*O152</f>
        <v/>
      </c>
      <c r="Q152" s="2" t="inlineStr">
        <is>
          <t>None</t>
        </is>
      </c>
      <c r="R152" s="2" t="inlineStr">
        <is>
          <t>Low</t>
        </is>
      </c>
      <c r="S152" s="2" t="inlineStr">
        <is>
          <t>Low</t>
        </is>
      </c>
      <c r="T152" s="2" t="inlineStr">
        <is>
          <t>Governance decision is human</t>
        </is>
      </c>
      <c r="U152" s="2" t="inlineStr">
        <is>
          <t>Corporate Cost Data</t>
        </is>
      </c>
      <c r="V152" s="2" t="inlineStr">
        <is>
          <t>N/A</t>
        </is>
      </c>
      <c r="W152" s="2" t="inlineStr"/>
    </row>
    <row r="153">
      <c r="A153" s="2" t="inlineStr">
        <is>
          <t>COM</t>
        </is>
      </c>
      <c r="B153" s="2" t="inlineStr">
        <is>
          <t>COM-03</t>
        </is>
      </c>
      <c r="C153" s="2" t="inlineStr">
        <is>
          <t>COM-03.3.2</t>
        </is>
      </c>
      <c r="D153" s="9" t="inlineStr">
        <is>
          <t>Low</t>
        </is>
      </c>
      <c r="E153" s="2" t="inlineStr">
        <is>
          <t>Validate partner pricing schedule — all partners priced, assumptions aligned, commercially viable, feeds COM-05 and COM-06</t>
        </is>
      </c>
      <c r="F153" s="2" t="inlineStr">
        <is>
          <t>AI prepares pack/summary. Decision is human governance.</t>
        </is>
      </c>
      <c r="G153" s="2" t="inlineStr">
        <is>
          <t>Upstream COM-03 outputs</t>
        </is>
      </c>
      <c r="H153" s="2" t="inlineStr">
        <is>
          <t>Minimal: Preparation support only</t>
        </is>
      </c>
      <c r="I153" s="2" t="inlineStr">
        <is>
          <t>Commercial Lead</t>
        </is>
      </c>
      <c r="J153" s="2" t="n">
        <v>5</v>
      </c>
      <c r="K153" s="2" t="n">
        <v>1</v>
      </c>
      <c r="L153" s="4">
        <f>J153/COUNTIF($B:$B,B153)</f>
        <v/>
      </c>
      <c r="M153" s="5" t="n">
        <v>0.1</v>
      </c>
      <c r="N153" s="5" t="n">
        <v>0.15</v>
      </c>
      <c r="O153" s="6">
        <f>1-(1-M153)*(1-N153)</f>
        <v/>
      </c>
      <c r="P153" s="7">
        <f>L153*O153</f>
        <v/>
      </c>
      <c r="Q153" s="2" t="inlineStr">
        <is>
          <t>Low</t>
        </is>
      </c>
      <c r="R153" s="2" t="inlineStr">
        <is>
          <t>Low</t>
        </is>
      </c>
      <c r="S153" s="2" t="inlineStr">
        <is>
          <t>Low</t>
        </is>
      </c>
      <c r="T153" s="2" t="inlineStr">
        <is>
          <t>Team validation requires human judgement</t>
        </is>
      </c>
      <c r="U153" s="2" t="inlineStr">
        <is>
          <t>Corporate Cost Data</t>
        </is>
      </c>
      <c r="V153" s="2" t="inlineStr">
        <is>
          <t>N/A</t>
        </is>
      </c>
      <c r="W153" s="2" t="inlineStr"/>
    </row>
    <row r="154">
      <c r="A154" s="2" t="inlineStr">
        <is>
          <t>COM</t>
        </is>
      </c>
      <c r="B154" s="2" t="inlineStr">
        <is>
          <t>COM-04</t>
        </is>
      </c>
      <c r="C154" s="2" t="inlineStr">
        <is>
          <t>COM-04.1.1</t>
        </is>
      </c>
      <c r="D154" s="8" t="inlineStr">
        <is>
          <t>Medium</t>
        </is>
      </c>
      <c r="E154" s="2" t="inlineStr">
        <is>
          <t>Design the payment mechanism — how we get paid: fixed price, cost-plus, unitary charge, milestone payments, outcome-based, payment by results, or hybrid</t>
        </is>
      </c>
      <c r="F154" s="2" t="inlineStr">
        <is>
          <t>AI proposes options based on requirements. Human makes design decisions.</t>
        </is>
      </c>
      <c r="G154" s="2" t="inlineStr">
        <is>
          <t>Upstream COM-04 outputs</t>
        </is>
      </c>
      <c r="H154" s="2" t="inlineStr">
        <is>
          <t>Decision velocity: AI draft available immediately for human refinement</t>
        </is>
      </c>
      <c r="I154" s="2" t="inlineStr">
        <is>
          <t>Commercial Lead</t>
        </is>
      </c>
      <c r="J154" s="2" t="n">
        <v>5</v>
      </c>
      <c r="K154" s="2" t="n">
        <v>1</v>
      </c>
      <c r="L154" s="4">
        <f>J154/COUNTIF($B:$B,B154)</f>
        <v/>
      </c>
      <c r="M154" s="5" t="n">
        <v>0.35</v>
      </c>
      <c r="N154" s="5" t="n">
        <v>0.15</v>
      </c>
      <c r="O154" s="6">
        <f>1-(1-M154)*(1-N154)</f>
        <v/>
      </c>
      <c r="P154" s="7">
        <f>L154*O154</f>
        <v/>
      </c>
      <c r="Q154" s="2" t="inlineStr">
        <is>
          <t>Medium</t>
        </is>
      </c>
      <c r="R154" s="2" t="inlineStr">
        <is>
          <t>Moderate</t>
        </is>
      </c>
      <c r="S154" s="2" t="inlineStr">
        <is>
          <t>Moderate</t>
        </is>
      </c>
      <c r="T154" s="2" t="inlineStr">
        <is>
          <t>Domain judgement required for validation</t>
        </is>
      </c>
      <c r="U154" s="2" t="inlineStr">
        <is>
          <t>Corporate Cost Data</t>
        </is>
      </c>
      <c r="V154" s="2" t="inlineStr">
        <is>
          <t>N/A</t>
        </is>
      </c>
      <c r="W154" s="2" t="inlineStr"/>
    </row>
    <row r="155">
      <c r="A155" s="2" t="inlineStr">
        <is>
          <t>COM</t>
        </is>
      </c>
      <c r="B155" s="2" t="inlineStr">
        <is>
          <t>COM-04</t>
        </is>
      </c>
      <c r="C155" s="2" t="inlineStr">
        <is>
          <t>COM-04.1.2</t>
        </is>
      </c>
      <c r="D155" s="8" t="inlineStr">
        <is>
          <t>Medium</t>
        </is>
      </c>
      <c r="E155" s="2" t="inlineStr">
        <is>
          <t>Design the pricing structure — how the price is presented: annual charge, rate card, unit pricing, blended rates, or combination aligned to ITT pricing schedules</t>
        </is>
      </c>
      <c r="F155" s="2" t="inlineStr">
        <is>
          <t>AI proposes options based on requirements. Human makes design decisions.</t>
        </is>
      </c>
      <c r="G155" s="2" t="inlineStr">
        <is>
          <t>Upstream COM-04 outputs</t>
        </is>
      </c>
      <c r="H155" s="2" t="inlineStr">
        <is>
          <t>Decision velocity: AI draft available immediately for human refinement</t>
        </is>
      </c>
      <c r="I155" s="2" t="inlineStr">
        <is>
          <t>Commercial Lead</t>
        </is>
      </c>
      <c r="J155" s="2" t="n">
        <v>5</v>
      </c>
      <c r="K155" s="2" t="n">
        <v>1</v>
      </c>
      <c r="L155" s="4">
        <f>J155/COUNTIF($B:$B,B155)</f>
        <v/>
      </c>
      <c r="M155" s="5" t="n">
        <v>0.35</v>
      </c>
      <c r="N155" s="5" t="n">
        <v>0.15</v>
      </c>
      <c r="O155" s="6">
        <f>1-(1-M155)*(1-N155)</f>
        <v/>
      </c>
      <c r="P155" s="7">
        <f>L155*O155</f>
        <v/>
      </c>
      <c r="Q155" s="2" t="inlineStr">
        <is>
          <t>Medium</t>
        </is>
      </c>
      <c r="R155" s="2" t="inlineStr">
        <is>
          <t>Moderate</t>
        </is>
      </c>
      <c r="S155" s="2" t="inlineStr">
        <is>
          <t>Moderate</t>
        </is>
      </c>
      <c r="T155" s="2" t="inlineStr">
        <is>
          <t>Domain judgement required for validation</t>
        </is>
      </c>
      <c r="U155" s="2" t="inlineStr">
        <is>
          <t>ITT Document Pack</t>
        </is>
      </c>
      <c r="V155" s="2" t="inlineStr">
        <is>
          <t>N/A</t>
        </is>
      </c>
      <c r="W155" s="2" t="inlineStr"/>
    </row>
    <row r="156">
      <c r="A156" s="2" t="inlineStr">
        <is>
          <t>COM</t>
        </is>
      </c>
      <c r="B156" s="2" t="inlineStr">
        <is>
          <t>COM-04</t>
        </is>
      </c>
      <c r="C156" s="2" t="inlineStr">
        <is>
          <t>COM-04.1.3</t>
        </is>
      </c>
      <c r="D156" s="8" t="inlineStr">
        <is>
          <t>Medium</t>
        </is>
      </c>
      <c r="E156" s="2" t="inlineStr">
        <is>
          <t>Design indexation and benchmarking provisions — how prices change over the contract term, and how the client verifies value for money</t>
        </is>
      </c>
      <c r="F156" s="2" t="inlineStr">
        <is>
          <t>AI proposes options based on requirements. Human makes design decisions.</t>
        </is>
      </c>
      <c r="G156" s="2" t="inlineStr">
        <is>
          <t>Upstream COM-04 outputs</t>
        </is>
      </c>
      <c r="H156" s="2" t="inlineStr">
        <is>
          <t>Decision velocity: AI draft available immediately for human refinement</t>
        </is>
      </c>
      <c r="I156" s="2" t="inlineStr">
        <is>
          <t>Commercial Lead</t>
        </is>
      </c>
      <c r="J156" s="2" t="n">
        <v>5</v>
      </c>
      <c r="K156" s="2" t="n">
        <v>1</v>
      </c>
      <c r="L156" s="4">
        <f>J156/COUNTIF($B:$B,B156)</f>
        <v/>
      </c>
      <c r="M156" s="5" t="n">
        <v>0.35</v>
      </c>
      <c r="N156" s="5" t="n">
        <v>0.15</v>
      </c>
      <c r="O156" s="6">
        <f>1-(1-M156)*(1-N156)</f>
        <v/>
      </c>
      <c r="P156" s="7">
        <f>L156*O156</f>
        <v/>
      </c>
      <c r="Q156" s="2" t="inlineStr">
        <is>
          <t>Medium</t>
        </is>
      </c>
      <c r="R156" s="2" t="inlineStr">
        <is>
          <t>Moderate</t>
        </is>
      </c>
      <c r="S156" s="2" t="inlineStr">
        <is>
          <t>Moderate</t>
        </is>
      </c>
      <c r="T156" s="2" t="inlineStr">
        <is>
          <t>Domain judgement required for validation</t>
        </is>
      </c>
      <c r="U156" s="2" t="inlineStr">
        <is>
          <t>Corporate Cost Data</t>
        </is>
      </c>
      <c r="V156" s="2" t="inlineStr">
        <is>
          <t>N/A</t>
        </is>
      </c>
      <c r="W156" s="2" t="inlineStr"/>
    </row>
    <row r="157">
      <c r="A157" s="2" t="inlineStr">
        <is>
          <t>COM</t>
        </is>
      </c>
      <c r="B157" s="2" t="inlineStr">
        <is>
          <t>COM-04</t>
        </is>
      </c>
      <c r="C157" s="2" t="inlineStr">
        <is>
          <t>COM-04.2.1</t>
        </is>
      </c>
      <c r="D157" s="8" t="inlineStr">
        <is>
          <t>Medium</t>
        </is>
      </c>
      <c r="E157" s="2" t="inlineStr">
        <is>
          <t>Design service credit and deduction regime — how underperformance is penalised financially, our exposure, and earn-back mechanisms</t>
        </is>
      </c>
      <c r="F157" s="2" t="inlineStr">
        <is>
          <t>AI proposes options based on requirements. Human makes design decisions.</t>
        </is>
      </c>
      <c r="G157" s="2" t="inlineStr">
        <is>
          <t>Upstream COM-04 outputs</t>
        </is>
      </c>
      <c r="H157" s="2" t="inlineStr">
        <is>
          <t>Decision velocity: AI draft available immediately for human refinement</t>
        </is>
      </c>
      <c r="I157" s="2" t="inlineStr">
        <is>
          <t>Commercial Lead</t>
        </is>
      </c>
      <c r="J157" s="2" t="n">
        <v>5</v>
      </c>
      <c r="K157" s="2" t="n">
        <v>1</v>
      </c>
      <c r="L157" s="4">
        <f>J157/COUNTIF($B:$B,B157)</f>
        <v/>
      </c>
      <c r="M157" s="5" t="n">
        <v>0.35</v>
      </c>
      <c r="N157" s="5" t="n">
        <v>0.15</v>
      </c>
      <c r="O157" s="6">
        <f>1-(1-M157)*(1-N157)</f>
        <v/>
      </c>
      <c r="P157" s="7">
        <f>L157*O157</f>
        <v/>
      </c>
      <c r="Q157" s="2" t="inlineStr">
        <is>
          <t>Medium</t>
        </is>
      </c>
      <c r="R157" s="2" t="inlineStr">
        <is>
          <t>Moderate</t>
        </is>
      </c>
      <c r="S157" s="2" t="inlineStr">
        <is>
          <t>Moderate</t>
        </is>
      </c>
      <c r="T157" s="2" t="inlineStr">
        <is>
          <t>Domain judgement required for validation</t>
        </is>
      </c>
      <c r="U157" s="2" t="inlineStr">
        <is>
          <t>None</t>
        </is>
      </c>
      <c r="V157" s="2" t="inlineStr">
        <is>
          <t>N/A</t>
        </is>
      </c>
      <c r="W157" s="2" t="inlineStr"/>
    </row>
    <row r="158">
      <c r="A158" s="2" t="inlineStr">
        <is>
          <t>COM</t>
        </is>
      </c>
      <c r="B158" s="2" t="inlineStr">
        <is>
          <t>COM-04</t>
        </is>
      </c>
      <c r="C158" s="2" t="inlineStr">
        <is>
          <t>COM-04.2.2</t>
        </is>
      </c>
      <c r="D158" s="9" t="inlineStr">
        <is>
          <t>Low</t>
        </is>
      </c>
      <c r="E158" s="2" t="inlineStr">
        <is>
          <t>Incorporate innovation value sharing mechanism — gain share, reinvestment commitments, annual price reduction trajectory aligned to SOL-08 framework</t>
        </is>
      </c>
      <c r="F158" s="2" t="inlineStr">
        <is>
          <t>AI provides minimal preparation support. Task is fundamentally human.</t>
        </is>
      </c>
      <c r="G158" s="2" t="inlineStr">
        <is>
          <t>Upstream COM-04 outputs</t>
        </is>
      </c>
      <c r="H158" s="2" t="inlineStr">
        <is>
          <t>Minimal: Preparation support only</t>
        </is>
      </c>
      <c r="I158" s="2" t="inlineStr">
        <is>
          <t>Commercial Lead</t>
        </is>
      </c>
      <c r="J158" s="2" t="n">
        <v>5</v>
      </c>
      <c r="K158" s="2" t="n">
        <v>1</v>
      </c>
      <c r="L158" s="4">
        <f>J158/COUNTIF($B:$B,B158)</f>
        <v/>
      </c>
      <c r="M158" s="5" t="n">
        <v>0.1</v>
      </c>
      <c r="N158" s="5" t="n">
        <v>0.15</v>
      </c>
      <c r="O158" s="6">
        <f>1-(1-M158)*(1-N158)</f>
        <v/>
      </c>
      <c r="P158" s="7">
        <f>L158*O158</f>
        <v/>
      </c>
      <c r="Q158" s="2" t="inlineStr">
        <is>
          <t>Low</t>
        </is>
      </c>
      <c r="R158" s="2" t="inlineStr">
        <is>
          <t>Low</t>
        </is>
      </c>
      <c r="S158" s="2" t="inlineStr">
        <is>
          <t>Low</t>
        </is>
      </c>
      <c r="T158" s="2" t="inlineStr">
        <is>
          <t>Human relationship/judgement required</t>
        </is>
      </c>
      <c r="U158" s="2" t="inlineStr">
        <is>
          <t>Corporate Cost Data</t>
        </is>
      </c>
      <c r="V158" s="2" t="inlineStr">
        <is>
          <t>N/A</t>
        </is>
      </c>
      <c r="W158" s="2" t="inlineStr"/>
    </row>
    <row r="159">
      <c r="A159" s="2" t="inlineStr">
        <is>
          <t>COM</t>
        </is>
      </c>
      <c r="B159" s="2" t="inlineStr">
        <is>
          <t>COM-04</t>
        </is>
      </c>
      <c r="C159" s="2" t="inlineStr">
        <is>
          <t>COM-04.2.3</t>
        </is>
      </c>
      <c r="D159" s="9" t="inlineStr">
        <is>
          <t>Low</t>
        </is>
      </c>
      <c r="E159" s="2" t="inlineStr">
        <is>
          <t>Validate commercial model — coherent with cost model, legally viable, aligned to ITT requirements, commercially sustainable</t>
        </is>
      </c>
      <c r="F159" s="2" t="inlineStr">
        <is>
          <t>AI prepares pack/summary. Decision is human governance.</t>
        </is>
      </c>
      <c r="G159" s="2" t="inlineStr">
        <is>
          <t>Upstream COM-04 outputs</t>
        </is>
      </c>
      <c r="H159" s="2" t="inlineStr">
        <is>
          <t>Minimal: Preparation support only</t>
        </is>
      </c>
      <c r="I159" s="2" t="inlineStr">
        <is>
          <t>Commercial Lead</t>
        </is>
      </c>
      <c r="J159" s="2" t="n">
        <v>5</v>
      </c>
      <c r="K159" s="2" t="n">
        <v>1</v>
      </c>
      <c r="L159" s="4">
        <f>J159/COUNTIF($B:$B,B159)</f>
        <v/>
      </c>
      <c r="M159" s="5" t="n">
        <v>0.1</v>
      </c>
      <c r="N159" s="5" t="n">
        <v>0.15</v>
      </c>
      <c r="O159" s="6">
        <f>1-(1-M159)*(1-N159)</f>
        <v/>
      </c>
      <c r="P159" s="7">
        <f>L159*O159</f>
        <v/>
      </c>
      <c r="Q159" s="2" t="inlineStr">
        <is>
          <t>Low</t>
        </is>
      </c>
      <c r="R159" s="2" t="inlineStr">
        <is>
          <t>Low</t>
        </is>
      </c>
      <c r="S159" s="2" t="inlineStr">
        <is>
          <t>Low</t>
        </is>
      </c>
      <c r="T159" s="2" t="inlineStr">
        <is>
          <t>Team validation requires human judgement</t>
        </is>
      </c>
      <c r="U159" s="2" t="inlineStr">
        <is>
          <t>ITT Document Pack</t>
        </is>
      </c>
      <c r="V159" s="2" t="inlineStr">
        <is>
          <t>N/A</t>
        </is>
      </c>
      <c r="W159" s="2" t="inlineStr"/>
    </row>
    <row r="160">
      <c r="A160" s="2" t="inlineStr">
        <is>
          <t>COM</t>
        </is>
      </c>
      <c r="B160" s="2" t="inlineStr">
        <is>
          <t>COM-05</t>
        </is>
      </c>
      <c r="C160" s="2" t="inlineStr">
        <is>
          <t>COM-05.1.1</t>
        </is>
      </c>
      <c r="D160" s="3" t="inlineStr">
        <is>
          <t>High</t>
        </is>
      </c>
      <c r="E160" s="2" t="inlineStr">
        <is>
          <t>Conduct sensitivity analysis on key cost assumptions — test each variable for upside (better than assumed) and downside (worse than assumed) impact on margin</t>
        </is>
      </c>
      <c r="F160" s="2" t="inlineStr">
        <is>
          <t>AI executes task autonomously from structured inputs. Human reviews.</t>
        </is>
      </c>
      <c r="G160" s="2" t="inlineStr">
        <is>
          <t>Upstream COM-05 outputs</t>
        </is>
      </c>
      <c r="H160" s="2" t="inlineStr">
        <is>
          <t>Time reduction: Task largely automated from structured data</t>
        </is>
      </c>
      <c r="I160" s="2" t="inlineStr">
        <is>
          <t>Commercial Lead</t>
        </is>
      </c>
      <c r="J160" s="2" t="n">
        <v>3</v>
      </c>
      <c r="K160" s="2" t="n">
        <v>1</v>
      </c>
      <c r="L160" s="4">
        <f>J160/COUNTIF($B:$B,B160)</f>
        <v/>
      </c>
      <c r="M160" s="5" t="n">
        <v>0.6</v>
      </c>
      <c r="N160" s="5" t="n">
        <v>0.15</v>
      </c>
      <c r="O160" s="6">
        <f>1-(1-M160)*(1-N160)</f>
        <v/>
      </c>
      <c r="P160" s="7">
        <f>L160*O160</f>
        <v/>
      </c>
      <c r="Q160" s="2" t="inlineStr">
        <is>
          <t>High</t>
        </is>
      </c>
      <c r="R160" s="2" t="inlineStr">
        <is>
          <t>Yes</t>
        </is>
      </c>
      <c r="S160" s="2" t="inlineStr">
        <is>
          <t>Yes</t>
        </is>
      </c>
      <c r="T160" s="2" t="inlineStr">
        <is>
          <t>Structured data must be available</t>
        </is>
      </c>
      <c r="U160" s="2" t="inlineStr">
        <is>
          <t>None</t>
        </is>
      </c>
      <c r="V160" s="2" t="inlineStr">
        <is>
          <t>Phase 4</t>
        </is>
      </c>
      <c r="W160" s="2" t="inlineStr"/>
    </row>
    <row r="161">
      <c r="A161" s="2" t="inlineStr">
        <is>
          <t>COM</t>
        </is>
      </c>
      <c r="B161" s="2" t="inlineStr">
        <is>
          <t>COM-05</t>
        </is>
      </c>
      <c r="C161" s="2" t="inlineStr">
        <is>
          <t>COM-05.1.2</t>
        </is>
      </c>
      <c r="D161" s="3" t="inlineStr">
        <is>
          <t>High</t>
        </is>
      </c>
      <c r="E161" s="2" t="inlineStr">
        <is>
          <t>Stress-test commercial model scenarios — maximum service credit exposure, gain share under/overperformance, volume variance, indexation deviation</t>
        </is>
      </c>
      <c r="F161" s="2" t="inlineStr">
        <is>
          <t>AI executes task autonomously from structured inputs. Human reviews.</t>
        </is>
      </c>
      <c r="G161" s="2" t="inlineStr">
        <is>
          <t>Upstream COM-05 outputs</t>
        </is>
      </c>
      <c r="H161" s="2" t="inlineStr">
        <is>
          <t>Time reduction: Task largely automated from structured data</t>
        </is>
      </c>
      <c r="I161" s="2" t="inlineStr">
        <is>
          <t>Commercial Lead</t>
        </is>
      </c>
      <c r="J161" s="2" t="n">
        <v>3</v>
      </c>
      <c r="K161" s="2" t="n">
        <v>1</v>
      </c>
      <c r="L161" s="4">
        <f>J161/COUNTIF($B:$B,B161)</f>
        <v/>
      </c>
      <c r="M161" s="5" t="n">
        <v>0.6</v>
      </c>
      <c r="N161" s="5" t="n">
        <v>0.15</v>
      </c>
      <c r="O161" s="6">
        <f>1-(1-M161)*(1-N161)</f>
        <v/>
      </c>
      <c r="P161" s="7">
        <f>L161*O161</f>
        <v/>
      </c>
      <c r="Q161" s="2" t="inlineStr">
        <is>
          <t>Medium</t>
        </is>
      </c>
      <c r="R161" s="2" t="inlineStr">
        <is>
          <t>Moderate</t>
        </is>
      </c>
      <c r="S161" s="2" t="inlineStr">
        <is>
          <t>Yes</t>
        </is>
      </c>
      <c r="T161" s="2" t="inlineStr">
        <is>
          <t>Structured data must be available</t>
        </is>
      </c>
      <c r="U161" s="2" t="inlineStr">
        <is>
          <t>None</t>
        </is>
      </c>
      <c r="V161" s="2" t="inlineStr">
        <is>
          <t>Phase 4</t>
        </is>
      </c>
      <c r="W161" s="2" t="inlineStr"/>
    </row>
    <row r="162">
      <c r="A162" s="2" t="inlineStr">
        <is>
          <t>COM</t>
        </is>
      </c>
      <c r="B162" s="2" t="inlineStr">
        <is>
          <t>COM-05</t>
        </is>
      </c>
      <c r="C162" s="2" t="inlineStr">
        <is>
          <t>COM-05.2.1</t>
        </is>
      </c>
      <c r="D162" s="3" t="inlineStr">
        <is>
          <t>High</t>
        </is>
      </c>
      <c r="E162" s="2" t="inlineStr">
        <is>
          <t>Model margin structure at multiple price points across the price-to-win envelope — informed by sensitivity and stress test results</t>
        </is>
      </c>
      <c r="F162" s="2" t="inlineStr">
        <is>
          <t>AI executes task autonomously from structured inputs. Human reviews.</t>
        </is>
      </c>
      <c r="G162" s="2" t="inlineStr">
        <is>
          <t>Upstream COM-05 outputs</t>
        </is>
      </c>
      <c r="H162" s="2" t="inlineStr">
        <is>
          <t>Time reduction: Task largely automated from structured data</t>
        </is>
      </c>
      <c r="I162" s="2" t="inlineStr">
        <is>
          <t>Commercial Lead</t>
        </is>
      </c>
      <c r="J162" s="2" t="n">
        <v>3</v>
      </c>
      <c r="K162" s="2" t="n">
        <v>1</v>
      </c>
      <c r="L162" s="4">
        <f>J162/COUNTIF($B:$B,B162)</f>
        <v/>
      </c>
      <c r="M162" s="5" t="n">
        <v>0.6</v>
      </c>
      <c r="N162" s="5" t="n">
        <v>0.15</v>
      </c>
      <c r="O162" s="6">
        <f>1-(1-M162)*(1-N162)</f>
        <v/>
      </c>
      <c r="P162" s="7">
        <f>L162*O162</f>
        <v/>
      </c>
      <c r="Q162" s="2" t="inlineStr">
        <is>
          <t>Medium</t>
        </is>
      </c>
      <c r="R162" s="2" t="inlineStr">
        <is>
          <t>Moderate</t>
        </is>
      </c>
      <c r="S162" s="2" t="inlineStr">
        <is>
          <t>Yes</t>
        </is>
      </c>
      <c r="T162" s="2" t="inlineStr">
        <is>
          <t>Structured data must be available</t>
        </is>
      </c>
      <c r="U162" s="2" t="inlineStr">
        <is>
          <t>Corporate Cost Data</t>
        </is>
      </c>
      <c r="V162" s="2" t="inlineStr">
        <is>
          <t>Phase 4</t>
        </is>
      </c>
      <c r="W162" s="2" t="inlineStr"/>
    </row>
    <row r="163">
      <c r="A163" s="2" t="inlineStr">
        <is>
          <t>COM</t>
        </is>
      </c>
      <c r="B163" s="2" t="inlineStr">
        <is>
          <t>COM-05</t>
        </is>
      </c>
      <c r="C163" s="2" t="inlineStr">
        <is>
          <t>COM-05.2.2</t>
        </is>
      </c>
      <c r="D163" s="8" t="inlineStr">
        <is>
          <t>Medium</t>
        </is>
      </c>
      <c r="E163" s="2" t="inlineStr">
        <is>
          <t>Model the P&amp;L profile across the contract term — margin trajectory year by year as innovation reduces costs, indexation adjusts prices, and volumes evolve</t>
        </is>
      </c>
      <c r="F163" s="2" t="inlineStr">
        <is>
          <t>AI runs models from structured inputs. Human validates assumptions.</t>
        </is>
      </c>
      <c r="G163" s="2" t="inlineStr">
        <is>
          <t>Upstream COM-05 outputs</t>
        </is>
      </c>
      <c r="H163" s="2" t="inlineStr">
        <is>
          <t>Decision velocity: AI draft available immediately for human refinement</t>
        </is>
      </c>
      <c r="I163" s="2" t="inlineStr">
        <is>
          <t>Commercial Lead</t>
        </is>
      </c>
      <c r="J163" s="2" t="n">
        <v>3</v>
      </c>
      <c r="K163" s="2" t="n">
        <v>1</v>
      </c>
      <c r="L163" s="4">
        <f>J163/COUNTIF($B:$B,B163)</f>
        <v/>
      </c>
      <c r="M163" s="5" t="n">
        <v>0.35</v>
      </c>
      <c r="N163" s="5" t="n">
        <v>0.15</v>
      </c>
      <c r="O163" s="6">
        <f>1-(1-M163)*(1-N163)</f>
        <v/>
      </c>
      <c r="P163" s="7">
        <f>L163*O163</f>
        <v/>
      </c>
      <c r="Q163" s="2" t="inlineStr">
        <is>
          <t>Medium</t>
        </is>
      </c>
      <c r="R163" s="2" t="inlineStr">
        <is>
          <t>Moderate</t>
        </is>
      </c>
      <c r="S163" s="2" t="inlineStr">
        <is>
          <t>Moderate</t>
        </is>
      </c>
      <c r="T163" s="2" t="inlineStr">
        <is>
          <t>Domain judgement required for validation</t>
        </is>
      </c>
      <c r="U163" s="2" t="inlineStr">
        <is>
          <t>Corporate Cost Data</t>
        </is>
      </c>
      <c r="V163" s="2" t="inlineStr">
        <is>
          <t>Phase 4</t>
        </is>
      </c>
      <c r="W163" s="2" t="inlineStr"/>
    </row>
    <row r="164">
      <c r="A164" s="2" t="inlineStr">
        <is>
          <t>COM</t>
        </is>
      </c>
      <c r="B164" s="2" t="inlineStr">
        <is>
          <t>COM-05</t>
        </is>
      </c>
      <c r="C164" s="2" t="inlineStr">
        <is>
          <t>COM-05.2.3</t>
        </is>
      </c>
      <c r="D164" s="9" t="inlineStr">
        <is>
          <t>Low</t>
        </is>
      </c>
      <c r="E164" s="2" t="inlineStr">
        <is>
          <t>Produce risk-adjusted margin view and validate — the executive decision paper presenting base case, upside, downside, and recommendation</t>
        </is>
      </c>
      <c r="F164" s="2" t="inlineStr">
        <is>
          <t>AI prepares materials. Delivery is human.</t>
        </is>
      </c>
      <c r="G164" s="2" t="inlineStr">
        <is>
          <t>Upstream COM-05 outputs</t>
        </is>
      </c>
      <c r="H164" s="2" t="inlineStr">
        <is>
          <t>Minimal: Preparation support only</t>
        </is>
      </c>
      <c r="I164" s="2" t="inlineStr">
        <is>
          <t>Commercial Lead</t>
        </is>
      </c>
      <c r="J164" s="2" t="n">
        <v>3</v>
      </c>
      <c r="K164" s="2" t="n">
        <v>1</v>
      </c>
      <c r="L164" s="4">
        <f>J164/COUNTIF($B:$B,B164)</f>
        <v/>
      </c>
      <c r="M164" s="5" t="n">
        <v>0.1</v>
      </c>
      <c r="N164" s="5" t="n">
        <v>0.15</v>
      </c>
      <c r="O164" s="6">
        <f>1-(1-M164)*(1-N164)</f>
        <v/>
      </c>
      <c r="P164" s="7">
        <f>L164*O164</f>
        <v/>
      </c>
      <c r="Q164" s="2" t="inlineStr">
        <is>
          <t>Low</t>
        </is>
      </c>
      <c r="R164" s="2" t="inlineStr">
        <is>
          <t>Low</t>
        </is>
      </c>
      <c r="S164" s="2" t="inlineStr">
        <is>
          <t>Low</t>
        </is>
      </c>
      <c r="T164" s="2" t="inlineStr">
        <is>
          <t>Client-facing interaction is human</t>
        </is>
      </c>
      <c r="U164" s="2" t="inlineStr">
        <is>
          <t>None</t>
        </is>
      </c>
      <c r="V164" s="2" t="inlineStr">
        <is>
          <t>Phase 4</t>
        </is>
      </c>
      <c r="W164" s="2" t="inlineStr"/>
    </row>
    <row r="165">
      <c r="A165" s="2" t="inlineStr">
        <is>
          <t>COM</t>
        </is>
      </c>
      <c r="B165" s="2" t="inlineStr">
        <is>
          <t>COM-06</t>
        </is>
      </c>
      <c r="C165" s="2" t="inlineStr">
        <is>
          <t>COM-06.1.1</t>
        </is>
      </c>
      <c r="D165" s="3" t="inlineStr">
        <is>
          <t>High</t>
        </is>
      </c>
      <c r="E165" s="2" t="inlineStr">
        <is>
          <t>Set the final price position — land within the validated envelope based on margin analysis, sensitivity results, and executive guidance</t>
        </is>
      </c>
      <c r="F165" s="2" t="inlineStr">
        <is>
          <t>AI executes task autonomously from structured inputs. Human reviews.</t>
        </is>
      </c>
      <c r="G165" s="2" t="inlineStr">
        <is>
          <t>Upstream COM-06 outputs</t>
        </is>
      </c>
      <c r="H165" s="2" t="inlineStr">
        <is>
          <t>Time reduction: Task largely automated from structured data</t>
        </is>
      </c>
      <c r="I165" s="2" t="inlineStr">
        <is>
          <t>Commercial Lead</t>
        </is>
      </c>
      <c r="J165" s="2" t="n">
        <v>5</v>
      </c>
      <c r="K165" s="2" t="n">
        <v>1</v>
      </c>
      <c r="L165" s="4">
        <f>J165/COUNTIF($B:$B,B165)</f>
        <v/>
      </c>
      <c r="M165" s="5" t="n">
        <v>0.6</v>
      </c>
      <c r="N165" s="5" t="n">
        <v>0.15</v>
      </c>
      <c r="O165" s="6">
        <f>1-(1-M165)*(1-N165)</f>
        <v/>
      </c>
      <c r="P165" s="7">
        <f>L165*O165</f>
        <v/>
      </c>
      <c r="Q165" s="2" t="inlineStr">
        <is>
          <t>High</t>
        </is>
      </c>
      <c r="R165" s="2" t="inlineStr">
        <is>
          <t>Yes</t>
        </is>
      </c>
      <c r="S165" s="2" t="inlineStr">
        <is>
          <t>Yes</t>
        </is>
      </c>
      <c r="T165" s="2" t="inlineStr">
        <is>
          <t>Structured data must be available</t>
        </is>
      </c>
      <c r="U165" s="2" t="inlineStr">
        <is>
          <t>Corporate Cost Data</t>
        </is>
      </c>
      <c r="V165" s="2" t="inlineStr">
        <is>
          <t>N/A</t>
        </is>
      </c>
      <c r="W165" s="2" t="inlineStr"/>
    </row>
    <row r="166">
      <c r="A166" s="2" t="inlineStr">
        <is>
          <t>COM</t>
        </is>
      </c>
      <c r="B166" s="2" t="inlineStr">
        <is>
          <t>COM-06</t>
        </is>
      </c>
      <c r="C166" s="2" t="inlineStr">
        <is>
          <t>COM-06.1.2</t>
        </is>
      </c>
      <c r="D166" s="8" t="inlineStr">
        <is>
          <t>Medium</t>
        </is>
      </c>
      <c r="E166" s="2" t="inlineStr">
        <is>
          <t>Populate pricing schedules in the ITT-required format — translate the commercial model into the client's pricing tables, rate cards, and financial submissions</t>
        </is>
      </c>
      <c r="F166" s="2" t="inlineStr">
        <is>
          <t>AI runs models from structured inputs. Human validates assumptions.</t>
        </is>
      </c>
      <c r="G166" s="2" t="inlineStr">
        <is>
          <t>Upstream COM-06 outputs</t>
        </is>
      </c>
      <c r="H166" s="2" t="inlineStr">
        <is>
          <t>Decision velocity: AI draft available immediately for human refinement</t>
        </is>
      </c>
      <c r="I166" s="2" t="inlineStr">
        <is>
          <t>Commercial Lead</t>
        </is>
      </c>
      <c r="J166" s="2" t="n">
        <v>5</v>
      </c>
      <c r="K166" s="2" t="n">
        <v>1</v>
      </c>
      <c r="L166" s="4">
        <f>J166/COUNTIF($B:$B,B166)</f>
        <v/>
      </c>
      <c r="M166" s="5" t="n">
        <v>0.35</v>
      </c>
      <c r="N166" s="5" t="n">
        <v>0.15</v>
      </c>
      <c r="O166" s="6">
        <f>1-(1-M166)*(1-N166)</f>
        <v/>
      </c>
      <c r="P166" s="7">
        <f>L166*O166</f>
        <v/>
      </c>
      <c r="Q166" s="2" t="inlineStr">
        <is>
          <t>Medium</t>
        </is>
      </c>
      <c r="R166" s="2" t="inlineStr">
        <is>
          <t>Moderate</t>
        </is>
      </c>
      <c r="S166" s="2" t="inlineStr">
        <is>
          <t>Moderate</t>
        </is>
      </c>
      <c r="T166" s="2" t="inlineStr">
        <is>
          <t>Domain judgement required for validation</t>
        </is>
      </c>
      <c r="U166" s="2" t="inlineStr">
        <is>
          <t>ITT Document Pack</t>
        </is>
      </c>
      <c r="V166" s="2" t="inlineStr">
        <is>
          <t>N/A</t>
        </is>
      </c>
      <c r="W166" s="2" t="inlineStr"/>
    </row>
    <row r="167">
      <c r="A167" s="2" t="inlineStr">
        <is>
          <t>COM</t>
        </is>
      </c>
      <c r="B167" s="2" t="inlineStr">
        <is>
          <t>COM-06</t>
        </is>
      </c>
      <c r="C167" s="2" t="inlineStr">
        <is>
          <t>COM-06.2.1</t>
        </is>
      </c>
      <c r="D167" s="8" t="inlineStr">
        <is>
          <t>Medium</t>
        </is>
      </c>
      <c r="E167" s="2" t="inlineStr">
        <is>
          <t>Conduct final pricing reconciliation — confirm cost model, commercial model, partner pricing, risk contingency, and submitted price all reconcile</t>
        </is>
      </c>
      <c r="F167" s="2" t="inlineStr">
        <is>
          <t>AI runs models from structured inputs. Human validates assumptions.</t>
        </is>
      </c>
      <c r="G167" s="2" t="inlineStr">
        <is>
          <t>Upstream COM-06 outputs</t>
        </is>
      </c>
      <c r="H167" s="2" t="inlineStr">
        <is>
          <t>Decision velocity: AI draft available immediately for human refinement</t>
        </is>
      </c>
      <c r="I167" s="2" t="inlineStr">
        <is>
          <t>Commercial Lead</t>
        </is>
      </c>
      <c r="J167" s="2" t="n">
        <v>5</v>
      </c>
      <c r="K167" s="2" t="n">
        <v>1</v>
      </c>
      <c r="L167" s="4">
        <f>J167/COUNTIF($B:$B,B167)</f>
        <v/>
      </c>
      <c r="M167" s="5" t="n">
        <v>0.35</v>
      </c>
      <c r="N167" s="5" t="n">
        <v>0.15</v>
      </c>
      <c r="O167" s="6">
        <f>1-(1-M167)*(1-N167)</f>
        <v/>
      </c>
      <c r="P167" s="7">
        <f>L167*O167</f>
        <v/>
      </c>
      <c r="Q167" s="2" t="inlineStr">
        <is>
          <t>Medium</t>
        </is>
      </c>
      <c r="R167" s="2" t="inlineStr">
        <is>
          <t>Moderate</t>
        </is>
      </c>
      <c r="S167" s="2" t="inlineStr">
        <is>
          <t>Moderate</t>
        </is>
      </c>
      <c r="T167" s="2" t="inlineStr">
        <is>
          <t>Domain judgement required for validation</t>
        </is>
      </c>
      <c r="U167" s="2" t="inlineStr">
        <is>
          <t>ITT Document Pack</t>
        </is>
      </c>
      <c r="V167" s="2" t="inlineStr">
        <is>
          <t>N/A</t>
        </is>
      </c>
      <c r="W167" s="2" t="inlineStr"/>
    </row>
    <row r="168">
      <c r="A168" s="2" t="inlineStr">
        <is>
          <t>COM</t>
        </is>
      </c>
      <c r="B168" s="2" t="inlineStr">
        <is>
          <t>COM-06</t>
        </is>
      </c>
      <c r="C168" s="2" t="inlineStr">
        <is>
          <t>COM-06.2.2</t>
        </is>
      </c>
      <c r="D168" s="9" t="inlineStr">
        <is>
          <t>Low</t>
        </is>
      </c>
      <c r="E168" s="2" t="inlineStr">
        <is>
          <t>Lock pricing model — formal sign-off, baseline for GOV-03 (Pricing &amp; Risk Review) and PRD-04 (pricing response documents)</t>
        </is>
      </c>
      <c r="F168" s="2" t="inlineStr">
        <is>
          <t>AI provides minimal preparation support. Task is fundamentally human.</t>
        </is>
      </c>
      <c r="G168" s="2" t="inlineStr">
        <is>
          <t>Upstream COM-06 outputs</t>
        </is>
      </c>
      <c r="H168" s="2" t="inlineStr">
        <is>
          <t>Minimal: Preparation support only</t>
        </is>
      </c>
      <c r="I168" s="2" t="inlineStr">
        <is>
          <t>Commercial Lead</t>
        </is>
      </c>
      <c r="J168" s="2" t="n">
        <v>5</v>
      </c>
      <c r="K168" s="2" t="n">
        <v>1</v>
      </c>
      <c r="L168" s="4">
        <f>J168/COUNTIF($B:$B,B168)</f>
        <v/>
      </c>
      <c r="M168" s="5" t="n">
        <v>0.1</v>
      </c>
      <c r="N168" s="5" t="n">
        <v>0.15</v>
      </c>
      <c r="O168" s="6">
        <f>1-(1-M168)*(1-N168)</f>
        <v/>
      </c>
      <c r="P168" s="7">
        <f>L168*O168</f>
        <v/>
      </c>
      <c r="Q168" s="2" t="inlineStr">
        <is>
          <t>Low</t>
        </is>
      </c>
      <c r="R168" s="2" t="inlineStr">
        <is>
          <t>Low</t>
        </is>
      </c>
      <c r="S168" s="2" t="inlineStr">
        <is>
          <t>Low</t>
        </is>
      </c>
      <c r="T168" s="2" t="inlineStr">
        <is>
          <t>Governance decision is human</t>
        </is>
      </c>
      <c r="U168" s="2" t="inlineStr">
        <is>
          <t>None</t>
        </is>
      </c>
      <c r="V168" s="2" t="inlineStr">
        <is>
          <t>N/A</t>
        </is>
      </c>
      <c r="W168" s="2" t="inlineStr"/>
    </row>
    <row r="169">
      <c r="A169" s="2" t="inlineStr">
        <is>
          <t>COM</t>
        </is>
      </c>
      <c r="B169" s="2" t="inlineStr">
        <is>
          <t>COM-07</t>
        </is>
      </c>
      <c r="C169" s="2" t="inlineStr">
        <is>
          <t>COM-07.1.1</t>
        </is>
      </c>
      <c r="D169" s="3" t="inlineStr">
        <is>
          <t>High</t>
        </is>
      </c>
      <c r="E169" s="2" t="inlineStr">
        <is>
          <t>Harvest commercial risks from all COM activities — cost assumptions, pricing position, partner terms, payment mechanism, service credits, innovation commercial model</t>
        </is>
      </c>
      <c r="F169" s="2" t="inlineStr">
        <is>
          <t>AI harvests and consolidates data from upstream outputs</t>
        </is>
      </c>
      <c r="G169" s="2" t="inlineStr">
        <is>
          <t>Upstream COM-07 outputs</t>
        </is>
      </c>
      <c r="H169" s="2" t="inlineStr">
        <is>
          <t>Time reduction: Task largely automated from structured data</t>
        </is>
      </c>
      <c r="I169" s="2" t="inlineStr">
        <is>
          <t>Commercial Lead</t>
        </is>
      </c>
      <c r="J169" s="2" t="n">
        <v>3</v>
      </c>
      <c r="K169" s="2" t="n">
        <v>1</v>
      </c>
      <c r="L169" s="4">
        <f>J169/COUNTIF($B:$B,B169)</f>
        <v/>
      </c>
      <c r="M169" s="5" t="n">
        <v>0.6</v>
      </c>
      <c r="N169" s="5" t="n">
        <v>0.1</v>
      </c>
      <c r="O169" s="6">
        <f>1-(1-M169)*(1-N169)</f>
        <v/>
      </c>
      <c r="P169" s="7">
        <f>L169*O169</f>
        <v/>
      </c>
      <c r="Q169" s="2" t="inlineStr">
        <is>
          <t>Medium</t>
        </is>
      </c>
      <c r="R169" s="2" t="inlineStr">
        <is>
          <t>Moderate</t>
        </is>
      </c>
      <c r="S169" s="2" t="inlineStr">
        <is>
          <t>Yes</t>
        </is>
      </c>
      <c r="T169" s="2" t="inlineStr">
        <is>
          <t>Structured data must be available</t>
        </is>
      </c>
      <c r="U169" s="2" t="inlineStr">
        <is>
          <t>None</t>
        </is>
      </c>
      <c r="V169" s="2" t="inlineStr">
        <is>
          <t>Phase 5</t>
        </is>
      </c>
      <c r="W169" s="2" t="inlineStr"/>
    </row>
    <row r="170">
      <c r="A170" s="2" t="inlineStr">
        <is>
          <t>COM</t>
        </is>
      </c>
      <c r="B170" s="2" t="inlineStr">
        <is>
          <t>COM-07</t>
        </is>
      </c>
      <c r="C170" s="2" t="inlineStr">
        <is>
          <t>COM-07.1.2</t>
        </is>
      </c>
      <c r="D170" s="3" t="inlineStr">
        <is>
          <t>High</t>
        </is>
      </c>
      <c r="E170" s="2" t="inlineStr">
        <is>
          <t>Identify additional commercial risks not captured upstream — contract terms, foreign exchange, regulatory change, client budget, market shift, competitor pricing behaviour</t>
        </is>
      </c>
      <c r="F170" s="2" t="inlineStr">
        <is>
          <t>AI executes task autonomously from structured inputs. Human reviews.</t>
        </is>
      </c>
      <c r="G170" s="2" t="inlineStr">
        <is>
          <t>Upstream COM-07 outputs</t>
        </is>
      </c>
      <c r="H170" s="2" t="inlineStr">
        <is>
          <t>Time reduction: Task largely automated from structured data</t>
        </is>
      </c>
      <c r="I170" s="2" t="inlineStr">
        <is>
          <t>Commercial Lead</t>
        </is>
      </c>
      <c r="J170" s="2" t="n">
        <v>3</v>
      </c>
      <c r="K170" s="2" t="n">
        <v>1</v>
      </c>
      <c r="L170" s="4">
        <f>J170/COUNTIF($B:$B,B170)</f>
        <v/>
      </c>
      <c r="M170" s="5" t="n">
        <v>0.6</v>
      </c>
      <c r="N170" s="5" t="n">
        <v>0.1</v>
      </c>
      <c r="O170" s="6">
        <f>1-(1-M170)*(1-N170)</f>
        <v/>
      </c>
      <c r="P170" s="7">
        <f>L170*O170</f>
        <v/>
      </c>
      <c r="Q170" s="2" t="inlineStr">
        <is>
          <t>Medium</t>
        </is>
      </c>
      <c r="R170" s="2" t="inlineStr">
        <is>
          <t>Moderate</t>
        </is>
      </c>
      <c r="S170" s="2" t="inlineStr">
        <is>
          <t>Yes</t>
        </is>
      </c>
      <c r="T170" s="2" t="inlineStr">
        <is>
          <t>Structured data must be available</t>
        </is>
      </c>
      <c r="U170" s="2" t="inlineStr">
        <is>
          <t>Market Intelligence Sources</t>
        </is>
      </c>
      <c r="V170" s="2" t="inlineStr">
        <is>
          <t>Phase 5</t>
        </is>
      </c>
      <c r="W170" s="2" t="inlineStr"/>
    </row>
    <row r="171">
      <c r="A171" s="2" t="inlineStr">
        <is>
          <t>COM</t>
        </is>
      </c>
      <c r="B171" s="2" t="inlineStr">
        <is>
          <t>COM-07</t>
        </is>
      </c>
      <c r="C171" s="2" t="inlineStr">
        <is>
          <t>COM-07.2.1</t>
        </is>
      </c>
      <c r="D171" s="8" t="inlineStr">
        <is>
          <t>Medium</t>
        </is>
      </c>
      <c r="E171" s="2" t="inlineStr">
        <is>
          <t>Assess and prioritise commercial risks — likelihood, impact, financial exposure, and assign risk owner</t>
        </is>
      </c>
      <c r="F171" s="2" t="inlineStr">
        <is>
          <t>AI provides analysis and assessment. Human validates with judgement.</t>
        </is>
      </c>
      <c r="G171" s="2" t="inlineStr">
        <is>
          <t>Upstream COM-07 outputs</t>
        </is>
      </c>
      <c r="H171" s="2" t="inlineStr">
        <is>
          <t>Decision velocity: AI draft available immediately for human refinement</t>
        </is>
      </c>
      <c r="I171" s="2" t="inlineStr">
        <is>
          <t>Commercial Lead</t>
        </is>
      </c>
      <c r="J171" s="2" t="n">
        <v>3</v>
      </c>
      <c r="K171" s="2" t="n">
        <v>1</v>
      </c>
      <c r="L171" s="4">
        <f>J171/COUNTIF($B:$B,B171)</f>
        <v/>
      </c>
      <c r="M171" s="5" t="n">
        <v>0.35</v>
      </c>
      <c r="N171" s="5" t="n">
        <v>0.1</v>
      </c>
      <c r="O171" s="6">
        <f>1-(1-M171)*(1-N171)</f>
        <v/>
      </c>
      <c r="P171" s="7">
        <f>L171*O171</f>
        <v/>
      </c>
      <c r="Q171" s="2" t="inlineStr">
        <is>
          <t>Medium</t>
        </is>
      </c>
      <c r="R171" s="2" t="inlineStr">
        <is>
          <t>Moderate</t>
        </is>
      </c>
      <c r="S171" s="2" t="inlineStr">
        <is>
          <t>Moderate</t>
        </is>
      </c>
      <c r="T171" s="2" t="inlineStr">
        <is>
          <t>Domain judgement required for validation</t>
        </is>
      </c>
      <c r="U171" s="2" t="inlineStr">
        <is>
          <t>None</t>
        </is>
      </c>
      <c r="V171" s="2" t="inlineStr">
        <is>
          <t>Phase 5</t>
        </is>
      </c>
      <c r="W171" s="2" t="inlineStr"/>
    </row>
    <row r="172">
      <c r="A172" s="2" t="inlineStr">
        <is>
          <t>COM</t>
        </is>
      </c>
      <c r="B172" s="2" t="inlineStr">
        <is>
          <t>COM-07</t>
        </is>
      </c>
      <c r="C172" s="2" t="inlineStr">
        <is>
          <t>COM-07.2.2</t>
        </is>
      </c>
      <c r="D172" s="8" t="inlineStr">
        <is>
          <t>Medium</t>
        </is>
      </c>
      <c r="E172" s="2" t="inlineStr">
        <is>
          <t>Develop mitigation strategies and quantify contingency requirements — what risk premium or contingency should be priced into the bid?</t>
        </is>
      </c>
      <c r="F172" s="2" t="inlineStr">
        <is>
          <t>AI produces first draft. Human refines with domain judgement.</t>
        </is>
      </c>
      <c r="G172" s="2" t="inlineStr">
        <is>
          <t>Upstream COM-07 outputs</t>
        </is>
      </c>
      <c r="H172" s="2" t="inlineStr">
        <is>
          <t>Decision velocity: AI draft available immediately for human refinement</t>
        </is>
      </c>
      <c r="I172" s="2" t="inlineStr">
        <is>
          <t>Commercial Lead</t>
        </is>
      </c>
      <c r="J172" s="2" t="n">
        <v>3</v>
      </c>
      <c r="K172" s="2" t="n">
        <v>1</v>
      </c>
      <c r="L172" s="4">
        <f>J172/COUNTIF($B:$B,B172)</f>
        <v/>
      </c>
      <c r="M172" s="5" t="n">
        <v>0.35</v>
      </c>
      <c r="N172" s="5" t="n">
        <v>0.1</v>
      </c>
      <c r="O172" s="6">
        <f>1-(1-M172)*(1-N172)</f>
        <v/>
      </c>
      <c r="P172" s="7">
        <f>L172*O172</f>
        <v/>
      </c>
      <c r="Q172" s="2" t="inlineStr">
        <is>
          <t>Medium</t>
        </is>
      </c>
      <c r="R172" s="2" t="inlineStr">
        <is>
          <t>Moderate</t>
        </is>
      </c>
      <c r="S172" s="2" t="inlineStr">
        <is>
          <t>Moderate</t>
        </is>
      </c>
      <c r="T172" s="2" t="inlineStr">
        <is>
          <t>Domain judgement required for validation</t>
        </is>
      </c>
      <c r="U172" s="2" t="inlineStr">
        <is>
          <t>Corporate Cost Data</t>
        </is>
      </c>
      <c r="V172" s="2" t="inlineStr">
        <is>
          <t>Phase 5</t>
        </is>
      </c>
      <c r="W172" s="2" t="inlineStr"/>
    </row>
    <row r="173">
      <c r="A173" s="2" t="inlineStr">
        <is>
          <t>COM</t>
        </is>
      </c>
      <c r="B173" s="2" t="inlineStr">
        <is>
          <t>COM-07</t>
        </is>
      </c>
      <c r="C173" s="2" t="inlineStr">
        <is>
          <t>COM-07.2.3</t>
        </is>
      </c>
      <c r="D173" s="9" t="inlineStr">
        <is>
          <t>Low</t>
        </is>
      </c>
      <c r="E173" s="2" t="inlineStr">
        <is>
          <t>Validate commercial risk register — complete, contingency quantified, ready for COM-06 pricing and governance gates</t>
        </is>
      </c>
      <c r="F173" s="2" t="inlineStr">
        <is>
          <t>AI prepares pack/summary. Decision is human governance.</t>
        </is>
      </c>
      <c r="G173" s="2" t="inlineStr">
        <is>
          <t>Upstream COM-07 outputs</t>
        </is>
      </c>
      <c r="H173" s="2" t="inlineStr">
        <is>
          <t>Minimal: Preparation support only</t>
        </is>
      </c>
      <c r="I173" s="2" t="inlineStr">
        <is>
          <t>Commercial Lead</t>
        </is>
      </c>
      <c r="J173" s="2" t="n">
        <v>3</v>
      </c>
      <c r="K173" s="2" t="n">
        <v>1</v>
      </c>
      <c r="L173" s="4">
        <f>J173/COUNTIF($B:$B,B173)</f>
        <v/>
      </c>
      <c r="M173" s="5" t="n">
        <v>0.1</v>
      </c>
      <c r="N173" s="5" t="n">
        <v>0.1</v>
      </c>
      <c r="O173" s="6">
        <f>1-(1-M173)*(1-N173)</f>
        <v/>
      </c>
      <c r="P173" s="7">
        <f>L173*O173</f>
        <v/>
      </c>
      <c r="Q173" s="2" t="inlineStr">
        <is>
          <t>Low</t>
        </is>
      </c>
      <c r="R173" s="2" t="inlineStr">
        <is>
          <t>Low</t>
        </is>
      </c>
      <c r="S173" s="2" t="inlineStr">
        <is>
          <t>Low</t>
        </is>
      </c>
      <c r="T173" s="2" t="inlineStr">
        <is>
          <t>Team validation requires human judgement</t>
        </is>
      </c>
      <c r="U173" s="2" t="inlineStr">
        <is>
          <t>None</t>
        </is>
      </c>
      <c r="V173" s="2" t="inlineStr">
        <is>
          <t>Phase 5</t>
        </is>
      </c>
      <c r="W173" s="2" t="inlineStr"/>
    </row>
    <row r="174">
      <c r="A174" s="2" t="inlineStr">
        <is>
          <t>LEG</t>
        </is>
      </c>
      <c r="B174" s="2" t="inlineStr">
        <is>
          <t>LEG-01</t>
        </is>
      </c>
      <c r="C174" s="2" t="inlineStr">
        <is>
          <t>LEG-01.1.1</t>
        </is>
      </c>
      <c r="D174" s="3" t="inlineStr">
        <is>
          <t>High</t>
        </is>
      </c>
      <c r="E174" s="2" t="inlineStr">
        <is>
          <t>Review all contract documents — T&amp;Cs, schedules, annexes — identify obligations, liabilities, and non-standard provisions</t>
        </is>
      </c>
      <c r="F174" s="2" t="inlineStr">
        <is>
          <t>AI executes task autonomously from structured inputs. Human reviews.</t>
        </is>
      </c>
      <c r="G174" s="2" t="inlineStr">
        <is>
          <t>Upstream LEG-01 outputs</t>
        </is>
      </c>
      <c r="H174" s="2" t="inlineStr">
        <is>
          <t>Time reduction: Task largely automated from structured data</t>
        </is>
      </c>
      <c r="I174" s="2" t="inlineStr">
        <is>
          <t>Legal Lead</t>
        </is>
      </c>
      <c r="J174" s="2" t="n">
        <v>8</v>
      </c>
      <c r="K174" s="2" t="n">
        <v>1</v>
      </c>
      <c r="L174" s="4">
        <f>J174/COUNTIF($B:$B,B174)</f>
        <v/>
      </c>
      <c r="M174" s="5" t="n">
        <v>0.6</v>
      </c>
      <c r="N174" s="5" t="n">
        <v>0.1</v>
      </c>
      <c r="O174" s="6">
        <f>1-(1-M174)*(1-N174)</f>
        <v/>
      </c>
      <c r="P174" s="7">
        <f>L174*O174</f>
        <v/>
      </c>
      <c r="Q174" s="2" t="inlineStr">
        <is>
          <t>Medium</t>
        </is>
      </c>
      <c r="R174" s="2" t="inlineStr">
        <is>
          <t>Moderate</t>
        </is>
      </c>
      <c r="S174" s="2" t="inlineStr">
        <is>
          <t>Yes</t>
        </is>
      </c>
      <c r="T174" s="2" t="inlineStr">
        <is>
          <t>Structured data must be available</t>
        </is>
      </c>
      <c r="U174" s="2" t="inlineStr">
        <is>
          <t>None</t>
        </is>
      </c>
      <c r="V174" s="2" t="inlineStr">
        <is>
          <t>Phase 1</t>
        </is>
      </c>
      <c r="W174" s="2" t="inlineStr"/>
    </row>
    <row r="175">
      <c r="A175" s="2" t="inlineStr">
        <is>
          <t>LEG</t>
        </is>
      </c>
      <c r="B175" s="2" t="inlineStr">
        <is>
          <t>LEG-01</t>
        </is>
      </c>
      <c r="C175" s="2" t="inlineStr">
        <is>
          <t>LEG-01.1.2</t>
        </is>
      </c>
      <c r="D175" s="3" t="inlineStr">
        <is>
          <t>High</t>
        </is>
      </c>
      <c r="E175" s="2" t="inlineStr">
        <is>
          <t>Identify red lines and risk areas — terms we cannot accept, terms that need amendment, terms that create unacceptable exposure</t>
        </is>
      </c>
      <c r="F175" s="2" t="inlineStr">
        <is>
          <t>AI executes task autonomously from structured inputs. Human reviews.</t>
        </is>
      </c>
      <c r="G175" s="2" t="inlineStr">
        <is>
          <t>Upstream LEG-01 outputs</t>
        </is>
      </c>
      <c r="H175" s="2" t="inlineStr">
        <is>
          <t>Time reduction: Task largely automated from structured data</t>
        </is>
      </c>
      <c r="I175" s="2" t="inlineStr">
        <is>
          <t>Legal Lead</t>
        </is>
      </c>
      <c r="J175" s="2" t="n">
        <v>8</v>
      </c>
      <c r="K175" s="2" t="n">
        <v>1</v>
      </c>
      <c r="L175" s="4">
        <f>J175/COUNTIF($B:$B,B175)</f>
        <v/>
      </c>
      <c r="M175" s="5" t="n">
        <v>0.6</v>
      </c>
      <c r="N175" s="5" t="n">
        <v>0.1</v>
      </c>
      <c r="O175" s="6">
        <f>1-(1-M175)*(1-N175)</f>
        <v/>
      </c>
      <c r="P175" s="7">
        <f>L175*O175</f>
        <v/>
      </c>
      <c r="Q175" s="2" t="inlineStr">
        <is>
          <t>Medium</t>
        </is>
      </c>
      <c r="R175" s="2" t="inlineStr">
        <is>
          <t>Moderate</t>
        </is>
      </c>
      <c r="S175" s="2" t="inlineStr">
        <is>
          <t>Yes</t>
        </is>
      </c>
      <c r="T175" s="2" t="inlineStr">
        <is>
          <t>Structured data must be available</t>
        </is>
      </c>
      <c r="U175" s="2" t="inlineStr">
        <is>
          <t>None</t>
        </is>
      </c>
      <c r="V175" s="2" t="inlineStr">
        <is>
          <t>Phase 1</t>
        </is>
      </c>
      <c r="W175" s="2" t="inlineStr"/>
    </row>
    <row r="176">
      <c r="A176" s="2" t="inlineStr">
        <is>
          <t>LEG</t>
        </is>
      </c>
      <c r="B176" s="2" t="inlineStr">
        <is>
          <t>LEG-01</t>
        </is>
      </c>
      <c r="C176" s="2" t="inlineStr">
        <is>
          <t>LEG-01.2.1</t>
        </is>
      </c>
      <c r="D176" s="8" t="inlineStr">
        <is>
          <t>Medium</t>
        </is>
      </c>
      <c r="E176" s="2" t="inlineStr">
        <is>
          <t>Prepare contract markup and redline — proposed amendments with rationale for each change</t>
        </is>
      </c>
      <c r="F176" s="2" t="inlineStr">
        <is>
          <t>AI accelerates with draft/analysis. Human applies domain judgement.</t>
        </is>
      </c>
      <c r="G176" s="2" t="inlineStr">
        <is>
          <t>Upstream LEG-01 outputs</t>
        </is>
      </c>
      <c r="H176" s="2" t="inlineStr">
        <is>
          <t>Decision velocity: AI draft available immediately for human refinement</t>
        </is>
      </c>
      <c r="I176" s="2" t="inlineStr">
        <is>
          <t>Legal Lead</t>
        </is>
      </c>
      <c r="J176" s="2" t="n">
        <v>8</v>
      </c>
      <c r="K176" s="2" t="n">
        <v>1</v>
      </c>
      <c r="L176" s="4">
        <f>J176/COUNTIF($B:$B,B176)</f>
        <v/>
      </c>
      <c r="M176" s="5" t="n">
        <v>0.35</v>
      </c>
      <c r="N176" s="5" t="n">
        <v>0.1</v>
      </c>
      <c r="O176" s="6">
        <f>1-(1-M176)*(1-N176)</f>
        <v/>
      </c>
      <c r="P176" s="7">
        <f>L176*O176</f>
        <v/>
      </c>
      <c r="Q176" s="2" t="inlineStr">
        <is>
          <t>Medium</t>
        </is>
      </c>
      <c r="R176" s="2" t="inlineStr">
        <is>
          <t>Moderate</t>
        </is>
      </c>
      <c r="S176" s="2" t="inlineStr">
        <is>
          <t>Moderate</t>
        </is>
      </c>
      <c r="T176" s="2" t="inlineStr">
        <is>
          <t>Domain judgement required for validation</t>
        </is>
      </c>
      <c r="U176" s="2" t="inlineStr">
        <is>
          <t>None</t>
        </is>
      </c>
      <c r="V176" s="2" t="inlineStr">
        <is>
          <t>Phase 1</t>
        </is>
      </c>
      <c r="W176" s="2" t="inlineStr"/>
    </row>
    <row r="177">
      <c r="A177" s="2" t="inlineStr">
        <is>
          <t>LEG</t>
        </is>
      </c>
      <c r="B177" s="2" t="inlineStr">
        <is>
          <t>LEG-01</t>
        </is>
      </c>
      <c r="C177" s="2" t="inlineStr">
        <is>
          <t>LEG-01.2.2</t>
        </is>
      </c>
      <c r="D177" s="9" t="inlineStr">
        <is>
          <t>Low</t>
        </is>
      </c>
      <c r="E177" s="2" t="inlineStr">
        <is>
          <t>Develop negotiation strategy and positions log — fallback positions, must-haves vs nice-to-haves, feeds competitive dialogue (BM-09)</t>
        </is>
      </c>
      <c r="F177" s="2" t="inlineStr">
        <is>
          <t>AI provides minimal preparation support. Task is fundamentally human.</t>
        </is>
      </c>
      <c r="G177" s="2" t="inlineStr">
        <is>
          <t>Upstream LEG-01 outputs</t>
        </is>
      </c>
      <c r="H177" s="2" t="inlineStr">
        <is>
          <t>Minimal: Preparation support only</t>
        </is>
      </c>
      <c r="I177" s="2" t="inlineStr">
        <is>
          <t>Legal Lead</t>
        </is>
      </c>
      <c r="J177" s="2" t="n">
        <v>8</v>
      </c>
      <c r="K177" s="2" t="n">
        <v>1</v>
      </c>
      <c r="L177" s="4">
        <f>J177/COUNTIF($B:$B,B177)</f>
        <v/>
      </c>
      <c r="M177" s="5" t="n">
        <v>0.1</v>
      </c>
      <c r="N177" s="5" t="n">
        <v>0.1</v>
      </c>
      <c r="O177" s="6">
        <f>1-(1-M177)*(1-N177)</f>
        <v/>
      </c>
      <c r="P177" s="7">
        <f>L177*O177</f>
        <v/>
      </c>
      <c r="Q177" s="2" t="inlineStr">
        <is>
          <t>Low</t>
        </is>
      </c>
      <c r="R177" s="2" t="inlineStr">
        <is>
          <t>Low</t>
        </is>
      </c>
      <c r="S177" s="2" t="inlineStr">
        <is>
          <t>Low</t>
        </is>
      </c>
      <c r="T177" s="2" t="inlineStr">
        <is>
          <t>Human relationship/judgement required</t>
        </is>
      </c>
      <c r="U177" s="2" t="inlineStr">
        <is>
          <t>None</t>
        </is>
      </c>
      <c r="V177" s="2" t="inlineStr">
        <is>
          <t>Phase 1</t>
        </is>
      </c>
      <c r="W177" s="2" t="inlineStr"/>
    </row>
    <row r="178">
      <c r="A178" s="2" t="inlineStr">
        <is>
          <t>LEG</t>
        </is>
      </c>
      <c r="B178" s="2" t="inlineStr">
        <is>
          <t>LEG-02</t>
        </is>
      </c>
      <c r="C178" s="2" t="inlineStr">
        <is>
          <t>LEG-02.1.1</t>
        </is>
      </c>
      <c r="D178" s="3" t="inlineStr">
        <is>
          <t>High</t>
        </is>
      </c>
      <c r="E178" s="2" t="inlineStr">
        <is>
          <t>Map risk allocation across the contract — who bears what risk (client, supplier, shared) for each category: delivery, financial, transition, TUPE, technology, force majeure</t>
        </is>
      </c>
      <c r="F178" s="2" t="inlineStr">
        <is>
          <t>AI maps and cross-references data systematically</t>
        </is>
      </c>
      <c r="G178" s="2" t="inlineStr">
        <is>
          <t>Upstream LEG-02 outputs</t>
        </is>
      </c>
      <c r="H178" s="2" t="inlineStr">
        <is>
          <t>Time reduction: Task largely automated from structured data</t>
        </is>
      </c>
      <c r="I178" s="2" t="inlineStr">
        <is>
          <t>Legal Lead</t>
        </is>
      </c>
      <c r="J178" s="2" t="n">
        <v>3</v>
      </c>
      <c r="K178" s="2" t="n">
        <v>1</v>
      </c>
      <c r="L178" s="4">
        <f>J178/COUNTIF($B:$B,B178)</f>
        <v/>
      </c>
      <c r="M178" s="5" t="n">
        <v>0.6</v>
      </c>
      <c r="N178" s="5" t="n">
        <v>0.1</v>
      </c>
      <c r="O178" s="6">
        <f>1-(1-M178)*(1-N178)</f>
        <v/>
      </c>
      <c r="P178" s="7">
        <f>L178*O178</f>
        <v/>
      </c>
      <c r="Q178" s="2" t="inlineStr">
        <is>
          <t>High</t>
        </is>
      </c>
      <c r="R178" s="2" t="inlineStr">
        <is>
          <t>Yes</t>
        </is>
      </c>
      <c r="S178" s="2" t="inlineStr">
        <is>
          <t>Yes</t>
        </is>
      </c>
      <c r="T178" s="2" t="inlineStr">
        <is>
          <t>Structured data must be available</t>
        </is>
      </c>
      <c r="U178" s="2" t="inlineStr">
        <is>
          <t>None</t>
        </is>
      </c>
      <c r="V178" s="2" t="inlineStr">
        <is>
          <t>N/A</t>
        </is>
      </c>
      <c r="W178" s="2" t="inlineStr"/>
    </row>
    <row r="179">
      <c r="A179" s="2" t="inlineStr">
        <is>
          <t>LEG</t>
        </is>
      </c>
      <c r="B179" s="2" t="inlineStr">
        <is>
          <t>LEG-02</t>
        </is>
      </c>
      <c r="C179" s="2" t="inlineStr">
        <is>
          <t>LEG-02.1.2</t>
        </is>
      </c>
      <c r="D179" s="8" t="inlineStr">
        <is>
          <t>Medium</t>
        </is>
      </c>
      <c r="E179" s="2" t="inlineStr">
        <is>
          <t>Assess acceptability of risk allocation against corporate risk appetite — where are we taking too much risk?</t>
        </is>
      </c>
      <c r="F179" s="2" t="inlineStr">
        <is>
          <t>AI provides analysis and assessment. Human validates with judgement.</t>
        </is>
      </c>
      <c r="G179" s="2" t="inlineStr">
        <is>
          <t>Upstream LEG-02 outputs</t>
        </is>
      </c>
      <c r="H179" s="2" t="inlineStr">
        <is>
          <t>Decision velocity: AI draft available immediately for human refinement</t>
        </is>
      </c>
      <c r="I179" s="2" t="inlineStr">
        <is>
          <t>Legal Lead</t>
        </is>
      </c>
      <c r="J179" s="2" t="n">
        <v>3</v>
      </c>
      <c r="K179" s="2" t="n">
        <v>1</v>
      </c>
      <c r="L179" s="4">
        <f>J179/COUNTIF($B:$B,B179)</f>
        <v/>
      </c>
      <c r="M179" s="5" t="n">
        <v>0.35</v>
      </c>
      <c r="N179" s="5" t="n">
        <v>0.1</v>
      </c>
      <c r="O179" s="6">
        <f>1-(1-M179)*(1-N179)</f>
        <v/>
      </c>
      <c r="P179" s="7">
        <f>L179*O179</f>
        <v/>
      </c>
      <c r="Q179" s="2" t="inlineStr">
        <is>
          <t>Medium</t>
        </is>
      </c>
      <c r="R179" s="2" t="inlineStr">
        <is>
          <t>Moderate</t>
        </is>
      </c>
      <c r="S179" s="2" t="inlineStr">
        <is>
          <t>Moderate</t>
        </is>
      </c>
      <c r="T179" s="2" t="inlineStr">
        <is>
          <t>Domain judgement required for validation</t>
        </is>
      </c>
      <c r="U179" s="2" t="inlineStr">
        <is>
          <t>None</t>
        </is>
      </c>
      <c r="V179" s="2" t="inlineStr">
        <is>
          <t>N/A</t>
        </is>
      </c>
      <c r="W179" s="2" t="inlineStr"/>
    </row>
    <row r="180">
      <c r="A180" s="2" t="inlineStr">
        <is>
          <t>LEG</t>
        </is>
      </c>
      <c r="B180" s="2" t="inlineStr">
        <is>
          <t>LEG-02</t>
        </is>
      </c>
      <c r="C180" s="2" t="inlineStr">
        <is>
          <t>LEG-02.1.3</t>
        </is>
      </c>
      <c r="D180" s="8" t="inlineStr">
        <is>
          <t>Medium</t>
        </is>
      </c>
      <c r="E180" s="2" t="inlineStr">
        <is>
          <t>Develop risk mitigation positions and recommend contract amendments — feeds LEG-01 markup and COM-04 commercial model</t>
        </is>
      </c>
      <c r="F180" s="2" t="inlineStr">
        <is>
          <t>AI produces first draft. Human refines with domain judgement.</t>
        </is>
      </c>
      <c r="G180" s="2" t="inlineStr">
        <is>
          <t>Upstream LEG-02 outputs</t>
        </is>
      </c>
      <c r="H180" s="2" t="inlineStr">
        <is>
          <t>Decision velocity: AI draft available immediately for human refinement</t>
        </is>
      </c>
      <c r="I180" s="2" t="inlineStr">
        <is>
          <t>Legal Lead</t>
        </is>
      </c>
      <c r="J180" s="2" t="n">
        <v>3</v>
      </c>
      <c r="K180" s="2" t="n">
        <v>1</v>
      </c>
      <c r="L180" s="4">
        <f>J180/COUNTIF($B:$B,B180)</f>
        <v/>
      </c>
      <c r="M180" s="5" t="n">
        <v>0.35</v>
      </c>
      <c r="N180" s="5" t="n">
        <v>0.1</v>
      </c>
      <c r="O180" s="6">
        <f>1-(1-M180)*(1-N180)</f>
        <v/>
      </c>
      <c r="P180" s="7">
        <f>L180*O180</f>
        <v/>
      </c>
      <c r="Q180" s="2" t="inlineStr">
        <is>
          <t>Medium</t>
        </is>
      </c>
      <c r="R180" s="2" t="inlineStr">
        <is>
          <t>Moderate</t>
        </is>
      </c>
      <c r="S180" s="2" t="inlineStr">
        <is>
          <t>Moderate</t>
        </is>
      </c>
      <c r="T180" s="2" t="inlineStr">
        <is>
          <t>Domain judgement required for validation</t>
        </is>
      </c>
      <c r="U180" s="2" t="inlineStr">
        <is>
          <t>None</t>
        </is>
      </c>
      <c r="V180" s="2" t="inlineStr">
        <is>
          <t>N/A</t>
        </is>
      </c>
      <c r="W180" s="2" t="inlineStr"/>
    </row>
    <row r="181">
      <c r="A181" s="2" t="inlineStr">
        <is>
          <t>LEG</t>
        </is>
      </c>
      <c r="B181" s="2" t="inlineStr">
        <is>
          <t>LEG-03</t>
        </is>
      </c>
      <c r="C181" s="2" t="inlineStr">
        <is>
          <t>LEG-03.1.1</t>
        </is>
      </c>
      <c r="D181" s="3" t="inlineStr">
        <is>
          <t>High</t>
        </is>
      </c>
      <c r="E181" s="2" t="inlineStr">
        <is>
          <t>Identify insurance requirements from the contract — PI, PL, EL, cyber, product liability minimum levels and specific provisions</t>
        </is>
      </c>
      <c r="F181" s="2" t="inlineStr">
        <is>
          <t>AI executes task autonomously from structured inputs. Human reviews.</t>
        </is>
      </c>
      <c r="G181" s="2" t="inlineStr">
        <is>
          <t>Upstream LEG-03 outputs</t>
        </is>
      </c>
      <c r="H181" s="2" t="inlineStr">
        <is>
          <t>Time reduction: Task largely automated from structured data</t>
        </is>
      </c>
      <c r="I181" s="2" t="inlineStr">
        <is>
          <t>Legal Lead</t>
        </is>
      </c>
      <c r="J181" s="2" t="n">
        <v>3</v>
      </c>
      <c r="K181" s="2" t="n">
        <v>1</v>
      </c>
      <c r="L181" s="4">
        <f>J181/COUNTIF($B:$B,B181)</f>
        <v/>
      </c>
      <c r="M181" s="5" t="n">
        <v>0.6</v>
      </c>
      <c r="N181" s="5" t="n">
        <v>0.1</v>
      </c>
      <c r="O181" s="6">
        <f>1-(1-M181)*(1-N181)</f>
        <v/>
      </c>
      <c r="P181" s="7">
        <f>L181*O181</f>
        <v/>
      </c>
      <c r="Q181" s="2" t="inlineStr">
        <is>
          <t>Medium</t>
        </is>
      </c>
      <c r="R181" s="2" t="inlineStr">
        <is>
          <t>Moderate</t>
        </is>
      </c>
      <c r="S181" s="2" t="inlineStr">
        <is>
          <t>Yes</t>
        </is>
      </c>
      <c r="T181" s="2" t="inlineStr">
        <is>
          <t>Structured data must be available</t>
        </is>
      </c>
      <c r="U181" s="2" t="inlineStr">
        <is>
          <t>None</t>
        </is>
      </c>
      <c r="V181" s="2" t="inlineStr">
        <is>
          <t>N/A</t>
        </is>
      </c>
      <c r="W181" s="2" t="inlineStr"/>
    </row>
    <row r="182">
      <c r="A182" s="2" t="inlineStr">
        <is>
          <t>LEG</t>
        </is>
      </c>
      <c r="B182" s="2" t="inlineStr">
        <is>
          <t>LEG-03</t>
        </is>
      </c>
      <c r="C182" s="2" t="inlineStr">
        <is>
          <t>LEG-03.1.2</t>
        </is>
      </c>
      <c r="D182" s="8" t="inlineStr">
        <is>
          <t>Medium</t>
        </is>
      </c>
      <c r="E182" s="2" t="inlineStr">
        <is>
          <t>Assess current insurance coverage against requirements — gaps, additional premiums, exclusions that need addressing</t>
        </is>
      </c>
      <c r="F182" s="2" t="inlineStr">
        <is>
          <t>AI provides analysis and assessment. Human validates with judgement.</t>
        </is>
      </c>
      <c r="G182" s="2" t="inlineStr">
        <is>
          <t>Upstream LEG-03 outputs</t>
        </is>
      </c>
      <c r="H182" s="2" t="inlineStr">
        <is>
          <t>Decision velocity: AI draft available immediately for human refinement</t>
        </is>
      </c>
      <c r="I182" s="2" t="inlineStr">
        <is>
          <t>Legal Lead</t>
        </is>
      </c>
      <c r="J182" s="2" t="n">
        <v>3</v>
      </c>
      <c r="K182" s="2" t="n">
        <v>1</v>
      </c>
      <c r="L182" s="4">
        <f>J182/COUNTIF($B:$B,B182)</f>
        <v/>
      </c>
      <c r="M182" s="5" t="n">
        <v>0.35</v>
      </c>
      <c r="N182" s="5" t="n">
        <v>0.1</v>
      </c>
      <c r="O182" s="6">
        <f>1-(1-M182)*(1-N182)</f>
        <v/>
      </c>
      <c r="P182" s="7">
        <f>L182*O182</f>
        <v/>
      </c>
      <c r="Q182" s="2" t="inlineStr">
        <is>
          <t>Medium</t>
        </is>
      </c>
      <c r="R182" s="2" t="inlineStr">
        <is>
          <t>Moderate</t>
        </is>
      </c>
      <c r="S182" s="2" t="inlineStr">
        <is>
          <t>Moderate</t>
        </is>
      </c>
      <c r="T182" s="2" t="inlineStr">
        <is>
          <t>Domain judgement required for validation</t>
        </is>
      </c>
      <c r="U182" s="2" t="inlineStr">
        <is>
          <t>None</t>
        </is>
      </c>
      <c r="V182" s="2" t="inlineStr">
        <is>
          <t>N/A</t>
        </is>
      </c>
      <c r="W182" s="2" t="inlineStr"/>
    </row>
    <row r="183">
      <c r="A183" s="2" t="inlineStr">
        <is>
          <t>LEG</t>
        </is>
      </c>
      <c r="B183" s="2" t="inlineStr">
        <is>
          <t>LEG-03</t>
        </is>
      </c>
      <c r="C183" s="2" t="inlineStr">
        <is>
          <t>LEG-03.1.3</t>
        </is>
      </c>
      <c r="D183" s="9" t="inlineStr">
        <is>
          <t>Low</t>
        </is>
      </c>
      <c r="E183" s="2" t="inlineStr">
        <is>
          <t>Quantify insurance cost and confirm compliance — additional premium cost feeds COM-01, compliance position confirmed</t>
        </is>
      </c>
      <c r="F183" s="2" t="inlineStr">
        <is>
          <t>AI prepares pack/summary. Decision is human governance.</t>
        </is>
      </c>
      <c r="G183" s="2" t="inlineStr">
        <is>
          <t>Upstream LEG-03 outputs</t>
        </is>
      </c>
      <c r="H183" s="2" t="inlineStr">
        <is>
          <t>Minimal: Preparation support only</t>
        </is>
      </c>
      <c r="I183" s="2" t="inlineStr">
        <is>
          <t>Legal Lead</t>
        </is>
      </c>
      <c r="J183" s="2" t="n">
        <v>3</v>
      </c>
      <c r="K183" s="2" t="n">
        <v>1</v>
      </c>
      <c r="L183" s="4">
        <f>J183/COUNTIF($B:$B,B183)</f>
        <v/>
      </c>
      <c r="M183" s="5" t="n">
        <v>0.1</v>
      </c>
      <c r="N183" s="5" t="n">
        <v>0.1</v>
      </c>
      <c r="O183" s="6">
        <f>1-(1-M183)*(1-N183)</f>
        <v/>
      </c>
      <c r="P183" s="7">
        <f>L183*O183</f>
        <v/>
      </c>
      <c r="Q183" s="2" t="inlineStr">
        <is>
          <t>None</t>
        </is>
      </c>
      <c r="R183" s="2" t="inlineStr">
        <is>
          <t>Low</t>
        </is>
      </c>
      <c r="S183" s="2" t="inlineStr">
        <is>
          <t>Low</t>
        </is>
      </c>
      <c r="T183" s="2" t="inlineStr">
        <is>
          <t>Governance decision is human</t>
        </is>
      </c>
      <c r="U183" s="2" t="inlineStr">
        <is>
          <t>None</t>
        </is>
      </c>
      <c r="V183" s="2" t="inlineStr">
        <is>
          <t>N/A</t>
        </is>
      </c>
      <c r="W183" s="2" t="inlineStr"/>
    </row>
    <row r="184">
      <c r="A184" s="2" t="inlineStr">
        <is>
          <t>LEG</t>
        </is>
      </c>
      <c r="B184" s="2" t="inlineStr">
        <is>
          <t>LEG-04</t>
        </is>
      </c>
      <c r="C184" s="2" t="inlineStr">
        <is>
          <t>LEG-04.1.1</t>
        </is>
      </c>
      <c r="D184" s="8" t="inlineStr">
        <is>
          <t>Medium</t>
        </is>
      </c>
      <c r="E184" s="2" t="inlineStr">
        <is>
          <t>Assess TUPE obligations from a legal perspective — regulations, case law, pension obligations (Fair Deal / New Fair Deal), consultation requirements, information rights</t>
        </is>
      </c>
      <c r="F184" s="2" t="inlineStr">
        <is>
          <t>AI provides analysis and assessment. Human validates with judgement.</t>
        </is>
      </c>
      <c r="G184" s="2" t="inlineStr">
        <is>
          <t>Upstream LEG-04 outputs</t>
        </is>
      </c>
      <c r="H184" s="2" t="inlineStr">
        <is>
          <t>Decision velocity: AI draft available immediately for human refinement</t>
        </is>
      </c>
      <c r="I184" s="2" t="inlineStr">
        <is>
          <t>Legal Lead</t>
        </is>
      </c>
      <c r="J184" s="2" t="n">
        <v>5</v>
      </c>
      <c r="K184" s="2" t="n">
        <v>1</v>
      </c>
      <c r="L184" s="4">
        <f>J184/COUNTIF($B:$B,B184)</f>
        <v/>
      </c>
      <c r="M184" s="5" t="n">
        <v>0.35</v>
      </c>
      <c r="N184" s="5" t="n">
        <v>0.1</v>
      </c>
      <c r="O184" s="6">
        <f>1-(1-M184)*(1-N184)</f>
        <v/>
      </c>
      <c r="P184" s="7">
        <f>L184*O184</f>
        <v/>
      </c>
      <c r="Q184" s="2" t="inlineStr">
        <is>
          <t>Medium</t>
        </is>
      </c>
      <c r="R184" s="2" t="inlineStr">
        <is>
          <t>Moderate</t>
        </is>
      </c>
      <c r="S184" s="2" t="inlineStr">
        <is>
          <t>Moderate</t>
        </is>
      </c>
      <c r="T184" s="2" t="inlineStr">
        <is>
          <t>Domain judgement required for validation</t>
        </is>
      </c>
      <c r="U184" s="2" t="inlineStr">
        <is>
          <t>None</t>
        </is>
      </c>
      <c r="V184" s="2" t="inlineStr">
        <is>
          <t>N/A</t>
        </is>
      </c>
      <c r="W184" s="2" t="inlineStr"/>
    </row>
    <row r="185">
      <c r="A185" s="2" t="inlineStr">
        <is>
          <t>LEG</t>
        </is>
      </c>
      <c r="B185" s="2" t="inlineStr">
        <is>
          <t>LEG-04</t>
        </is>
      </c>
      <c r="C185" s="2" t="inlineStr">
        <is>
          <t>LEG-04.1.2</t>
        </is>
      </c>
      <c r="D185" s="8" t="inlineStr">
        <is>
          <t>Medium</t>
        </is>
      </c>
      <c r="E185" s="2" t="inlineStr">
        <is>
          <t>Review SOL-06 staffing plans for legal compliance — are the restructuring, redeployment, and gap resolution plans legally sound under TUPE?</t>
        </is>
      </c>
      <c r="F185" s="2" t="inlineStr">
        <is>
          <t>AI provides analysis and assessment. Human validates with judgement.</t>
        </is>
      </c>
      <c r="G185" s="2" t="inlineStr">
        <is>
          <t>Upstream LEG-04 outputs</t>
        </is>
      </c>
      <c r="H185" s="2" t="inlineStr">
        <is>
          <t>Decision velocity: AI draft available immediately for human refinement</t>
        </is>
      </c>
      <c r="I185" s="2" t="inlineStr">
        <is>
          <t>Legal Lead</t>
        </is>
      </c>
      <c r="J185" s="2" t="n">
        <v>5</v>
      </c>
      <c r="K185" s="2" t="n">
        <v>1</v>
      </c>
      <c r="L185" s="4">
        <f>J185/COUNTIF($B:$B,B185)</f>
        <v/>
      </c>
      <c r="M185" s="5" t="n">
        <v>0.35</v>
      </c>
      <c r="N185" s="5" t="n">
        <v>0.1</v>
      </c>
      <c r="O185" s="6">
        <f>1-(1-M185)*(1-N185)</f>
        <v/>
      </c>
      <c r="P185" s="7">
        <f>L185*O185</f>
        <v/>
      </c>
      <c r="Q185" s="2" t="inlineStr">
        <is>
          <t>Medium</t>
        </is>
      </c>
      <c r="R185" s="2" t="inlineStr">
        <is>
          <t>Moderate</t>
        </is>
      </c>
      <c r="S185" s="2" t="inlineStr">
        <is>
          <t>Moderate</t>
        </is>
      </c>
      <c r="T185" s="2" t="inlineStr">
        <is>
          <t>Domain judgement required for validation</t>
        </is>
      </c>
      <c r="U185" s="2" t="inlineStr">
        <is>
          <t>None</t>
        </is>
      </c>
      <c r="V185" s="2" t="inlineStr">
        <is>
          <t>N/A</t>
        </is>
      </c>
      <c r="W185" s="2" t="inlineStr"/>
    </row>
    <row r="186">
      <c r="A186" s="2" t="inlineStr">
        <is>
          <t>LEG</t>
        </is>
      </c>
      <c r="B186" s="2" t="inlineStr">
        <is>
          <t>LEG-04</t>
        </is>
      </c>
      <c r="C186" s="2" t="inlineStr">
        <is>
          <t>LEG-04.1.3</t>
        </is>
      </c>
      <c r="D186" s="9" t="inlineStr">
        <is>
          <t>Low</t>
        </is>
      </c>
      <c r="E186" s="2" t="inlineStr">
        <is>
          <t>Identify TUPE legal risks and develop mitigation advice — feeds SOL-12 and COM-07</t>
        </is>
      </c>
      <c r="F186" s="2" t="inlineStr">
        <is>
          <t>AI provides minimal preparation support. Task is fundamentally human.</t>
        </is>
      </c>
      <c r="G186" s="2" t="inlineStr">
        <is>
          <t>Upstream LEG-04 outputs</t>
        </is>
      </c>
      <c r="H186" s="2" t="inlineStr">
        <is>
          <t>Minimal: Preparation support only</t>
        </is>
      </c>
      <c r="I186" s="2" t="inlineStr">
        <is>
          <t>Legal Lead</t>
        </is>
      </c>
      <c r="J186" s="2" t="n">
        <v>5</v>
      </c>
      <c r="K186" s="2" t="n">
        <v>1</v>
      </c>
      <c r="L186" s="4">
        <f>J186/COUNTIF($B:$B,B186)</f>
        <v/>
      </c>
      <c r="M186" s="5" t="n">
        <v>0.1</v>
      </c>
      <c r="N186" s="5" t="n">
        <v>0.1</v>
      </c>
      <c r="O186" s="6">
        <f>1-(1-M186)*(1-N186)</f>
        <v/>
      </c>
      <c r="P186" s="7">
        <f>L186*O186</f>
        <v/>
      </c>
      <c r="Q186" s="2" t="inlineStr">
        <is>
          <t>Low</t>
        </is>
      </c>
      <c r="R186" s="2" t="inlineStr">
        <is>
          <t>Low</t>
        </is>
      </c>
      <c r="S186" s="2" t="inlineStr">
        <is>
          <t>Low</t>
        </is>
      </c>
      <c r="T186" s="2" t="inlineStr">
        <is>
          <t>Human relationship/judgement required</t>
        </is>
      </c>
      <c r="U186" s="2" t="inlineStr">
        <is>
          <t>None</t>
        </is>
      </c>
      <c r="V186" s="2" t="inlineStr">
        <is>
          <t>N/A</t>
        </is>
      </c>
      <c r="W186" s="2" t="inlineStr"/>
    </row>
    <row r="187">
      <c r="A187" s="2" t="inlineStr">
        <is>
          <t>LEG</t>
        </is>
      </c>
      <c r="B187" s="2" t="inlineStr">
        <is>
          <t>LEG-05</t>
        </is>
      </c>
      <c r="C187" s="2" t="inlineStr">
        <is>
          <t>LEG-05.1.1</t>
        </is>
      </c>
      <c r="D187" s="3" t="inlineStr">
        <is>
          <t>High</t>
        </is>
      </c>
      <c r="E187" s="2" t="inlineStr">
        <is>
          <t>Conduct Data Protection Impact Assessment (DPIA) — personal data handling, lawful basis, data processor/controller roles, data subject rights, international transfers</t>
        </is>
      </c>
      <c r="F187" s="2" t="inlineStr">
        <is>
          <t>AI executes task autonomously from structured inputs. Human reviews.</t>
        </is>
      </c>
      <c r="G187" s="2" t="inlineStr">
        <is>
          <t>Upstream LEG-05 outputs</t>
        </is>
      </c>
      <c r="H187" s="2" t="inlineStr">
        <is>
          <t>Time reduction: Task largely automated from structured data</t>
        </is>
      </c>
      <c r="I187" s="2" t="inlineStr">
        <is>
          <t>Legal Lead</t>
        </is>
      </c>
      <c r="J187" s="2" t="n">
        <v>5</v>
      </c>
      <c r="K187" s="2" t="n">
        <v>1</v>
      </c>
      <c r="L187" s="4">
        <f>J187/COUNTIF($B:$B,B187)</f>
        <v/>
      </c>
      <c r="M187" s="5" t="n">
        <v>0.6</v>
      </c>
      <c r="N187" s="5" t="n">
        <v>0.1</v>
      </c>
      <c r="O187" s="6">
        <f>1-(1-M187)*(1-N187)</f>
        <v/>
      </c>
      <c r="P187" s="7">
        <f>L187*O187</f>
        <v/>
      </c>
      <c r="Q187" s="2" t="inlineStr">
        <is>
          <t>Medium</t>
        </is>
      </c>
      <c r="R187" s="2" t="inlineStr">
        <is>
          <t>Moderate</t>
        </is>
      </c>
      <c r="S187" s="2" t="inlineStr">
        <is>
          <t>Yes</t>
        </is>
      </c>
      <c r="T187" s="2" t="inlineStr">
        <is>
          <t>Structured data must be available</t>
        </is>
      </c>
      <c r="U187" s="2" t="inlineStr">
        <is>
          <t>None</t>
        </is>
      </c>
      <c r="V187" s="2" t="inlineStr">
        <is>
          <t>N/A</t>
        </is>
      </c>
      <c r="W187" s="2" t="inlineStr"/>
    </row>
    <row r="188">
      <c r="A188" s="2" t="inlineStr">
        <is>
          <t>LEG</t>
        </is>
      </c>
      <c r="B188" s="2" t="inlineStr">
        <is>
          <t>LEG-05</t>
        </is>
      </c>
      <c r="C188" s="2" t="inlineStr">
        <is>
          <t>LEG-05.1.2</t>
        </is>
      </c>
      <c r="D188" s="8" t="inlineStr">
        <is>
          <t>Medium</t>
        </is>
      </c>
      <c r="E188" s="2" t="inlineStr">
        <is>
          <t>Assess information security requirements — security classification, accreditation pathway, vetting levels, Cyber Essentials/ISO 27001 compliance</t>
        </is>
      </c>
      <c r="F188" s="2" t="inlineStr">
        <is>
          <t>AI provides analysis and assessment. Human validates with judgement.</t>
        </is>
      </c>
      <c r="G188" s="2" t="inlineStr">
        <is>
          <t>Upstream LEG-05 outputs</t>
        </is>
      </c>
      <c r="H188" s="2" t="inlineStr">
        <is>
          <t>Decision velocity: AI draft available immediately for human refinement</t>
        </is>
      </c>
      <c r="I188" s="2" t="inlineStr">
        <is>
          <t>Legal Lead</t>
        </is>
      </c>
      <c r="J188" s="2" t="n">
        <v>5</v>
      </c>
      <c r="K188" s="2" t="n">
        <v>1</v>
      </c>
      <c r="L188" s="4">
        <f>J188/COUNTIF($B:$B,B188)</f>
        <v/>
      </c>
      <c r="M188" s="5" t="n">
        <v>0.35</v>
      </c>
      <c r="N188" s="5" t="n">
        <v>0.1</v>
      </c>
      <c r="O188" s="6">
        <f>1-(1-M188)*(1-N188)</f>
        <v/>
      </c>
      <c r="P188" s="7">
        <f>L188*O188</f>
        <v/>
      </c>
      <c r="Q188" s="2" t="inlineStr">
        <is>
          <t>Medium</t>
        </is>
      </c>
      <c r="R188" s="2" t="inlineStr">
        <is>
          <t>Moderate</t>
        </is>
      </c>
      <c r="S188" s="2" t="inlineStr">
        <is>
          <t>Moderate</t>
        </is>
      </c>
      <c r="T188" s="2" t="inlineStr">
        <is>
          <t>Domain judgement required for validation</t>
        </is>
      </c>
      <c r="U188" s="2" t="inlineStr">
        <is>
          <t>None</t>
        </is>
      </c>
      <c r="V188" s="2" t="inlineStr">
        <is>
          <t>N/A</t>
        </is>
      </c>
      <c r="W188" s="2" t="inlineStr"/>
    </row>
    <row r="189">
      <c r="A189" s="2" t="inlineStr">
        <is>
          <t>LEG</t>
        </is>
      </c>
      <c r="B189" s="2" t="inlineStr">
        <is>
          <t>LEG-05</t>
        </is>
      </c>
      <c r="C189" s="2" t="inlineStr">
        <is>
          <t>LEG-05.1.3</t>
        </is>
      </c>
      <c r="D189" s="9" t="inlineStr">
        <is>
          <t>Low</t>
        </is>
      </c>
      <c r="E189" s="2" t="inlineStr">
        <is>
          <t>Identify data protection and security risks — feeds SOL-12 solution risk register</t>
        </is>
      </c>
      <c r="F189" s="2" t="inlineStr">
        <is>
          <t>AI provides minimal preparation support. Task is fundamentally human.</t>
        </is>
      </c>
      <c r="G189" s="2" t="inlineStr">
        <is>
          <t>Upstream LEG-05 outputs</t>
        </is>
      </c>
      <c r="H189" s="2" t="inlineStr">
        <is>
          <t>Minimal: Preparation support only</t>
        </is>
      </c>
      <c r="I189" s="2" t="inlineStr">
        <is>
          <t>Legal Lead</t>
        </is>
      </c>
      <c r="J189" s="2" t="n">
        <v>5</v>
      </c>
      <c r="K189" s="2" t="n">
        <v>1</v>
      </c>
      <c r="L189" s="4">
        <f>J189/COUNTIF($B:$B,B189)</f>
        <v/>
      </c>
      <c r="M189" s="5" t="n">
        <v>0.1</v>
      </c>
      <c r="N189" s="5" t="n">
        <v>0.1</v>
      </c>
      <c r="O189" s="6">
        <f>1-(1-M189)*(1-N189)</f>
        <v/>
      </c>
      <c r="P189" s="7">
        <f>L189*O189</f>
        <v/>
      </c>
      <c r="Q189" s="2" t="inlineStr">
        <is>
          <t>Low</t>
        </is>
      </c>
      <c r="R189" s="2" t="inlineStr">
        <is>
          <t>Low</t>
        </is>
      </c>
      <c r="S189" s="2" t="inlineStr">
        <is>
          <t>Low</t>
        </is>
      </c>
      <c r="T189" s="2" t="inlineStr">
        <is>
          <t>Human relationship/judgement required</t>
        </is>
      </c>
      <c r="U189" s="2" t="inlineStr">
        <is>
          <t>None</t>
        </is>
      </c>
      <c r="V189" s="2" t="inlineStr">
        <is>
          <t>N/A</t>
        </is>
      </c>
      <c r="W189" s="2" t="inlineStr"/>
    </row>
    <row r="190">
      <c r="A190" s="2" t="inlineStr">
        <is>
          <t>LEG</t>
        </is>
      </c>
      <c r="B190" s="2" t="inlineStr">
        <is>
          <t>LEG-06</t>
        </is>
      </c>
      <c r="C190" s="2" t="inlineStr">
        <is>
          <t>LEG-06.1.1</t>
        </is>
      </c>
      <c r="D190" s="3" t="inlineStr">
        <is>
          <t>High</t>
        </is>
      </c>
      <c r="E190" s="2" t="inlineStr">
        <is>
          <t>Review partner/subcontractor teaming agreements and terms — legal structure, liability, IP, confidentiality, termination, dispute resolution</t>
        </is>
      </c>
      <c r="F190" s="2" t="inlineStr">
        <is>
          <t>AI executes task autonomously from structured inputs. Human reviews.</t>
        </is>
      </c>
      <c r="G190" s="2" t="inlineStr">
        <is>
          <t>Upstream LEG-06 outputs</t>
        </is>
      </c>
      <c r="H190" s="2" t="inlineStr">
        <is>
          <t>Time reduction: Task largely automated from structured data</t>
        </is>
      </c>
      <c r="I190" s="2" t="inlineStr">
        <is>
          <t>Legal Lead</t>
        </is>
      </c>
      <c r="J190" s="2" t="n">
        <v>5</v>
      </c>
      <c r="K190" s="2" t="n">
        <v>1</v>
      </c>
      <c r="L190" s="4">
        <f>J190/COUNTIF($B:$B,B190)</f>
        <v/>
      </c>
      <c r="M190" s="5" t="n">
        <v>0.6</v>
      </c>
      <c r="N190" s="5" t="n">
        <v>0.1</v>
      </c>
      <c r="O190" s="6">
        <f>1-(1-M190)*(1-N190)</f>
        <v/>
      </c>
      <c r="P190" s="7">
        <f>L190*O190</f>
        <v/>
      </c>
      <c r="Q190" s="2" t="inlineStr">
        <is>
          <t>Medium</t>
        </is>
      </c>
      <c r="R190" s="2" t="inlineStr">
        <is>
          <t>Moderate</t>
        </is>
      </c>
      <c r="S190" s="2" t="inlineStr">
        <is>
          <t>Yes</t>
        </is>
      </c>
      <c r="T190" s="2" t="inlineStr">
        <is>
          <t>Structured data must be available</t>
        </is>
      </c>
      <c r="U190" s="2" t="inlineStr">
        <is>
          <t>None</t>
        </is>
      </c>
      <c r="V190" s="2" t="inlineStr">
        <is>
          <t>N/A</t>
        </is>
      </c>
      <c r="W190" s="2" t="inlineStr"/>
    </row>
    <row r="191">
      <c r="A191" s="2" t="inlineStr">
        <is>
          <t>LEG</t>
        </is>
      </c>
      <c r="B191" s="2" t="inlineStr">
        <is>
          <t>LEG-06</t>
        </is>
      </c>
      <c r="C191" s="2" t="inlineStr">
        <is>
          <t>LEG-06.1.2</t>
        </is>
      </c>
      <c r="D191" s="8" t="inlineStr">
        <is>
          <t>Medium</t>
        </is>
      </c>
      <c r="E191" s="2" t="inlineStr">
        <is>
          <t>Ensure back-to-back alignment — subcontractor terms flow down from prime contract appropriately, no gaps in risk coverage</t>
        </is>
      </c>
      <c r="F191" s="2" t="inlineStr">
        <is>
          <t>AI accelerates with draft/analysis. Human applies domain judgement.</t>
        </is>
      </c>
      <c r="G191" s="2" t="inlineStr">
        <is>
          <t>Upstream LEG-06 outputs</t>
        </is>
      </c>
      <c r="H191" s="2" t="inlineStr">
        <is>
          <t>Decision velocity: AI draft available immediately for human refinement</t>
        </is>
      </c>
      <c r="I191" s="2" t="inlineStr">
        <is>
          <t>Legal Lead</t>
        </is>
      </c>
      <c r="J191" s="2" t="n">
        <v>5</v>
      </c>
      <c r="K191" s="2" t="n">
        <v>1</v>
      </c>
      <c r="L191" s="4">
        <f>J191/COUNTIF($B:$B,B191)</f>
        <v/>
      </c>
      <c r="M191" s="5" t="n">
        <v>0.35</v>
      </c>
      <c r="N191" s="5" t="n">
        <v>0.1</v>
      </c>
      <c r="O191" s="6">
        <f>1-(1-M191)*(1-N191)</f>
        <v/>
      </c>
      <c r="P191" s="7">
        <f>L191*O191</f>
        <v/>
      </c>
      <c r="Q191" s="2" t="inlineStr">
        <is>
          <t>Medium</t>
        </is>
      </c>
      <c r="R191" s="2" t="inlineStr">
        <is>
          <t>Moderate</t>
        </is>
      </c>
      <c r="S191" s="2" t="inlineStr">
        <is>
          <t>Moderate</t>
        </is>
      </c>
      <c r="T191" s="2" t="inlineStr">
        <is>
          <t>Domain judgement required for validation</t>
        </is>
      </c>
      <c r="U191" s="2" t="inlineStr">
        <is>
          <t>None</t>
        </is>
      </c>
      <c r="V191" s="2" t="inlineStr">
        <is>
          <t>N/A</t>
        </is>
      </c>
      <c r="W191" s="2" t="inlineStr"/>
    </row>
    <row r="192">
      <c r="A192" s="2" t="inlineStr">
        <is>
          <t>LEG</t>
        </is>
      </c>
      <c r="B192" s="2" t="inlineStr">
        <is>
          <t>LEG-06</t>
        </is>
      </c>
      <c r="C192" s="2" t="inlineStr">
        <is>
          <t>LEG-06.1.3</t>
        </is>
      </c>
      <c r="D192" s="9" t="inlineStr">
        <is>
          <t>Low</t>
        </is>
      </c>
      <c r="E192" s="2" t="inlineStr">
        <is>
          <t>Validate subcontractor terms — legally sound, commercially aligned, feeds SUP-06 for formalisation</t>
        </is>
      </c>
      <c r="F192" s="2" t="inlineStr">
        <is>
          <t>AI prepares pack/summary. Decision is human governance.</t>
        </is>
      </c>
      <c r="G192" s="2" t="inlineStr">
        <is>
          <t>Upstream LEG-06 outputs</t>
        </is>
      </c>
      <c r="H192" s="2" t="inlineStr">
        <is>
          <t>Minimal: Preparation support only</t>
        </is>
      </c>
      <c r="I192" s="2" t="inlineStr">
        <is>
          <t>Legal Lead</t>
        </is>
      </c>
      <c r="J192" s="2" t="n">
        <v>5</v>
      </c>
      <c r="K192" s="2" t="n">
        <v>1</v>
      </c>
      <c r="L192" s="4">
        <f>J192/COUNTIF($B:$B,B192)</f>
        <v/>
      </c>
      <c r="M192" s="5" t="n">
        <v>0.1</v>
      </c>
      <c r="N192" s="5" t="n">
        <v>0.1</v>
      </c>
      <c r="O192" s="6">
        <f>1-(1-M192)*(1-N192)</f>
        <v/>
      </c>
      <c r="P192" s="7">
        <f>L192*O192</f>
        <v/>
      </c>
      <c r="Q192" s="2" t="inlineStr">
        <is>
          <t>Low</t>
        </is>
      </c>
      <c r="R192" s="2" t="inlineStr">
        <is>
          <t>Low</t>
        </is>
      </c>
      <c r="S192" s="2" t="inlineStr">
        <is>
          <t>Low</t>
        </is>
      </c>
      <c r="T192" s="2" t="inlineStr">
        <is>
          <t>Team validation requires human judgement</t>
        </is>
      </c>
      <c r="U192" s="2" t="inlineStr">
        <is>
          <t>None</t>
        </is>
      </c>
      <c r="V192" s="2" t="inlineStr">
        <is>
          <t>N/A</t>
        </is>
      </c>
      <c r="W192" s="2" t="inlineStr"/>
    </row>
    <row r="193">
      <c r="A193" s="2" t="inlineStr">
        <is>
          <t>DEL</t>
        </is>
      </c>
      <c r="B193" s="2" t="inlineStr">
        <is>
          <t>DEL-01</t>
        </is>
      </c>
      <c r="C193" s="2" t="inlineStr">
        <is>
          <t>DEL-01.1.1</t>
        </is>
      </c>
      <c r="D193" s="3" t="inlineStr">
        <is>
          <t>High</t>
        </is>
      </c>
      <c r="E193" s="2" t="inlineStr">
        <is>
          <t>Identify delivery-specific risks not covered in SOL-12 — bid-to-delivery handover, client readiness, operational ramp-up, supply chain delivery, service continuity during transition</t>
        </is>
      </c>
      <c r="F193" s="2" t="inlineStr">
        <is>
          <t>AI executes task autonomously from structured inputs. Human reviews.</t>
        </is>
      </c>
      <c r="G193" s="2" t="inlineStr">
        <is>
          <t>Upstream DEL-01 outputs</t>
        </is>
      </c>
      <c r="H193" s="2" t="inlineStr">
        <is>
          <t>Time reduction: Task largely automated from structured data</t>
        </is>
      </c>
      <c r="I193" s="2" t="inlineStr">
        <is>
          <t>Delivery Director</t>
        </is>
      </c>
      <c r="J193" s="2" t="n">
        <v>8</v>
      </c>
      <c r="K193" s="2" t="n">
        <v>1</v>
      </c>
      <c r="L193" s="4">
        <f>J193/COUNTIF($B:$B,B193)</f>
        <v/>
      </c>
      <c r="M193" s="5" t="n">
        <v>0.6</v>
      </c>
      <c r="N193" s="5" t="n">
        <v>0.15</v>
      </c>
      <c r="O193" s="6">
        <f>1-(1-M193)*(1-N193)</f>
        <v/>
      </c>
      <c r="P193" s="7">
        <f>L193*O193</f>
        <v/>
      </c>
      <c r="Q193" s="2" t="inlineStr">
        <is>
          <t>Medium</t>
        </is>
      </c>
      <c r="R193" s="2" t="inlineStr">
        <is>
          <t>Moderate</t>
        </is>
      </c>
      <c r="S193" s="2" t="inlineStr">
        <is>
          <t>Yes</t>
        </is>
      </c>
      <c r="T193" s="2" t="inlineStr">
        <is>
          <t>Structured data must be available</t>
        </is>
      </c>
      <c r="U193" s="2" t="inlineStr">
        <is>
          <t>None</t>
        </is>
      </c>
      <c r="V193" s="2" t="inlineStr">
        <is>
          <t>N/A</t>
        </is>
      </c>
      <c r="W193" s="2" t="inlineStr"/>
    </row>
    <row r="194">
      <c r="A194" s="2" t="inlineStr">
        <is>
          <t>DEL</t>
        </is>
      </c>
      <c r="B194" s="2" t="inlineStr">
        <is>
          <t>DEL-01</t>
        </is>
      </c>
      <c r="C194" s="2" t="inlineStr">
        <is>
          <t>DEL-01.1.2</t>
        </is>
      </c>
      <c r="D194" s="8" t="inlineStr">
        <is>
          <t>Medium</t>
        </is>
      </c>
      <c r="E194" s="2" t="inlineStr">
        <is>
          <t>Document key delivery assumptions — assumptions about client behaviour, volumes, timelines, third-party dependencies, resource availability that underpin the delivery plan</t>
        </is>
      </c>
      <c r="F194" s="2" t="inlineStr">
        <is>
          <t>AI drafts plan from upstream outputs. Human validates and refines.</t>
        </is>
      </c>
      <c r="G194" s="2" t="inlineStr">
        <is>
          <t>Upstream DEL-01 outputs</t>
        </is>
      </c>
      <c r="H194" s="2" t="inlineStr">
        <is>
          <t>Decision velocity: AI draft available immediately for human refinement</t>
        </is>
      </c>
      <c r="I194" s="2" t="inlineStr">
        <is>
          <t>Delivery Director</t>
        </is>
      </c>
      <c r="J194" s="2" t="n">
        <v>8</v>
      </c>
      <c r="K194" s="2" t="n">
        <v>1</v>
      </c>
      <c r="L194" s="4">
        <f>J194/COUNTIF($B:$B,B194)</f>
        <v/>
      </c>
      <c r="M194" s="5" t="n">
        <v>0.35</v>
      </c>
      <c r="N194" s="5" t="n">
        <v>0.15</v>
      </c>
      <c r="O194" s="6">
        <f>1-(1-M194)*(1-N194)</f>
        <v/>
      </c>
      <c r="P194" s="7">
        <f>L194*O194</f>
        <v/>
      </c>
      <c r="Q194" s="2" t="inlineStr">
        <is>
          <t>Medium</t>
        </is>
      </c>
      <c r="R194" s="2" t="inlineStr">
        <is>
          <t>Moderate</t>
        </is>
      </c>
      <c r="S194" s="2" t="inlineStr">
        <is>
          <t>Moderate</t>
        </is>
      </c>
      <c r="T194" s="2" t="inlineStr">
        <is>
          <t>Domain judgement required for validation</t>
        </is>
      </c>
      <c r="U194" s="2" t="inlineStr">
        <is>
          <t>None</t>
        </is>
      </c>
      <c r="V194" s="2" t="inlineStr">
        <is>
          <t>N/A</t>
        </is>
      </c>
      <c r="W194" s="2" t="inlineStr"/>
    </row>
    <row r="195">
      <c r="A195" s="2" t="inlineStr">
        <is>
          <t>DEL</t>
        </is>
      </c>
      <c r="B195" s="2" t="inlineStr">
        <is>
          <t>DEL-01</t>
        </is>
      </c>
      <c r="C195" s="2" t="inlineStr">
        <is>
          <t>DEL-01.2.1</t>
        </is>
      </c>
      <c r="D195" s="8" t="inlineStr">
        <is>
          <t>Medium</t>
        </is>
      </c>
      <c r="E195" s="2" t="inlineStr">
        <is>
          <t>Maintain and update through the bid lifecycle — refresh as solution, commercial, and legal activities surface new risks and validate assumptions</t>
        </is>
      </c>
      <c r="F195" s="2" t="inlineStr">
        <is>
          <t>AI accelerates with draft/analysis. Human applies domain judgement.</t>
        </is>
      </c>
      <c r="G195" s="2" t="inlineStr">
        <is>
          <t>Upstream DEL-01 outputs</t>
        </is>
      </c>
      <c r="H195" s="2" t="inlineStr">
        <is>
          <t>Decision velocity: AI draft available immediately for human refinement</t>
        </is>
      </c>
      <c r="I195" s="2" t="inlineStr">
        <is>
          <t>Delivery Director</t>
        </is>
      </c>
      <c r="J195" s="2" t="n">
        <v>8</v>
      </c>
      <c r="K195" s="2" t="n">
        <v>1</v>
      </c>
      <c r="L195" s="4">
        <f>J195/COUNTIF($B:$B,B195)</f>
        <v/>
      </c>
      <c r="M195" s="5" t="n">
        <v>0.35</v>
      </c>
      <c r="N195" s="5" t="n">
        <v>0.15</v>
      </c>
      <c r="O195" s="6">
        <f>1-(1-M195)*(1-N195)</f>
        <v/>
      </c>
      <c r="P195" s="7">
        <f>L195*O195</f>
        <v/>
      </c>
      <c r="Q195" s="2" t="inlineStr">
        <is>
          <t>Medium</t>
        </is>
      </c>
      <c r="R195" s="2" t="inlineStr">
        <is>
          <t>Moderate</t>
        </is>
      </c>
      <c r="S195" s="2" t="inlineStr">
        <is>
          <t>Moderate</t>
        </is>
      </c>
      <c r="T195" s="2" t="inlineStr">
        <is>
          <t>Domain judgement required for validation</t>
        </is>
      </c>
      <c r="U195" s="2" t="inlineStr">
        <is>
          <t>None</t>
        </is>
      </c>
      <c r="V195" s="2" t="inlineStr">
        <is>
          <t>N/A</t>
        </is>
      </c>
      <c r="W195" s="2" t="inlineStr"/>
    </row>
    <row r="196">
      <c r="A196" s="2" t="inlineStr">
        <is>
          <t>DEL</t>
        </is>
      </c>
      <c r="B196" s="2" t="inlineStr">
        <is>
          <t>DEL-01</t>
        </is>
      </c>
      <c r="C196" s="2" t="inlineStr">
        <is>
          <t>DEL-01.2.2</t>
        </is>
      </c>
      <c r="D196" s="9" t="inlineStr">
        <is>
          <t>Low</t>
        </is>
      </c>
      <c r="E196" s="2" t="inlineStr">
        <is>
          <t>Prepare risk and assumption position for governance gates — summarise for GOV-02 and GOV-03 entry criteria</t>
        </is>
      </c>
      <c r="F196" s="2" t="inlineStr">
        <is>
          <t>AI provides minimal preparation support. Task is fundamentally human.</t>
        </is>
      </c>
      <c r="G196" s="2" t="inlineStr">
        <is>
          <t>Upstream DEL-01 outputs</t>
        </is>
      </c>
      <c r="H196" s="2" t="inlineStr">
        <is>
          <t>Minimal: Preparation support only</t>
        </is>
      </c>
      <c r="I196" s="2" t="inlineStr">
        <is>
          <t>Delivery Director</t>
        </is>
      </c>
      <c r="J196" s="2" t="n">
        <v>8</v>
      </c>
      <c r="K196" s="2" t="n">
        <v>1</v>
      </c>
      <c r="L196" s="4">
        <f>J196/COUNTIF($B:$B,B196)</f>
        <v/>
      </c>
      <c r="M196" s="5" t="n">
        <v>0.1</v>
      </c>
      <c r="N196" s="5" t="n">
        <v>0.15</v>
      </c>
      <c r="O196" s="6">
        <f>1-(1-M196)*(1-N196)</f>
        <v/>
      </c>
      <c r="P196" s="7">
        <f>L196*O196</f>
        <v/>
      </c>
      <c r="Q196" s="2" t="inlineStr">
        <is>
          <t>Low</t>
        </is>
      </c>
      <c r="R196" s="2" t="inlineStr">
        <is>
          <t>Low</t>
        </is>
      </c>
      <c r="S196" s="2" t="inlineStr">
        <is>
          <t>Low</t>
        </is>
      </c>
      <c r="T196" s="2" t="inlineStr">
        <is>
          <t>Human relationship/judgement required</t>
        </is>
      </c>
      <c r="U196" s="2" t="inlineStr">
        <is>
          <t>None</t>
        </is>
      </c>
      <c r="V196" s="2" t="inlineStr">
        <is>
          <t>N/A</t>
        </is>
      </c>
      <c r="W196" s="2" t="inlineStr"/>
    </row>
    <row r="197">
      <c r="A197" s="2" t="inlineStr">
        <is>
          <t>DEL</t>
        </is>
      </c>
      <c r="B197" s="2" t="inlineStr">
        <is>
          <t>DEL-02</t>
        </is>
      </c>
      <c r="C197" s="2" t="inlineStr">
        <is>
          <t>DEL-02.1.1</t>
        </is>
      </c>
      <c r="D197" s="8" t="inlineStr">
        <is>
          <t>Medium</t>
        </is>
      </c>
      <c r="E197" s="2" t="inlineStr">
        <is>
          <t>Develop the detailed mobilisation programme — Gantt, dependencies, resource loading, milestones, acceptance criteria — operationalising SOL-07 transition plan</t>
        </is>
      </c>
      <c r="F197" s="2" t="inlineStr">
        <is>
          <t>AI produces first draft. Human refines with domain judgement.</t>
        </is>
      </c>
      <c r="G197" s="2" t="inlineStr">
        <is>
          <t>Upstream DEL-02 outputs</t>
        </is>
      </c>
      <c r="H197" s="2" t="inlineStr">
        <is>
          <t>Decision velocity: AI draft available immediately for human refinement</t>
        </is>
      </c>
      <c r="I197" s="2" t="inlineStr">
        <is>
          <t>Delivery Director</t>
        </is>
      </c>
      <c r="J197" s="2" t="n">
        <v>5</v>
      </c>
      <c r="K197" s="2" t="n">
        <v>1</v>
      </c>
      <c r="L197" s="4">
        <f>J197/COUNTIF($B:$B,B197)</f>
        <v/>
      </c>
      <c r="M197" s="5" t="n">
        <v>0.35</v>
      </c>
      <c r="N197" s="10" t="n">
        <v>0.2</v>
      </c>
      <c r="O197" s="6">
        <f>1-(1-M197)*(1-N197)</f>
        <v/>
      </c>
      <c r="P197" s="7">
        <f>L197*O197</f>
        <v/>
      </c>
      <c r="Q197" s="2" t="inlineStr">
        <is>
          <t>Medium</t>
        </is>
      </c>
      <c r="R197" s="2" t="inlineStr">
        <is>
          <t>Moderate</t>
        </is>
      </c>
      <c r="S197" s="2" t="inlineStr">
        <is>
          <t>Moderate</t>
        </is>
      </c>
      <c r="T197" s="2" t="inlineStr">
        <is>
          <t>Domain judgement required for validation</t>
        </is>
      </c>
      <c r="U197" s="2" t="inlineStr">
        <is>
          <t>None</t>
        </is>
      </c>
      <c r="V197" s="2" t="inlineStr">
        <is>
          <t>N/A</t>
        </is>
      </c>
      <c r="W197" s="2" t="inlineStr"/>
    </row>
    <row r="198">
      <c r="A198" s="2" t="inlineStr">
        <is>
          <t>DEL</t>
        </is>
      </c>
      <c r="B198" s="2" t="inlineStr">
        <is>
          <t>DEL-02</t>
        </is>
      </c>
      <c r="C198" s="2" t="inlineStr">
        <is>
          <t>DEL-02.1.2</t>
        </is>
      </c>
      <c r="D198" s="8" t="inlineStr">
        <is>
          <t>Medium</t>
        </is>
      </c>
      <c r="E198" s="2" t="inlineStr">
        <is>
          <t>Design mobilisation governance and reporting — how the mobilisation programme will be managed, tracked, and reported to the client</t>
        </is>
      </c>
      <c r="F198" s="2" t="inlineStr">
        <is>
          <t>AI proposes options based on requirements. Human makes design decisions.</t>
        </is>
      </c>
      <c r="G198" s="2" t="inlineStr">
        <is>
          <t>Upstream DEL-02 outputs</t>
        </is>
      </c>
      <c r="H198" s="2" t="inlineStr">
        <is>
          <t>Decision velocity: AI draft available immediately for human refinement</t>
        </is>
      </c>
      <c r="I198" s="2" t="inlineStr">
        <is>
          <t>Delivery Director</t>
        </is>
      </c>
      <c r="J198" s="2" t="n">
        <v>5</v>
      </c>
      <c r="K198" s="2" t="n">
        <v>1</v>
      </c>
      <c r="L198" s="4">
        <f>J198/COUNTIF($B:$B,B198)</f>
        <v/>
      </c>
      <c r="M198" s="5" t="n">
        <v>0.35</v>
      </c>
      <c r="N198" s="10" t="n">
        <v>0.2</v>
      </c>
      <c r="O198" s="6">
        <f>1-(1-M198)*(1-N198)</f>
        <v/>
      </c>
      <c r="P198" s="7">
        <f>L198*O198</f>
        <v/>
      </c>
      <c r="Q198" s="2" t="inlineStr">
        <is>
          <t>Medium</t>
        </is>
      </c>
      <c r="R198" s="2" t="inlineStr">
        <is>
          <t>Moderate</t>
        </is>
      </c>
      <c r="S198" s="2" t="inlineStr">
        <is>
          <t>Moderate</t>
        </is>
      </c>
      <c r="T198" s="2" t="inlineStr">
        <is>
          <t>Domain judgement required for validation</t>
        </is>
      </c>
      <c r="U198" s="2" t="inlineStr">
        <is>
          <t>None</t>
        </is>
      </c>
      <c r="V198" s="2" t="inlineStr">
        <is>
          <t>N/A</t>
        </is>
      </c>
      <c r="W198" s="2" t="inlineStr"/>
    </row>
    <row r="199">
      <c r="A199" s="2" t="inlineStr">
        <is>
          <t>DEL</t>
        </is>
      </c>
      <c r="B199" s="2" t="inlineStr">
        <is>
          <t>DEL-02</t>
        </is>
      </c>
      <c r="C199" s="2" t="inlineStr">
        <is>
          <t>DEL-02.2.1</t>
        </is>
      </c>
      <c r="D199" s="8" t="inlineStr">
        <is>
          <t>Medium</t>
        </is>
      </c>
      <c r="E199" s="2" t="inlineStr">
        <is>
          <t>Assess mobilisation readiness and pre-contract preparation — what can be started before contract signature to accelerate mobilisation</t>
        </is>
      </c>
      <c r="F199" s="2" t="inlineStr">
        <is>
          <t>AI provides analysis and assessment. Human validates with judgement.</t>
        </is>
      </c>
      <c r="G199" s="2" t="inlineStr">
        <is>
          <t>Upstream DEL-02 outputs</t>
        </is>
      </c>
      <c r="H199" s="2" t="inlineStr">
        <is>
          <t>Decision velocity: AI draft available immediately for human refinement</t>
        </is>
      </c>
      <c r="I199" s="2" t="inlineStr">
        <is>
          <t>Delivery Director</t>
        </is>
      </c>
      <c r="J199" s="2" t="n">
        <v>5</v>
      </c>
      <c r="K199" s="2" t="n">
        <v>1</v>
      </c>
      <c r="L199" s="4">
        <f>J199/COUNTIF($B:$B,B199)</f>
        <v/>
      </c>
      <c r="M199" s="5" t="n">
        <v>0.35</v>
      </c>
      <c r="N199" s="10" t="n">
        <v>0.2</v>
      </c>
      <c r="O199" s="6">
        <f>1-(1-M199)*(1-N199)</f>
        <v/>
      </c>
      <c r="P199" s="7">
        <f>L199*O199</f>
        <v/>
      </c>
      <c r="Q199" s="2" t="inlineStr">
        <is>
          <t>Medium</t>
        </is>
      </c>
      <c r="R199" s="2" t="inlineStr">
        <is>
          <t>Moderate</t>
        </is>
      </c>
      <c r="S199" s="2" t="inlineStr">
        <is>
          <t>Moderate</t>
        </is>
      </c>
      <c r="T199" s="2" t="inlineStr">
        <is>
          <t>Domain judgement required for validation</t>
        </is>
      </c>
      <c r="U199" s="2" t="inlineStr">
        <is>
          <t>None</t>
        </is>
      </c>
      <c r="V199" s="2" t="inlineStr">
        <is>
          <t>N/A</t>
        </is>
      </c>
      <c r="W199" s="2" t="inlineStr"/>
    </row>
    <row r="200">
      <c r="A200" s="2" t="inlineStr">
        <is>
          <t>DEL</t>
        </is>
      </c>
      <c r="B200" s="2" t="inlineStr">
        <is>
          <t>DEL-02</t>
        </is>
      </c>
      <c r="C200" s="2" t="inlineStr">
        <is>
          <t>DEL-02.2.2</t>
        </is>
      </c>
      <c r="D200" s="9" t="inlineStr">
        <is>
          <t>Low</t>
        </is>
      </c>
      <c r="E200" s="2" t="inlineStr">
        <is>
          <t>Validate mobilisation plan — achievable, resourced, feeds the proposal response</t>
        </is>
      </c>
      <c r="F200" s="2" t="inlineStr">
        <is>
          <t>AI prepares pack/summary. Decision is human governance.</t>
        </is>
      </c>
      <c r="G200" s="2" t="inlineStr">
        <is>
          <t>Upstream DEL-02 outputs</t>
        </is>
      </c>
      <c r="H200" s="2" t="inlineStr">
        <is>
          <t>Minimal: Preparation support only</t>
        </is>
      </c>
      <c r="I200" s="2" t="inlineStr">
        <is>
          <t>Delivery Director</t>
        </is>
      </c>
      <c r="J200" s="2" t="n">
        <v>5</v>
      </c>
      <c r="K200" s="2" t="n">
        <v>1</v>
      </c>
      <c r="L200" s="4">
        <f>J200/COUNTIF($B:$B,B200)</f>
        <v/>
      </c>
      <c r="M200" s="5" t="n">
        <v>0.1</v>
      </c>
      <c r="N200" s="10" t="n">
        <v>0.2</v>
      </c>
      <c r="O200" s="6">
        <f>1-(1-M200)*(1-N200)</f>
        <v/>
      </c>
      <c r="P200" s="7">
        <f>L200*O200</f>
        <v/>
      </c>
      <c r="Q200" s="2" t="inlineStr">
        <is>
          <t>Low</t>
        </is>
      </c>
      <c r="R200" s="2" t="inlineStr">
        <is>
          <t>Low</t>
        </is>
      </c>
      <c r="S200" s="2" t="inlineStr">
        <is>
          <t>Low</t>
        </is>
      </c>
      <c r="T200" s="2" t="inlineStr">
        <is>
          <t>Team validation requires human judgement</t>
        </is>
      </c>
      <c r="U200" s="2" t="inlineStr">
        <is>
          <t>None</t>
        </is>
      </c>
      <c r="V200" s="2" t="inlineStr">
        <is>
          <t>N/A</t>
        </is>
      </c>
      <c r="W200" s="2" t="inlineStr"/>
    </row>
    <row r="201">
      <c r="A201" s="2" t="inlineStr">
        <is>
          <t>DEL</t>
        </is>
      </c>
      <c r="B201" s="2" t="inlineStr">
        <is>
          <t>DEL-03</t>
        </is>
      </c>
      <c r="C201" s="2" t="inlineStr">
        <is>
          <t>DEL-03.1.1</t>
        </is>
      </c>
      <c r="D201" s="3" t="inlineStr">
        <is>
          <t>High</t>
        </is>
      </c>
      <c r="E201" s="2" t="inlineStr">
        <is>
          <t>Design the KPI/SLA operational framework — how each commitment will be measured, monitored, managed, and improved in live service</t>
        </is>
      </c>
      <c r="F201" s="2" t="inlineStr">
        <is>
          <t>AI executes task autonomously from structured inputs. Human reviews.</t>
        </is>
      </c>
      <c r="G201" s="2" t="inlineStr">
        <is>
          <t>Upstream DEL-03 outputs</t>
        </is>
      </c>
      <c r="H201" s="2" t="inlineStr">
        <is>
          <t>Time reduction: Task largely automated from structured data</t>
        </is>
      </c>
      <c r="I201" s="2" t="inlineStr">
        <is>
          <t>Delivery Director</t>
        </is>
      </c>
      <c r="J201" s="2" t="n">
        <v>5</v>
      </c>
      <c r="K201" s="2" t="n">
        <v>1</v>
      </c>
      <c r="L201" s="4">
        <f>J201/COUNTIF($B:$B,B201)</f>
        <v/>
      </c>
      <c r="M201" s="5" t="n">
        <v>0.6</v>
      </c>
      <c r="N201" s="10" t="n">
        <v>0.2</v>
      </c>
      <c r="O201" s="6">
        <f>1-(1-M201)*(1-N201)</f>
        <v/>
      </c>
      <c r="P201" s="7">
        <f>L201*O201</f>
        <v/>
      </c>
      <c r="Q201" s="2" t="inlineStr">
        <is>
          <t>Medium</t>
        </is>
      </c>
      <c r="R201" s="2" t="inlineStr">
        <is>
          <t>Moderate</t>
        </is>
      </c>
      <c r="S201" s="2" t="inlineStr">
        <is>
          <t>Yes</t>
        </is>
      </c>
      <c r="T201" s="2" t="inlineStr">
        <is>
          <t>Structured data must be available</t>
        </is>
      </c>
      <c r="U201" s="2" t="inlineStr">
        <is>
          <t>None</t>
        </is>
      </c>
      <c r="V201" s="2" t="inlineStr">
        <is>
          <t>N/A</t>
        </is>
      </c>
      <c r="W201" s="2" t="inlineStr"/>
    </row>
    <row r="202">
      <c r="A202" s="2" t="inlineStr">
        <is>
          <t>DEL</t>
        </is>
      </c>
      <c r="B202" s="2" t="inlineStr">
        <is>
          <t>DEL-03</t>
        </is>
      </c>
      <c r="C202" s="2" t="inlineStr">
        <is>
          <t>DEL-03.1.2</t>
        </is>
      </c>
      <c r="D202" s="8" t="inlineStr">
        <is>
          <t>Medium</t>
        </is>
      </c>
      <c r="E202" s="2" t="inlineStr">
        <is>
          <t>Design the performance reporting model — dashboards, reports, client governance forums, escalation triggers</t>
        </is>
      </c>
      <c r="F202" s="2" t="inlineStr">
        <is>
          <t>AI proposes options based on requirements. Human makes design decisions.</t>
        </is>
      </c>
      <c r="G202" s="2" t="inlineStr">
        <is>
          <t>Upstream DEL-03 outputs</t>
        </is>
      </c>
      <c r="H202" s="2" t="inlineStr">
        <is>
          <t>Decision velocity: AI draft available immediately for human refinement</t>
        </is>
      </c>
      <c r="I202" s="2" t="inlineStr">
        <is>
          <t>Delivery Director</t>
        </is>
      </c>
      <c r="J202" s="2" t="n">
        <v>5</v>
      </c>
      <c r="K202" s="2" t="n">
        <v>1</v>
      </c>
      <c r="L202" s="4">
        <f>J202/COUNTIF($B:$B,B202)</f>
        <v/>
      </c>
      <c r="M202" s="5" t="n">
        <v>0.35</v>
      </c>
      <c r="N202" s="10" t="n">
        <v>0.2</v>
      </c>
      <c r="O202" s="6">
        <f>1-(1-M202)*(1-N202)</f>
        <v/>
      </c>
      <c r="P202" s="7">
        <f>L202*O202</f>
        <v/>
      </c>
      <c r="Q202" s="2" t="inlineStr">
        <is>
          <t>Medium</t>
        </is>
      </c>
      <c r="R202" s="2" t="inlineStr">
        <is>
          <t>Moderate</t>
        </is>
      </c>
      <c r="S202" s="2" t="inlineStr">
        <is>
          <t>Moderate</t>
        </is>
      </c>
      <c r="T202" s="2" t="inlineStr">
        <is>
          <t>Domain judgement required for validation</t>
        </is>
      </c>
      <c r="U202" s="2" t="inlineStr">
        <is>
          <t>None</t>
        </is>
      </c>
      <c r="V202" s="2" t="inlineStr">
        <is>
          <t>N/A</t>
        </is>
      </c>
      <c r="W202" s="2" t="inlineStr"/>
    </row>
    <row r="203">
      <c r="A203" s="2" t="inlineStr">
        <is>
          <t>DEL</t>
        </is>
      </c>
      <c r="B203" s="2" t="inlineStr">
        <is>
          <t>DEL-03</t>
        </is>
      </c>
      <c r="C203" s="2" t="inlineStr">
        <is>
          <t>DEL-03.1.3</t>
        </is>
      </c>
      <c r="D203" s="9" t="inlineStr">
        <is>
          <t>Low</t>
        </is>
      </c>
      <c r="E203" s="2" t="inlineStr">
        <is>
          <t>Assess our ability to meet the performance framework — confidence assessment per KPI/SLA, identifies risks for DEL-01</t>
        </is>
      </c>
      <c r="F203" s="2" t="inlineStr">
        <is>
          <t>AI provides minimal preparation support. Task is fundamentally human.</t>
        </is>
      </c>
      <c r="G203" s="2" t="inlineStr">
        <is>
          <t>Upstream DEL-03 outputs</t>
        </is>
      </c>
      <c r="H203" s="2" t="inlineStr">
        <is>
          <t>Minimal: Preparation support only</t>
        </is>
      </c>
      <c r="I203" s="2" t="inlineStr">
        <is>
          <t>Delivery Director</t>
        </is>
      </c>
      <c r="J203" s="2" t="n">
        <v>5</v>
      </c>
      <c r="K203" s="2" t="n">
        <v>1</v>
      </c>
      <c r="L203" s="4">
        <f>J203/COUNTIF($B:$B,B203)</f>
        <v/>
      </c>
      <c r="M203" s="5" t="n">
        <v>0.1</v>
      </c>
      <c r="N203" s="10" t="n">
        <v>0.2</v>
      </c>
      <c r="O203" s="6">
        <f>1-(1-M203)*(1-N203)</f>
        <v/>
      </c>
      <c r="P203" s="7">
        <f>L203*O203</f>
        <v/>
      </c>
      <c r="Q203" s="2" t="inlineStr">
        <is>
          <t>Low</t>
        </is>
      </c>
      <c r="R203" s="2" t="inlineStr">
        <is>
          <t>Low</t>
        </is>
      </c>
      <c r="S203" s="2" t="inlineStr">
        <is>
          <t>Low</t>
        </is>
      </c>
      <c r="T203" s="2" t="inlineStr">
        <is>
          <t>Human relationship/judgement required</t>
        </is>
      </c>
      <c r="U203" s="2" t="inlineStr">
        <is>
          <t>None</t>
        </is>
      </c>
      <c r="V203" s="2" t="inlineStr">
        <is>
          <t>N/A</t>
        </is>
      </c>
      <c r="W203" s="2" t="inlineStr"/>
    </row>
    <row r="204">
      <c r="A204" s="2" t="inlineStr">
        <is>
          <t>DEL</t>
        </is>
      </c>
      <c r="B204" s="2" t="inlineStr">
        <is>
          <t>DEL-04</t>
        </is>
      </c>
      <c r="C204" s="2" t="inlineStr">
        <is>
          <t>DEL-04.1.1</t>
        </is>
      </c>
      <c r="D204" s="8" t="inlineStr">
        <is>
          <t>Medium</t>
        </is>
      </c>
      <c r="E204" s="2" t="inlineStr">
        <is>
          <t>Develop the delivery resource plan — operational workforce plan building on SOL-06, including mobilisation resourcing, bid-to-delivery handover, and steady-state workforce management</t>
        </is>
      </c>
      <c r="F204" s="2" t="inlineStr">
        <is>
          <t>AI produces first draft. Human refines with domain judgement.</t>
        </is>
      </c>
      <c r="G204" s="2" t="inlineStr">
        <is>
          <t>Upstream DEL-04 outputs</t>
        </is>
      </c>
      <c r="H204" s="2" t="inlineStr">
        <is>
          <t>Decision velocity: AI draft available immediately for human refinement</t>
        </is>
      </c>
      <c r="I204" s="2" t="inlineStr">
        <is>
          <t>Delivery Director</t>
        </is>
      </c>
      <c r="J204" s="2" t="n">
        <v>3</v>
      </c>
      <c r="K204" s="2" t="n">
        <v>1</v>
      </c>
      <c r="L204" s="4">
        <f>J204/COUNTIF($B:$B,B204)</f>
        <v/>
      </c>
      <c r="M204" s="5" t="n">
        <v>0.35</v>
      </c>
      <c r="N204" s="10" t="n">
        <v>0.2</v>
      </c>
      <c r="O204" s="6">
        <f>1-(1-M204)*(1-N204)</f>
        <v/>
      </c>
      <c r="P204" s="7">
        <f>L204*O204</f>
        <v/>
      </c>
      <c r="Q204" s="2" t="inlineStr">
        <is>
          <t>Medium</t>
        </is>
      </c>
      <c r="R204" s="2" t="inlineStr">
        <is>
          <t>Moderate</t>
        </is>
      </c>
      <c r="S204" s="2" t="inlineStr">
        <is>
          <t>Moderate</t>
        </is>
      </c>
      <c r="T204" s="2" t="inlineStr">
        <is>
          <t>Domain judgement required for validation</t>
        </is>
      </c>
      <c r="U204" s="2" t="inlineStr">
        <is>
          <t>None</t>
        </is>
      </c>
      <c r="V204" s="2" t="inlineStr">
        <is>
          <t>N/A</t>
        </is>
      </c>
      <c r="W204" s="2" t="inlineStr"/>
    </row>
    <row r="205">
      <c r="A205" s="2" t="inlineStr">
        <is>
          <t>DEL</t>
        </is>
      </c>
      <c r="B205" s="2" t="inlineStr">
        <is>
          <t>DEL-04</t>
        </is>
      </c>
      <c r="C205" s="2" t="inlineStr">
        <is>
          <t>DEL-04.1.2</t>
        </is>
      </c>
      <c r="D205" s="8" t="inlineStr">
        <is>
          <t>Medium</t>
        </is>
      </c>
      <c r="E205" s="2" t="inlineStr">
        <is>
          <t>Plan resource mobilisation and onboarding — recruitment timeline, clearance processing, training, onboarding programme</t>
        </is>
      </c>
      <c r="F205" s="2" t="inlineStr">
        <is>
          <t>AI drafts plan from upstream outputs. Human validates and refines.</t>
        </is>
      </c>
      <c r="G205" s="2" t="inlineStr">
        <is>
          <t>Upstream DEL-04 outputs</t>
        </is>
      </c>
      <c r="H205" s="2" t="inlineStr">
        <is>
          <t>Decision velocity: AI draft available immediately for human refinement</t>
        </is>
      </c>
      <c r="I205" s="2" t="inlineStr">
        <is>
          <t>Delivery Director</t>
        </is>
      </c>
      <c r="J205" s="2" t="n">
        <v>3</v>
      </c>
      <c r="K205" s="2" t="n">
        <v>1</v>
      </c>
      <c r="L205" s="4">
        <f>J205/COUNTIF($B:$B,B205)</f>
        <v/>
      </c>
      <c r="M205" s="5" t="n">
        <v>0.35</v>
      </c>
      <c r="N205" s="10" t="n">
        <v>0.2</v>
      </c>
      <c r="O205" s="6">
        <f>1-(1-M205)*(1-N205)</f>
        <v/>
      </c>
      <c r="P205" s="7">
        <f>L205*O205</f>
        <v/>
      </c>
      <c r="Q205" s="2" t="inlineStr">
        <is>
          <t>Medium</t>
        </is>
      </c>
      <c r="R205" s="2" t="inlineStr">
        <is>
          <t>Moderate</t>
        </is>
      </c>
      <c r="S205" s="2" t="inlineStr">
        <is>
          <t>Moderate</t>
        </is>
      </c>
      <c r="T205" s="2" t="inlineStr">
        <is>
          <t>Domain judgement required for validation</t>
        </is>
      </c>
      <c r="U205" s="2" t="inlineStr">
        <is>
          <t>None</t>
        </is>
      </c>
      <c r="V205" s="2" t="inlineStr">
        <is>
          <t>N/A</t>
        </is>
      </c>
      <c r="W205" s="2" t="inlineStr"/>
    </row>
    <row r="206">
      <c r="A206" s="2" t="inlineStr">
        <is>
          <t>DEL</t>
        </is>
      </c>
      <c r="B206" s="2" t="inlineStr">
        <is>
          <t>DEL-04</t>
        </is>
      </c>
      <c r="C206" s="2" t="inlineStr">
        <is>
          <t>DEL-04.1.3</t>
        </is>
      </c>
      <c r="D206" s="9" t="inlineStr">
        <is>
          <t>Low</t>
        </is>
      </c>
      <c r="E206" s="2" t="inlineStr">
        <is>
          <t>Validate resource plan — achievable, costable, risks identified, Delivery Director accepts accountability</t>
        </is>
      </c>
      <c r="F206" s="2" t="inlineStr">
        <is>
          <t>AI prepares materials. Delivery is human.</t>
        </is>
      </c>
      <c r="G206" s="2" t="inlineStr">
        <is>
          <t>Upstream DEL-04 outputs</t>
        </is>
      </c>
      <c r="H206" s="2" t="inlineStr">
        <is>
          <t>Minimal: Preparation support only</t>
        </is>
      </c>
      <c r="I206" s="2" t="inlineStr">
        <is>
          <t>Delivery Director</t>
        </is>
      </c>
      <c r="J206" s="2" t="n">
        <v>3</v>
      </c>
      <c r="K206" s="2" t="n">
        <v>1</v>
      </c>
      <c r="L206" s="4">
        <f>J206/COUNTIF($B:$B,B206)</f>
        <v/>
      </c>
      <c r="M206" s="5" t="n">
        <v>0.1</v>
      </c>
      <c r="N206" s="10" t="n">
        <v>0.2</v>
      </c>
      <c r="O206" s="6">
        <f>1-(1-M206)*(1-N206)</f>
        <v/>
      </c>
      <c r="P206" s="7">
        <f>L206*O206</f>
        <v/>
      </c>
      <c r="Q206" s="2" t="inlineStr">
        <is>
          <t>Low</t>
        </is>
      </c>
      <c r="R206" s="2" t="inlineStr">
        <is>
          <t>Low</t>
        </is>
      </c>
      <c r="S206" s="2" t="inlineStr">
        <is>
          <t>Low</t>
        </is>
      </c>
      <c r="T206" s="2" t="inlineStr">
        <is>
          <t>Client-facing interaction is human</t>
        </is>
      </c>
      <c r="U206" s="2" t="inlineStr">
        <is>
          <t>None</t>
        </is>
      </c>
      <c r="V206" s="2" t="inlineStr">
        <is>
          <t>N/A</t>
        </is>
      </c>
      <c r="W206" s="2" t="inlineStr"/>
    </row>
    <row r="207">
      <c r="A207" s="2" t="inlineStr">
        <is>
          <t>DEL</t>
        </is>
      </c>
      <c r="B207" s="2" t="inlineStr">
        <is>
          <t>DEL-05</t>
        </is>
      </c>
      <c r="C207" s="2" t="inlineStr">
        <is>
          <t>DEL-05.1.1</t>
        </is>
      </c>
      <c r="D207" s="3" t="inlineStr">
        <is>
          <t>High</t>
        </is>
      </c>
      <c r="E207" s="2" t="inlineStr">
        <is>
          <t>Design business continuity and disaster recovery approach — how the service continues during major disruption, site loss, technology failure, or pandemic</t>
        </is>
      </c>
      <c r="F207" s="2" t="inlineStr">
        <is>
          <t>AI executes task autonomously from structured inputs. Human reviews.</t>
        </is>
      </c>
      <c r="G207" s="2" t="inlineStr">
        <is>
          <t>Upstream DEL-05 outputs</t>
        </is>
      </c>
      <c r="H207" s="2" t="inlineStr">
        <is>
          <t>Time reduction: Task largely automated from structured data</t>
        </is>
      </c>
      <c r="I207" s="2" t="inlineStr">
        <is>
          <t>Delivery Director</t>
        </is>
      </c>
      <c r="J207" s="2" t="n">
        <v>3</v>
      </c>
      <c r="K207" s="2" t="n">
        <v>1</v>
      </c>
      <c r="L207" s="4">
        <f>J207/COUNTIF($B:$B,B207)</f>
        <v/>
      </c>
      <c r="M207" s="5" t="n">
        <v>0.6</v>
      </c>
      <c r="N207" s="5" t="n">
        <v>0.05</v>
      </c>
      <c r="O207" s="6">
        <f>1-(1-M207)*(1-N207)</f>
        <v/>
      </c>
      <c r="P207" s="7">
        <f>L207*O207</f>
        <v/>
      </c>
      <c r="Q207" s="2" t="inlineStr">
        <is>
          <t>Medium</t>
        </is>
      </c>
      <c r="R207" s="2" t="inlineStr">
        <is>
          <t>Moderate</t>
        </is>
      </c>
      <c r="S207" s="2" t="inlineStr">
        <is>
          <t>Yes</t>
        </is>
      </c>
      <c r="T207" s="2" t="inlineStr">
        <is>
          <t>Structured data must be available</t>
        </is>
      </c>
      <c r="U207" s="2" t="inlineStr">
        <is>
          <t>None</t>
        </is>
      </c>
      <c r="V207" s="2" t="inlineStr">
        <is>
          <t>N/A</t>
        </is>
      </c>
      <c r="W207" s="2" t="inlineStr"/>
    </row>
    <row r="208">
      <c r="A208" s="2" t="inlineStr">
        <is>
          <t>DEL</t>
        </is>
      </c>
      <c r="B208" s="2" t="inlineStr">
        <is>
          <t>DEL-05</t>
        </is>
      </c>
      <c r="C208" s="2" t="inlineStr">
        <is>
          <t>DEL-05.2.1</t>
        </is>
      </c>
      <c r="D208" s="8" t="inlineStr">
        <is>
          <t>Medium</t>
        </is>
      </c>
      <c r="E208" s="2" t="inlineStr">
        <is>
          <t>Design exit and handback plan — reverse TUPE, data return, knowledge transfer, asset handback, service continuity during exit period</t>
        </is>
      </c>
      <c r="F208" s="2" t="inlineStr">
        <is>
          <t>AI proposes options based on requirements. Human makes design decisions.</t>
        </is>
      </c>
      <c r="G208" s="2" t="inlineStr">
        <is>
          <t>Upstream DEL-05 outputs</t>
        </is>
      </c>
      <c r="H208" s="2" t="inlineStr">
        <is>
          <t>Decision velocity: AI draft available immediately for human refinement</t>
        </is>
      </c>
      <c r="I208" s="2" t="inlineStr">
        <is>
          <t>Delivery Director</t>
        </is>
      </c>
      <c r="J208" s="2" t="n">
        <v>3</v>
      </c>
      <c r="K208" s="2" t="n">
        <v>1</v>
      </c>
      <c r="L208" s="4">
        <f>J208/COUNTIF($B:$B,B208)</f>
        <v/>
      </c>
      <c r="M208" s="5" t="n">
        <v>0.35</v>
      </c>
      <c r="N208" s="5" t="n">
        <v>0.05</v>
      </c>
      <c r="O208" s="6">
        <f>1-(1-M208)*(1-N208)</f>
        <v/>
      </c>
      <c r="P208" s="7">
        <f>L208*O208</f>
        <v/>
      </c>
      <c r="Q208" s="2" t="inlineStr">
        <is>
          <t>Medium</t>
        </is>
      </c>
      <c r="R208" s="2" t="inlineStr">
        <is>
          <t>Moderate</t>
        </is>
      </c>
      <c r="S208" s="2" t="inlineStr">
        <is>
          <t>Moderate</t>
        </is>
      </c>
      <c r="T208" s="2" t="inlineStr">
        <is>
          <t>Domain judgement required for validation</t>
        </is>
      </c>
      <c r="U208" s="2" t="inlineStr">
        <is>
          <t>None</t>
        </is>
      </c>
      <c r="V208" s="2" t="inlineStr">
        <is>
          <t>N/A</t>
        </is>
      </c>
      <c r="W208" s="2" t="inlineStr"/>
    </row>
    <row r="209">
      <c r="A209" s="2" t="inlineStr">
        <is>
          <t>DEL</t>
        </is>
      </c>
      <c r="B209" s="2" t="inlineStr">
        <is>
          <t>DEL-06</t>
        </is>
      </c>
      <c r="C209" s="2" t="inlineStr">
        <is>
          <t>DEL-06.1.1</t>
        </is>
      </c>
      <c r="D209" s="3" t="inlineStr">
        <is>
          <t>High</t>
        </is>
      </c>
      <c r="E209" s="2" t="inlineStr">
        <is>
          <t>Consolidate all risk registers from delivery perspective — solution, commercial, delivery, legal — into one assured view</t>
        </is>
      </c>
      <c r="F209" s="2" t="inlineStr">
        <is>
          <t>AI consolidates upstream outputs into structured document automatically</t>
        </is>
      </c>
      <c r="G209" s="2" t="inlineStr">
        <is>
          <t>Upstream DEL-06 outputs</t>
        </is>
      </c>
      <c r="H209" s="2" t="inlineStr">
        <is>
          <t>Time reduction: Task largely automated from structured data</t>
        </is>
      </c>
      <c r="I209" s="2" t="inlineStr">
        <is>
          <t>Delivery Director</t>
        </is>
      </c>
      <c r="J209" s="2" t="n">
        <v>5</v>
      </c>
      <c r="K209" s="2" t="n">
        <v>1</v>
      </c>
      <c r="L209" s="4">
        <f>J209/COUNTIF($B:$B,B209)</f>
        <v/>
      </c>
      <c r="M209" s="5" t="n">
        <v>0.6</v>
      </c>
      <c r="N209" s="5" t="n">
        <v>0.05</v>
      </c>
      <c r="O209" s="6">
        <f>1-(1-M209)*(1-N209)</f>
        <v/>
      </c>
      <c r="P209" s="7">
        <f>L209*O209</f>
        <v/>
      </c>
      <c r="Q209" s="2" t="inlineStr">
        <is>
          <t>Medium</t>
        </is>
      </c>
      <c r="R209" s="2" t="inlineStr">
        <is>
          <t>Moderate</t>
        </is>
      </c>
      <c r="S209" s="2" t="inlineStr">
        <is>
          <t>Yes</t>
        </is>
      </c>
      <c r="T209" s="2" t="inlineStr">
        <is>
          <t>Structured data must be available</t>
        </is>
      </c>
      <c r="U209" s="2" t="inlineStr">
        <is>
          <t>None</t>
        </is>
      </c>
      <c r="V209" s="2" t="inlineStr">
        <is>
          <t>Phase 5</t>
        </is>
      </c>
      <c r="W209" s="2" t="inlineStr"/>
    </row>
    <row r="210">
      <c r="A210" s="2" t="inlineStr">
        <is>
          <t>DEL</t>
        </is>
      </c>
      <c r="B210" s="2" t="inlineStr">
        <is>
          <t>DEL-06</t>
        </is>
      </c>
      <c r="C210" s="2" t="inlineStr">
        <is>
          <t>DEL-06.1.2</t>
        </is>
      </c>
      <c r="D210" s="8" t="inlineStr">
        <is>
          <t>Medium</t>
        </is>
      </c>
      <c r="E210" s="2" t="inlineStr">
        <is>
          <t>Confirm mitigation status and residual risk position — all mitigations assigned and in progress, residual risk accepted by Delivery Director</t>
        </is>
      </c>
      <c r="F210" s="2" t="inlineStr">
        <is>
          <t>AI accelerates with draft/analysis. Human applies domain judgement.</t>
        </is>
      </c>
      <c r="G210" s="2" t="inlineStr">
        <is>
          <t>Upstream DEL-06 outputs</t>
        </is>
      </c>
      <c r="H210" s="2" t="inlineStr">
        <is>
          <t>Decision velocity: AI draft available immediately for human refinement</t>
        </is>
      </c>
      <c r="I210" s="2" t="inlineStr">
        <is>
          <t>Delivery Director</t>
        </is>
      </c>
      <c r="J210" s="2" t="n">
        <v>5</v>
      </c>
      <c r="K210" s="2" t="n">
        <v>1</v>
      </c>
      <c r="L210" s="4">
        <f>J210/COUNTIF($B:$B,B210)</f>
        <v/>
      </c>
      <c r="M210" s="5" t="n">
        <v>0.35</v>
      </c>
      <c r="N210" s="5" t="n">
        <v>0.05</v>
      </c>
      <c r="O210" s="6">
        <f>1-(1-M210)*(1-N210)</f>
        <v/>
      </c>
      <c r="P210" s="7">
        <f>L210*O210</f>
        <v/>
      </c>
      <c r="Q210" s="2" t="inlineStr">
        <is>
          <t>Medium</t>
        </is>
      </c>
      <c r="R210" s="2" t="inlineStr">
        <is>
          <t>Moderate</t>
        </is>
      </c>
      <c r="S210" s="2" t="inlineStr">
        <is>
          <t>Moderate</t>
        </is>
      </c>
      <c r="T210" s="2" t="inlineStr">
        <is>
          <t>Domain judgement required for validation</t>
        </is>
      </c>
      <c r="U210" s="2" t="inlineStr">
        <is>
          <t>None</t>
        </is>
      </c>
      <c r="V210" s="2" t="inlineStr">
        <is>
          <t>Phase 5</t>
        </is>
      </c>
      <c r="W210" s="2" t="inlineStr"/>
    </row>
    <row r="211">
      <c r="A211" s="2" t="inlineStr">
        <is>
          <t>DEL</t>
        </is>
      </c>
      <c r="B211" s="2" t="inlineStr">
        <is>
          <t>DEL-06</t>
        </is>
      </c>
      <c r="C211" s="2" t="inlineStr">
        <is>
          <t>DEL-06.1.3</t>
        </is>
      </c>
      <c r="D211" s="9" t="inlineStr">
        <is>
          <t>Low</t>
        </is>
      </c>
      <c r="E211" s="2" t="inlineStr">
        <is>
          <t>Prepare risk position for final governance — the authoritative delivery risk view for GOV-03 (Pricing &amp; Risk Review)</t>
        </is>
      </c>
      <c r="F211" s="2" t="inlineStr">
        <is>
          <t>AI prepares materials. Delivery is human.</t>
        </is>
      </c>
      <c r="G211" s="2" t="inlineStr">
        <is>
          <t>Upstream DEL-06 outputs</t>
        </is>
      </c>
      <c r="H211" s="2" t="inlineStr">
        <is>
          <t>Minimal: Preparation support only</t>
        </is>
      </c>
      <c r="I211" s="2" t="inlineStr">
        <is>
          <t>Delivery Director</t>
        </is>
      </c>
      <c r="J211" s="2" t="n">
        <v>5</v>
      </c>
      <c r="K211" s="2" t="n">
        <v>1</v>
      </c>
      <c r="L211" s="4">
        <f>J211/COUNTIF($B:$B,B211)</f>
        <v/>
      </c>
      <c r="M211" s="5" t="n">
        <v>0.1</v>
      </c>
      <c r="N211" s="5" t="n">
        <v>0.05</v>
      </c>
      <c r="O211" s="6">
        <f>1-(1-M211)*(1-N211)</f>
        <v/>
      </c>
      <c r="P211" s="7">
        <f>L211*O211</f>
        <v/>
      </c>
      <c r="Q211" s="2" t="inlineStr">
        <is>
          <t>Low</t>
        </is>
      </c>
      <c r="R211" s="2" t="inlineStr">
        <is>
          <t>Low</t>
        </is>
      </c>
      <c r="S211" s="2" t="inlineStr">
        <is>
          <t>Low</t>
        </is>
      </c>
      <c r="T211" s="2" t="inlineStr">
        <is>
          <t>Client-facing interaction is human</t>
        </is>
      </c>
      <c r="U211" s="2" t="inlineStr">
        <is>
          <t>None</t>
        </is>
      </c>
      <c r="V211" s="2" t="inlineStr">
        <is>
          <t>Phase 5</t>
        </is>
      </c>
      <c r="W211" s="2" t="inlineStr"/>
    </row>
    <row r="212">
      <c r="A212" s="2" t="inlineStr">
        <is>
          <t>SUP</t>
        </is>
      </c>
      <c r="B212" s="2" t="inlineStr">
        <is>
          <t>SUP-01</t>
        </is>
      </c>
      <c r="C212" s="2" t="inlineStr">
        <is>
          <t>SUP-01.1.1</t>
        </is>
      </c>
      <c r="D212" s="3" t="inlineStr">
        <is>
          <t>High</t>
        </is>
      </c>
      <c r="E212" s="2" t="inlineStr">
        <is>
          <t>Source candidate partners against SAL-06 capability requirements — develop a long-list of firms that match each partner requirement</t>
        </is>
      </c>
      <c r="F212" s="2" t="inlineStr">
        <is>
          <t>AI executes task autonomously from structured inputs. Human reviews.</t>
        </is>
      </c>
      <c r="G212" s="2" t="inlineStr">
        <is>
          <t>Upstream SUP-01 outputs</t>
        </is>
      </c>
      <c r="H212" s="2" t="inlineStr">
        <is>
          <t>Time reduction: Task largely automated from structured data</t>
        </is>
      </c>
      <c r="I212" s="2" t="inlineStr">
        <is>
          <t>Supply Chain Lead</t>
        </is>
      </c>
      <c r="J212" s="2" t="n">
        <v>5</v>
      </c>
      <c r="K212" s="2" t="n">
        <v>1</v>
      </c>
      <c r="L212" s="4">
        <f>J212/COUNTIF($B:$B,B212)</f>
        <v/>
      </c>
      <c r="M212" s="5" t="n">
        <v>0.6</v>
      </c>
      <c r="N212" s="5" t="n">
        <v>0.1</v>
      </c>
      <c r="O212" s="6">
        <f>1-(1-M212)*(1-N212)</f>
        <v/>
      </c>
      <c r="P212" s="7">
        <f>L212*O212</f>
        <v/>
      </c>
      <c r="Q212" s="2" t="inlineStr">
        <is>
          <t>Medium</t>
        </is>
      </c>
      <c r="R212" s="2" t="inlineStr">
        <is>
          <t>Moderate</t>
        </is>
      </c>
      <c r="S212" s="2" t="inlineStr">
        <is>
          <t>Yes</t>
        </is>
      </c>
      <c r="T212" s="2" t="inlineStr">
        <is>
          <t>Structured data must be available</t>
        </is>
      </c>
      <c r="U212" s="2" t="inlineStr">
        <is>
          <t>None</t>
        </is>
      </c>
      <c r="V212" s="2" t="inlineStr">
        <is>
          <t>N/A</t>
        </is>
      </c>
      <c r="W212" s="2" t="inlineStr"/>
    </row>
    <row r="213">
      <c r="A213" s="2" t="inlineStr">
        <is>
          <t>SUP</t>
        </is>
      </c>
      <c r="B213" s="2" t="inlineStr">
        <is>
          <t>SUP-01</t>
        </is>
      </c>
      <c r="C213" s="2" t="inlineStr">
        <is>
          <t>SUP-01.1.2</t>
        </is>
      </c>
      <c r="D213" s="8" t="inlineStr">
        <is>
          <t>Medium</t>
        </is>
      </c>
      <c r="E213" s="2" t="inlineStr">
        <is>
          <t>Conduct due diligence on shortlisted partners — capability, capacity, security clearance, financial standing, cultural fit, conflict of interest</t>
        </is>
      </c>
      <c r="F213" s="2" t="inlineStr">
        <is>
          <t>AI accelerates with draft/analysis. Human applies domain judgement.</t>
        </is>
      </c>
      <c r="G213" s="2" t="inlineStr">
        <is>
          <t>Upstream SUP-01 outputs</t>
        </is>
      </c>
      <c r="H213" s="2" t="inlineStr">
        <is>
          <t>Decision velocity: AI draft available immediately for human refinement</t>
        </is>
      </c>
      <c r="I213" s="2" t="inlineStr">
        <is>
          <t>Supply Chain Lead</t>
        </is>
      </c>
      <c r="J213" s="2" t="n">
        <v>5</v>
      </c>
      <c r="K213" s="2" t="n">
        <v>1</v>
      </c>
      <c r="L213" s="4">
        <f>J213/COUNTIF($B:$B,B213)</f>
        <v/>
      </c>
      <c r="M213" s="5" t="n">
        <v>0.35</v>
      </c>
      <c r="N213" s="5" t="n">
        <v>0.1</v>
      </c>
      <c r="O213" s="6">
        <f>1-(1-M213)*(1-N213)</f>
        <v/>
      </c>
      <c r="P213" s="7">
        <f>L213*O213</f>
        <v/>
      </c>
      <c r="Q213" s="2" t="inlineStr">
        <is>
          <t>Medium</t>
        </is>
      </c>
      <c r="R213" s="2" t="inlineStr">
        <is>
          <t>Moderate</t>
        </is>
      </c>
      <c r="S213" s="2" t="inlineStr">
        <is>
          <t>Moderate</t>
        </is>
      </c>
      <c r="T213" s="2" t="inlineStr">
        <is>
          <t>Domain judgement required for validation</t>
        </is>
      </c>
      <c r="U213" s="2" t="inlineStr">
        <is>
          <t>None</t>
        </is>
      </c>
      <c r="V213" s="2" t="inlineStr">
        <is>
          <t>N/A</t>
        </is>
      </c>
      <c r="W213" s="2" t="inlineStr"/>
    </row>
    <row r="214">
      <c r="A214" s="2" t="inlineStr">
        <is>
          <t>SUP</t>
        </is>
      </c>
      <c r="B214" s="2" t="inlineStr">
        <is>
          <t>SUP-01</t>
        </is>
      </c>
      <c r="C214" s="2" t="inlineStr">
        <is>
          <t>SUP-01.1.3</t>
        </is>
      </c>
      <c r="D214" s="9" t="inlineStr">
        <is>
          <t>Low</t>
        </is>
      </c>
      <c r="E214" s="2" t="inlineStr">
        <is>
          <t>Select and confirm partner shortlist — recommended partners per capability requirement with rationale</t>
        </is>
      </c>
      <c r="F214" s="2" t="inlineStr">
        <is>
          <t>AI prepares pack/summary. Decision is human governance.</t>
        </is>
      </c>
      <c r="G214" s="2" t="inlineStr">
        <is>
          <t>Upstream SUP-01 outputs</t>
        </is>
      </c>
      <c r="H214" s="2" t="inlineStr">
        <is>
          <t>Minimal: Preparation support only</t>
        </is>
      </c>
      <c r="I214" s="2" t="inlineStr">
        <is>
          <t>Supply Chain Lead</t>
        </is>
      </c>
      <c r="J214" s="2" t="n">
        <v>5</v>
      </c>
      <c r="K214" s="2" t="n">
        <v>1</v>
      </c>
      <c r="L214" s="4">
        <f>J214/COUNTIF($B:$B,B214)</f>
        <v/>
      </c>
      <c r="M214" s="5" t="n">
        <v>0.1</v>
      </c>
      <c r="N214" s="5" t="n">
        <v>0.1</v>
      </c>
      <c r="O214" s="6">
        <f>1-(1-M214)*(1-N214)</f>
        <v/>
      </c>
      <c r="P214" s="7">
        <f>L214*O214</f>
        <v/>
      </c>
      <c r="Q214" s="2" t="inlineStr">
        <is>
          <t>None</t>
        </is>
      </c>
      <c r="R214" s="2" t="inlineStr">
        <is>
          <t>Low</t>
        </is>
      </c>
      <c r="S214" s="2" t="inlineStr">
        <is>
          <t>Low</t>
        </is>
      </c>
      <c r="T214" s="2" t="inlineStr">
        <is>
          <t>Governance decision is human</t>
        </is>
      </c>
      <c r="U214" s="2" t="inlineStr">
        <is>
          <t>None</t>
        </is>
      </c>
      <c r="V214" s="2" t="inlineStr">
        <is>
          <t>N/A</t>
        </is>
      </c>
      <c r="W214" s="2" t="inlineStr"/>
    </row>
    <row r="215">
      <c r="A215" s="2" t="inlineStr">
        <is>
          <t>SUP</t>
        </is>
      </c>
      <c r="B215" s="2" t="inlineStr">
        <is>
          <t>SUP-02</t>
        </is>
      </c>
      <c r="C215" s="2" t="inlineStr">
        <is>
          <t>SUP-02.1.1</t>
        </is>
      </c>
      <c r="D215" s="8" t="inlineStr">
        <is>
          <t>Medium</t>
        </is>
      </c>
      <c r="E215" s="2" t="inlineStr">
        <is>
          <t>Brief partners on solution scope and design contribution requirements — what we need from them, in what format, by when</t>
        </is>
      </c>
      <c r="F215" s="2" t="inlineStr">
        <is>
          <t>AI proposes options based on requirements. Human makes design decisions.</t>
        </is>
      </c>
      <c r="G215" s="2" t="inlineStr">
        <is>
          <t>Upstream SUP-02 outputs</t>
        </is>
      </c>
      <c r="H215" s="2" t="inlineStr">
        <is>
          <t>Decision velocity: AI draft available immediately for human refinement</t>
        </is>
      </c>
      <c r="I215" s="2" t="inlineStr">
        <is>
          <t>Supply Chain Lead</t>
        </is>
      </c>
      <c r="J215" s="2" t="n">
        <v>10</v>
      </c>
      <c r="K215" s="2" t="n">
        <v>2</v>
      </c>
      <c r="L215" s="4">
        <f>J215/COUNTIF($B:$B,B215)</f>
        <v/>
      </c>
      <c r="M215" s="5" t="n">
        <v>0.35</v>
      </c>
      <c r="N215" s="5" t="n">
        <v>0.1</v>
      </c>
      <c r="O215" s="6">
        <f>1-(1-M215)*(1-N215)</f>
        <v/>
      </c>
      <c r="P215" s="7">
        <f>L215*O215</f>
        <v/>
      </c>
      <c r="Q215" s="2" t="inlineStr">
        <is>
          <t>Medium</t>
        </is>
      </c>
      <c r="R215" s="2" t="inlineStr">
        <is>
          <t>Moderate</t>
        </is>
      </c>
      <c r="S215" s="2" t="inlineStr">
        <is>
          <t>Moderate</t>
        </is>
      </c>
      <c r="T215" s="2" t="inlineStr">
        <is>
          <t>Domain judgement required for validation</t>
        </is>
      </c>
      <c r="U215" s="2" t="inlineStr">
        <is>
          <t>None</t>
        </is>
      </c>
      <c r="V215" s="2" t="inlineStr">
        <is>
          <t>N/A</t>
        </is>
      </c>
      <c r="W215" s="2" t="inlineStr"/>
    </row>
    <row r="216">
      <c r="A216" s="2" t="inlineStr">
        <is>
          <t>SUP</t>
        </is>
      </c>
      <c r="B216" s="2" t="inlineStr">
        <is>
          <t>SUP-02</t>
        </is>
      </c>
      <c r="C216" s="2" t="inlineStr">
        <is>
          <t>SUP-02.1.2</t>
        </is>
      </c>
      <c r="D216" s="8" t="inlineStr">
        <is>
          <t>Medium</t>
        </is>
      </c>
      <c r="E216" s="2" t="inlineStr">
        <is>
          <t>Collect and review partner solution inputs — approach, capability statements, technical contributions, key personnel CVs</t>
        </is>
      </c>
      <c r="F216" s="2" t="inlineStr">
        <is>
          <t>AI provides analysis and assessment. Human validates with judgement.</t>
        </is>
      </c>
      <c r="G216" s="2" t="inlineStr">
        <is>
          <t>Upstream SUP-02 outputs</t>
        </is>
      </c>
      <c r="H216" s="2" t="inlineStr">
        <is>
          <t>Decision velocity: AI draft available immediately for human refinement</t>
        </is>
      </c>
      <c r="I216" s="2" t="inlineStr">
        <is>
          <t>Supply Chain Lead</t>
        </is>
      </c>
      <c r="J216" s="2" t="n">
        <v>10</v>
      </c>
      <c r="K216" s="2" t="n">
        <v>2</v>
      </c>
      <c r="L216" s="4">
        <f>J216/COUNTIF($B:$B,B216)</f>
        <v/>
      </c>
      <c r="M216" s="5" t="n">
        <v>0.35</v>
      </c>
      <c r="N216" s="5" t="n">
        <v>0.1</v>
      </c>
      <c r="O216" s="6">
        <f>1-(1-M216)*(1-N216)</f>
        <v/>
      </c>
      <c r="P216" s="7">
        <f>L216*O216</f>
        <v/>
      </c>
      <c r="Q216" s="2" t="inlineStr">
        <is>
          <t>Medium</t>
        </is>
      </c>
      <c r="R216" s="2" t="inlineStr">
        <is>
          <t>Moderate</t>
        </is>
      </c>
      <c r="S216" s="2" t="inlineStr">
        <is>
          <t>Moderate</t>
        </is>
      </c>
      <c r="T216" s="2" t="inlineStr">
        <is>
          <t>Domain judgement required for validation</t>
        </is>
      </c>
      <c r="U216" s="2" t="inlineStr">
        <is>
          <t>None</t>
        </is>
      </c>
      <c r="V216" s="2" t="inlineStr">
        <is>
          <t>N/A</t>
        </is>
      </c>
      <c r="W216" s="2" t="inlineStr"/>
    </row>
    <row r="217">
      <c r="A217" s="2" t="inlineStr">
        <is>
          <t>SUP</t>
        </is>
      </c>
      <c r="B217" s="2" t="inlineStr">
        <is>
          <t>SUP-02</t>
        </is>
      </c>
      <c r="C217" s="2" t="inlineStr">
        <is>
          <t>SUP-02.1.3</t>
        </is>
      </c>
      <c r="D217" s="9" t="inlineStr">
        <is>
          <t>Low</t>
        </is>
      </c>
      <c r="E217" s="2" t="inlineStr">
        <is>
          <t>Integrate partner inputs into the solution design — confirm alignment with overall TOM and service delivery model</t>
        </is>
      </c>
      <c r="F217" s="2" t="inlineStr">
        <is>
          <t>AI prepares materials. Delivery is human.</t>
        </is>
      </c>
      <c r="G217" s="2" t="inlineStr">
        <is>
          <t>Upstream SUP-02 outputs</t>
        </is>
      </c>
      <c r="H217" s="2" t="inlineStr">
        <is>
          <t>Minimal: Preparation support only</t>
        </is>
      </c>
      <c r="I217" s="2" t="inlineStr">
        <is>
          <t>Supply Chain Lead</t>
        </is>
      </c>
      <c r="J217" s="2" t="n">
        <v>10</v>
      </c>
      <c r="K217" s="2" t="n">
        <v>2</v>
      </c>
      <c r="L217" s="4">
        <f>J217/COUNTIF($B:$B,B217)</f>
        <v/>
      </c>
      <c r="M217" s="5" t="n">
        <v>0.1</v>
      </c>
      <c r="N217" s="5" t="n">
        <v>0.1</v>
      </c>
      <c r="O217" s="6">
        <f>1-(1-M217)*(1-N217)</f>
        <v/>
      </c>
      <c r="P217" s="7">
        <f>L217*O217</f>
        <v/>
      </c>
      <c r="Q217" s="2" t="inlineStr">
        <is>
          <t>None</t>
        </is>
      </c>
      <c r="R217" s="2" t="inlineStr">
        <is>
          <t>Low</t>
        </is>
      </c>
      <c r="S217" s="2" t="inlineStr">
        <is>
          <t>Low</t>
        </is>
      </c>
      <c r="T217" s="2" t="inlineStr">
        <is>
          <t>Client-facing interaction is human</t>
        </is>
      </c>
      <c r="U217" s="2" t="inlineStr">
        <is>
          <t>None</t>
        </is>
      </c>
      <c r="V217" s="2" t="inlineStr">
        <is>
          <t>N/A</t>
        </is>
      </c>
      <c r="W217" s="2" t="inlineStr"/>
    </row>
    <row r="218">
      <c r="A218" s="2" t="inlineStr">
        <is>
          <t>SUP</t>
        </is>
      </c>
      <c r="B218" s="2" t="inlineStr">
        <is>
          <t>SUP-03</t>
        </is>
      </c>
      <c r="C218" s="2" t="inlineStr">
        <is>
          <t>SUP-03.1.1</t>
        </is>
      </c>
      <c r="D218" s="8" t="inlineStr">
        <is>
          <t>Medium</t>
        </is>
      </c>
      <c r="E218" s="2" t="inlineStr">
        <is>
          <t>Issue NDAs and initiate teaming discussions — establish confidentiality and exclusivity framework with each partner</t>
        </is>
      </c>
      <c r="F218" s="2" t="inlineStr">
        <is>
          <t>AI accelerates with draft/analysis. Human applies domain judgement.</t>
        </is>
      </c>
      <c r="G218" s="2" t="inlineStr">
        <is>
          <t>Upstream SUP-03 outputs</t>
        </is>
      </c>
      <c r="H218" s="2" t="inlineStr">
        <is>
          <t>Decision velocity: AI draft available immediately for human refinement</t>
        </is>
      </c>
      <c r="I218" s="2" t="inlineStr">
        <is>
          <t>Supply Chain Lead</t>
        </is>
      </c>
      <c r="J218" s="2" t="n">
        <v>15</v>
      </c>
      <c r="K218" s="2" t="n">
        <v>1</v>
      </c>
      <c r="L218" s="4">
        <f>J218/COUNTIF($B:$B,B218)</f>
        <v/>
      </c>
      <c r="M218" s="5" t="n">
        <v>0.35</v>
      </c>
      <c r="N218" s="5" t="n">
        <v>0.1</v>
      </c>
      <c r="O218" s="6">
        <f>1-(1-M218)*(1-N218)</f>
        <v/>
      </c>
      <c r="P218" s="7">
        <f>L218*O218</f>
        <v/>
      </c>
      <c r="Q218" s="2" t="inlineStr">
        <is>
          <t>Medium</t>
        </is>
      </c>
      <c r="R218" s="2" t="inlineStr">
        <is>
          <t>Moderate</t>
        </is>
      </c>
      <c r="S218" s="2" t="inlineStr">
        <is>
          <t>Moderate</t>
        </is>
      </c>
      <c r="T218" s="2" t="inlineStr">
        <is>
          <t>Domain judgement required for validation</t>
        </is>
      </c>
      <c r="U218" s="2" t="inlineStr">
        <is>
          <t>None</t>
        </is>
      </c>
      <c r="V218" s="2" t="inlineStr">
        <is>
          <t>N/A</t>
        </is>
      </c>
      <c r="W218" s="2" t="inlineStr"/>
    </row>
    <row r="219">
      <c r="A219" s="2" t="inlineStr">
        <is>
          <t>SUP</t>
        </is>
      </c>
      <c r="B219" s="2" t="inlineStr">
        <is>
          <t>SUP-03</t>
        </is>
      </c>
      <c r="C219" s="2" t="inlineStr">
        <is>
          <t>SUP-03.1.2</t>
        </is>
      </c>
      <c r="D219" s="9" t="inlineStr">
        <is>
          <t>Low</t>
        </is>
      </c>
      <c r="E219" s="2" t="inlineStr">
        <is>
          <t>Negotiate and execute teaming agreements — scope, obligations, exclusivity, IP, confidentiality, termination, dispute resolution</t>
        </is>
      </c>
      <c r="F219" s="2" t="inlineStr">
        <is>
          <t>Cannot be AI'd. Negotiation is fundamentally human.</t>
        </is>
      </c>
      <c r="G219" s="2" t="inlineStr">
        <is>
          <t>Upstream SUP-03 outputs</t>
        </is>
      </c>
      <c r="H219" s="2" t="inlineStr">
        <is>
          <t>Minimal: Preparation support only</t>
        </is>
      </c>
      <c r="I219" s="2" t="inlineStr">
        <is>
          <t>Supply Chain Lead</t>
        </is>
      </c>
      <c r="J219" s="2" t="n">
        <v>15</v>
      </c>
      <c r="K219" s="2" t="n">
        <v>1</v>
      </c>
      <c r="L219" s="4">
        <f>J219/COUNTIF($B:$B,B219)</f>
        <v/>
      </c>
      <c r="M219" s="5" t="n">
        <v>0.1</v>
      </c>
      <c r="N219" s="5" t="n">
        <v>0.1</v>
      </c>
      <c r="O219" s="6">
        <f>1-(1-M219)*(1-N219)</f>
        <v/>
      </c>
      <c r="P219" s="7">
        <f>L219*O219</f>
        <v/>
      </c>
      <c r="Q219" s="2" t="inlineStr">
        <is>
          <t>Low</t>
        </is>
      </c>
      <c r="R219" s="2" t="inlineStr">
        <is>
          <t>Low</t>
        </is>
      </c>
      <c r="S219" s="2" t="inlineStr">
        <is>
          <t>Low</t>
        </is>
      </c>
      <c r="T219" s="2" t="inlineStr">
        <is>
          <t>Negotiation is fundamentally human</t>
        </is>
      </c>
      <c r="U219" s="2" t="inlineStr">
        <is>
          <t>None</t>
        </is>
      </c>
      <c r="V219" s="2" t="inlineStr">
        <is>
          <t>N/A</t>
        </is>
      </c>
      <c r="W219" s="2" t="inlineStr"/>
    </row>
    <row r="220">
      <c r="A220" s="2" t="inlineStr">
        <is>
          <t>SUP</t>
        </is>
      </c>
      <c r="B220" s="2" t="inlineStr">
        <is>
          <t>SUP-03</t>
        </is>
      </c>
      <c r="C220" s="2" t="inlineStr">
        <is>
          <t>SUP-03.1.3</t>
        </is>
      </c>
      <c r="D220" s="9" t="inlineStr">
        <is>
          <t>Low</t>
        </is>
      </c>
      <c r="E220" s="2" t="inlineStr">
        <is>
          <t>Confirm teaming status for all partners — signed, in progress, or at risk — feeds LEG-06 for legal review</t>
        </is>
      </c>
      <c r="F220" s="2" t="inlineStr">
        <is>
          <t>AI prepares pack/summary. Decision is human governance.</t>
        </is>
      </c>
      <c r="G220" s="2" t="inlineStr">
        <is>
          <t>Upstream SUP-03 outputs</t>
        </is>
      </c>
      <c r="H220" s="2" t="inlineStr">
        <is>
          <t>Minimal: Preparation support only</t>
        </is>
      </c>
      <c r="I220" s="2" t="inlineStr">
        <is>
          <t>Supply Chain Lead</t>
        </is>
      </c>
      <c r="J220" s="2" t="n">
        <v>15</v>
      </c>
      <c r="K220" s="2" t="n">
        <v>1</v>
      </c>
      <c r="L220" s="4">
        <f>J220/COUNTIF($B:$B,B220)</f>
        <v/>
      </c>
      <c r="M220" s="5" t="n">
        <v>0.1</v>
      </c>
      <c r="N220" s="5" t="n">
        <v>0.1</v>
      </c>
      <c r="O220" s="6">
        <f>1-(1-M220)*(1-N220)</f>
        <v/>
      </c>
      <c r="P220" s="7">
        <f>L220*O220</f>
        <v/>
      </c>
      <c r="Q220" s="2" t="inlineStr">
        <is>
          <t>None</t>
        </is>
      </c>
      <c r="R220" s="2" t="inlineStr">
        <is>
          <t>Low</t>
        </is>
      </c>
      <c r="S220" s="2" t="inlineStr">
        <is>
          <t>Low</t>
        </is>
      </c>
      <c r="T220" s="2" t="inlineStr">
        <is>
          <t>Governance decision is human</t>
        </is>
      </c>
      <c r="U220" s="2" t="inlineStr">
        <is>
          <t>None</t>
        </is>
      </c>
      <c r="V220" s="2" t="inlineStr">
        <is>
          <t>N/A</t>
        </is>
      </c>
      <c r="W220" s="2" t="inlineStr"/>
    </row>
    <row r="221">
      <c r="A221" s="2" t="inlineStr">
        <is>
          <t>SUP</t>
        </is>
      </c>
      <c r="B221" s="2" t="inlineStr">
        <is>
          <t>SUP-04</t>
        </is>
      </c>
      <c r="C221" s="2" t="inlineStr">
        <is>
          <t>SUP-04.1.1</t>
        </is>
      </c>
      <c r="D221" s="8" t="inlineStr">
        <is>
          <t>Medium</t>
        </is>
      </c>
      <c r="E221" s="2" t="inlineStr">
        <is>
          <t>Manage partner pricing submission process — ensure partners respond to COM-03 pricing requests on time and in the required format</t>
        </is>
      </c>
      <c r="F221" s="2" t="inlineStr">
        <is>
          <t>AI accelerates with draft/analysis. Human applies domain judgement.</t>
        </is>
      </c>
      <c r="G221" s="2" t="inlineStr">
        <is>
          <t>Upstream SUP-04 outputs</t>
        </is>
      </c>
      <c r="H221" s="2" t="inlineStr">
        <is>
          <t>Decision velocity: AI draft available immediately for human refinement</t>
        </is>
      </c>
      <c r="I221" s="2" t="inlineStr">
        <is>
          <t>Supply Chain Lead</t>
        </is>
      </c>
      <c r="J221" s="2" t="n">
        <v>8</v>
      </c>
      <c r="K221" s="2" t="n">
        <v>1</v>
      </c>
      <c r="L221" s="4">
        <f>J221/COUNTIF($B:$B,B221)</f>
        <v/>
      </c>
      <c r="M221" s="5" t="n">
        <v>0.35</v>
      </c>
      <c r="N221" s="5" t="n">
        <v>0.1</v>
      </c>
      <c r="O221" s="6">
        <f>1-(1-M221)*(1-N221)</f>
        <v/>
      </c>
      <c r="P221" s="7">
        <f>L221*O221</f>
        <v/>
      </c>
      <c r="Q221" s="2" t="inlineStr">
        <is>
          <t>Medium</t>
        </is>
      </c>
      <c r="R221" s="2" t="inlineStr">
        <is>
          <t>Moderate</t>
        </is>
      </c>
      <c r="S221" s="2" t="inlineStr">
        <is>
          <t>Moderate</t>
        </is>
      </c>
      <c r="T221" s="2" t="inlineStr">
        <is>
          <t>Domain judgement required for validation</t>
        </is>
      </c>
      <c r="U221" s="2" t="inlineStr">
        <is>
          <t>None</t>
        </is>
      </c>
      <c r="V221" s="2" t="inlineStr">
        <is>
          <t>N/A</t>
        </is>
      </c>
      <c r="W221" s="2" t="inlineStr"/>
    </row>
    <row r="222">
      <c r="A222" s="2" t="inlineStr">
        <is>
          <t>SUP</t>
        </is>
      </c>
      <c r="B222" s="2" t="inlineStr">
        <is>
          <t>SUP-04</t>
        </is>
      </c>
      <c r="C222" s="2" t="inlineStr">
        <is>
          <t>SUP-04.1.2</t>
        </is>
      </c>
      <c r="D222" s="9" t="inlineStr">
        <is>
          <t>Low</t>
        </is>
      </c>
      <c r="E222" s="2" t="inlineStr">
        <is>
          <t>Facilitate pricing clarification and iteration — resolve gaps, align assumptions between partners and our commercial model</t>
        </is>
      </c>
      <c r="F222" s="2" t="inlineStr">
        <is>
          <t>AI provides minimal preparation support. Task is fundamentally human.</t>
        </is>
      </c>
      <c r="G222" s="2" t="inlineStr">
        <is>
          <t>Upstream SUP-04 outputs</t>
        </is>
      </c>
      <c r="H222" s="2" t="inlineStr">
        <is>
          <t>Minimal: Preparation support only</t>
        </is>
      </c>
      <c r="I222" s="2" t="inlineStr">
        <is>
          <t>Supply Chain Lead</t>
        </is>
      </c>
      <c r="J222" s="2" t="n">
        <v>8</v>
      </c>
      <c r="K222" s="2" t="n">
        <v>1</v>
      </c>
      <c r="L222" s="4">
        <f>J222/COUNTIF($B:$B,B222)</f>
        <v/>
      </c>
      <c r="M222" s="5" t="n">
        <v>0.1</v>
      </c>
      <c r="N222" s="5" t="n">
        <v>0.1</v>
      </c>
      <c r="O222" s="6">
        <f>1-(1-M222)*(1-N222)</f>
        <v/>
      </c>
      <c r="P222" s="7">
        <f>L222*O222</f>
        <v/>
      </c>
      <c r="Q222" s="2" t="inlineStr">
        <is>
          <t>Low</t>
        </is>
      </c>
      <c r="R222" s="2" t="inlineStr">
        <is>
          <t>Low</t>
        </is>
      </c>
      <c r="S222" s="2" t="inlineStr">
        <is>
          <t>Low</t>
        </is>
      </c>
      <c r="T222" s="2" t="inlineStr">
        <is>
          <t>Human relationship/judgement required</t>
        </is>
      </c>
      <c r="U222" s="2" t="inlineStr">
        <is>
          <t>None</t>
        </is>
      </c>
      <c r="V222" s="2" t="inlineStr">
        <is>
          <t>N/A</t>
        </is>
      </c>
      <c r="W222" s="2" t="inlineStr"/>
    </row>
    <row r="223">
      <c r="A223" s="2" t="inlineStr">
        <is>
          <t>SUP</t>
        </is>
      </c>
      <c r="B223" s="2" t="inlineStr">
        <is>
          <t>SUP-05</t>
        </is>
      </c>
      <c r="C223" s="2" t="inlineStr">
        <is>
          <t>SUP-05.1.1</t>
        </is>
      </c>
      <c r="D223" s="3" t="inlineStr">
        <is>
          <t>High</t>
        </is>
      </c>
      <c r="E223" s="2" t="inlineStr">
        <is>
          <t>Issue evidence requirements to partners — case studies, CVs, credentials, certifications required per SOL-10 evidence matrix</t>
        </is>
      </c>
      <c r="F223" s="2" t="inlineStr">
        <is>
          <t>AI executes task autonomously from structured inputs. Human reviews.</t>
        </is>
      </c>
      <c r="G223" s="2" t="inlineStr">
        <is>
          <t>Upstream SUP-05 outputs</t>
        </is>
      </c>
      <c r="H223" s="2" t="inlineStr">
        <is>
          <t>Time reduction: Task largely automated from structured data</t>
        </is>
      </c>
      <c r="I223" s="2" t="inlineStr">
        <is>
          <t>Supply Chain Lead</t>
        </is>
      </c>
      <c r="J223" s="2" t="n">
        <v>5</v>
      </c>
      <c r="K223" s="2" t="n">
        <v>2</v>
      </c>
      <c r="L223" s="4">
        <f>J223/COUNTIF($B:$B,B223)</f>
        <v/>
      </c>
      <c r="M223" s="5" t="n">
        <v>0.6</v>
      </c>
      <c r="N223" s="5" t="n">
        <v>0.1</v>
      </c>
      <c r="O223" s="6">
        <f>1-(1-M223)*(1-N223)</f>
        <v/>
      </c>
      <c r="P223" s="7">
        <f>L223*O223</f>
        <v/>
      </c>
      <c r="Q223" s="2" t="inlineStr">
        <is>
          <t>Medium</t>
        </is>
      </c>
      <c r="R223" s="2" t="inlineStr">
        <is>
          <t>Moderate</t>
        </is>
      </c>
      <c r="S223" s="2" t="inlineStr">
        <is>
          <t>Yes</t>
        </is>
      </c>
      <c r="T223" s="2" t="inlineStr">
        <is>
          <t>Structured data must be available</t>
        </is>
      </c>
      <c r="U223" s="2" t="inlineStr">
        <is>
          <t>Evidence Library</t>
        </is>
      </c>
      <c r="V223" s="2" t="inlineStr">
        <is>
          <t>N/A</t>
        </is>
      </c>
      <c r="W223" s="2" t="inlineStr"/>
    </row>
    <row r="224">
      <c r="A224" s="2" t="inlineStr">
        <is>
          <t>SUP</t>
        </is>
      </c>
      <c r="B224" s="2" t="inlineStr">
        <is>
          <t>SUP-05</t>
        </is>
      </c>
      <c r="C224" s="2" t="inlineStr">
        <is>
          <t>SUP-05.1.2</t>
        </is>
      </c>
      <c r="D224" s="8" t="inlineStr">
        <is>
          <t>Medium</t>
        </is>
      </c>
      <c r="E224" s="2" t="inlineStr">
        <is>
          <t>Collect, review, and adapt partner evidence — quality, relevance, format aligned to ITT requirements</t>
        </is>
      </c>
      <c r="F224" s="2" t="inlineStr">
        <is>
          <t>AI provides analysis and assessment. Human validates with judgement.</t>
        </is>
      </c>
      <c r="G224" s="2" t="inlineStr">
        <is>
          <t>Upstream SUP-05 outputs</t>
        </is>
      </c>
      <c r="H224" s="2" t="inlineStr">
        <is>
          <t>Decision velocity: AI draft available immediately for human refinement</t>
        </is>
      </c>
      <c r="I224" s="2" t="inlineStr">
        <is>
          <t>Supply Chain Lead</t>
        </is>
      </c>
      <c r="J224" s="2" t="n">
        <v>5</v>
      </c>
      <c r="K224" s="2" t="n">
        <v>2</v>
      </c>
      <c r="L224" s="4">
        <f>J224/COUNTIF($B:$B,B224)</f>
        <v/>
      </c>
      <c r="M224" s="5" t="n">
        <v>0.35</v>
      </c>
      <c r="N224" s="5" t="n">
        <v>0.1</v>
      </c>
      <c r="O224" s="6">
        <f>1-(1-M224)*(1-N224)</f>
        <v/>
      </c>
      <c r="P224" s="7">
        <f>L224*O224</f>
        <v/>
      </c>
      <c r="Q224" s="2" t="inlineStr">
        <is>
          <t>Medium</t>
        </is>
      </c>
      <c r="R224" s="2" t="inlineStr">
        <is>
          <t>Moderate</t>
        </is>
      </c>
      <c r="S224" s="2" t="inlineStr">
        <is>
          <t>Moderate</t>
        </is>
      </c>
      <c r="T224" s="2" t="inlineStr">
        <is>
          <t>Domain judgement required for validation</t>
        </is>
      </c>
      <c r="U224" s="2" t="inlineStr">
        <is>
          <t>ITT Document Pack</t>
        </is>
      </c>
      <c r="V224" s="2" t="inlineStr">
        <is>
          <t>N/A</t>
        </is>
      </c>
      <c r="W224" s="2" t="inlineStr"/>
    </row>
    <row r="225">
      <c r="A225" s="2" t="inlineStr">
        <is>
          <t>SUP</t>
        </is>
      </c>
      <c r="B225" s="2" t="inlineStr">
        <is>
          <t>SUP-06</t>
        </is>
      </c>
      <c r="C225" s="2" t="inlineStr">
        <is>
          <t>SUP-06.1.1</t>
        </is>
      </c>
      <c r="D225" s="8" t="inlineStr">
        <is>
          <t>Medium</t>
        </is>
      </c>
      <c r="E225" s="2" t="inlineStr">
        <is>
          <t>Develop back-to-back subcontract terms flowing down from prime contract — using LEG-06 review and COM-03 commercial framework</t>
        </is>
      </c>
      <c r="F225" s="2" t="inlineStr">
        <is>
          <t>AI produces first draft. Human refines with domain judgement.</t>
        </is>
      </c>
      <c r="G225" s="2" t="inlineStr">
        <is>
          <t>Upstream SUP-06 outputs</t>
        </is>
      </c>
      <c r="H225" s="2" t="inlineStr">
        <is>
          <t>Decision velocity: AI draft available immediately for human refinement</t>
        </is>
      </c>
      <c r="I225" s="2" t="inlineStr">
        <is>
          <t>Supply Chain Lead</t>
        </is>
      </c>
      <c r="J225" s="2" t="n">
        <v>5</v>
      </c>
      <c r="K225" s="2" t="n">
        <v>1</v>
      </c>
      <c r="L225" s="4">
        <f>J225/COUNTIF($B:$B,B225)</f>
        <v/>
      </c>
      <c r="M225" s="5" t="n">
        <v>0.35</v>
      </c>
      <c r="N225" s="5" t="n">
        <v>0.1</v>
      </c>
      <c r="O225" s="6">
        <f>1-(1-M225)*(1-N225)</f>
        <v/>
      </c>
      <c r="P225" s="7">
        <f>L225*O225</f>
        <v/>
      </c>
      <c r="Q225" s="2" t="inlineStr">
        <is>
          <t>Medium</t>
        </is>
      </c>
      <c r="R225" s="2" t="inlineStr">
        <is>
          <t>Moderate</t>
        </is>
      </c>
      <c r="S225" s="2" t="inlineStr">
        <is>
          <t>Moderate</t>
        </is>
      </c>
      <c r="T225" s="2" t="inlineStr">
        <is>
          <t>Domain judgement required for validation</t>
        </is>
      </c>
      <c r="U225" s="2" t="inlineStr">
        <is>
          <t>None</t>
        </is>
      </c>
      <c r="V225" s="2" t="inlineStr">
        <is>
          <t>N/A</t>
        </is>
      </c>
      <c r="W225" s="2" t="inlineStr"/>
    </row>
    <row r="226">
      <c r="A226" s="2" t="inlineStr">
        <is>
          <t>SUP</t>
        </is>
      </c>
      <c r="B226" s="2" t="inlineStr">
        <is>
          <t>SUP-06</t>
        </is>
      </c>
      <c r="C226" s="2" t="inlineStr">
        <is>
          <t>SUP-06.1.2</t>
        </is>
      </c>
      <c r="D226" s="9" t="inlineStr">
        <is>
          <t>Low</t>
        </is>
      </c>
      <c r="E226" s="2" t="inlineStr">
        <is>
          <t>Negotiate and agree back-to-back terms with each partner</t>
        </is>
      </c>
      <c r="F226" s="2" t="inlineStr">
        <is>
          <t>Cannot be AI'd. Negotiation is fundamentally human.</t>
        </is>
      </c>
      <c r="G226" s="2" t="inlineStr">
        <is>
          <t>Upstream SUP-06 outputs</t>
        </is>
      </c>
      <c r="H226" s="2" t="inlineStr">
        <is>
          <t>Minimal: Preparation support only</t>
        </is>
      </c>
      <c r="I226" s="2" t="inlineStr">
        <is>
          <t>Supply Chain Lead</t>
        </is>
      </c>
      <c r="J226" s="2" t="n">
        <v>5</v>
      </c>
      <c r="K226" s="2" t="n">
        <v>1</v>
      </c>
      <c r="L226" s="4">
        <f>J226/COUNTIF($B:$B,B226)</f>
        <v/>
      </c>
      <c r="M226" s="5" t="n">
        <v>0.1</v>
      </c>
      <c r="N226" s="5" t="n">
        <v>0.1</v>
      </c>
      <c r="O226" s="6">
        <f>1-(1-M226)*(1-N226)</f>
        <v/>
      </c>
      <c r="P226" s="7">
        <f>L226*O226</f>
        <v/>
      </c>
      <c r="Q226" s="2" t="inlineStr">
        <is>
          <t>Low</t>
        </is>
      </c>
      <c r="R226" s="2" t="inlineStr">
        <is>
          <t>Low</t>
        </is>
      </c>
      <c r="S226" s="2" t="inlineStr">
        <is>
          <t>Low</t>
        </is>
      </c>
      <c r="T226" s="2" t="inlineStr">
        <is>
          <t>Negotiation is fundamentally human</t>
        </is>
      </c>
      <c r="U226" s="2" t="inlineStr">
        <is>
          <t>None</t>
        </is>
      </c>
      <c r="V226" s="2" t="inlineStr">
        <is>
          <t>N/A</t>
        </is>
      </c>
      <c r="W226" s="2" t="inlineStr"/>
    </row>
    <row r="227">
      <c r="A227" s="2" t="inlineStr">
        <is>
          <t>SUP</t>
        </is>
      </c>
      <c r="B227" s="2" t="inlineStr">
        <is>
          <t>SUP-06</t>
        </is>
      </c>
      <c r="C227" s="2" t="inlineStr">
        <is>
          <t>SUP-06.1.3</t>
        </is>
      </c>
      <c r="D227" s="9" t="inlineStr">
        <is>
          <t>Low</t>
        </is>
      </c>
      <c r="E227" s="2" t="inlineStr">
        <is>
          <t>Confirm all partner commercial terms are agreed — feeds GOV-03 (pricing governance)</t>
        </is>
      </c>
      <c r="F227" s="2" t="inlineStr">
        <is>
          <t>AI prepares pack/summary. Decision is human governance.</t>
        </is>
      </c>
      <c r="G227" s="2" t="inlineStr">
        <is>
          <t>Upstream SUP-06 outputs</t>
        </is>
      </c>
      <c r="H227" s="2" t="inlineStr">
        <is>
          <t>Minimal: Preparation support only</t>
        </is>
      </c>
      <c r="I227" s="2" t="inlineStr">
        <is>
          <t>Supply Chain Lead</t>
        </is>
      </c>
      <c r="J227" s="2" t="n">
        <v>5</v>
      </c>
      <c r="K227" s="2" t="n">
        <v>1</v>
      </c>
      <c r="L227" s="4">
        <f>J227/COUNTIF($B:$B,B227)</f>
        <v/>
      </c>
      <c r="M227" s="5" t="n">
        <v>0.1</v>
      </c>
      <c r="N227" s="5" t="n">
        <v>0.1</v>
      </c>
      <c r="O227" s="6">
        <f>1-(1-M227)*(1-N227)</f>
        <v/>
      </c>
      <c r="P227" s="7">
        <f>L227*O227</f>
        <v/>
      </c>
      <c r="Q227" s="2" t="inlineStr">
        <is>
          <t>None</t>
        </is>
      </c>
      <c r="R227" s="2" t="inlineStr">
        <is>
          <t>Low</t>
        </is>
      </c>
      <c r="S227" s="2" t="inlineStr">
        <is>
          <t>Low</t>
        </is>
      </c>
      <c r="T227" s="2" t="inlineStr">
        <is>
          <t>Governance decision is human</t>
        </is>
      </c>
      <c r="U227" s="2" t="inlineStr">
        <is>
          <t>None</t>
        </is>
      </c>
      <c r="V227" s="2" t="inlineStr">
        <is>
          <t>N/A</t>
        </is>
      </c>
      <c r="W227" s="2" t="inlineStr"/>
    </row>
    <row r="228">
      <c r="A228" s="2" t="inlineStr">
        <is>
          <t>BM</t>
        </is>
      </c>
      <c r="B228" s="2" t="inlineStr">
        <is>
          <t>BM-01</t>
        </is>
      </c>
      <c r="C228" s="2" t="inlineStr">
        <is>
          <t>BM-01.1.1</t>
        </is>
      </c>
      <c r="D228" s="8" t="inlineStr">
        <is>
          <t>Medium</t>
        </is>
      </c>
      <c r="E228" s="2" t="inlineStr">
        <is>
          <t>Confirm bid team structure, assign roles and RACI across all workstreams, brief the locked win strategy</t>
        </is>
      </c>
      <c r="F228" s="2" t="inlineStr">
        <is>
          <t>AI accelerates with draft/analysis. Human applies domain judgement.</t>
        </is>
      </c>
      <c r="G228" s="2" t="inlineStr">
        <is>
          <t>Upstream BM-01 outputs</t>
        </is>
      </c>
      <c r="H228" s="2" t="inlineStr">
        <is>
          <t>Decision velocity: AI draft available immediately for human refinement</t>
        </is>
      </c>
      <c r="I228" s="2" t="inlineStr">
        <is>
          <t>Bid Manager</t>
        </is>
      </c>
      <c r="J228" s="2" t="n">
        <v>3</v>
      </c>
      <c r="K228" s="2" t="n">
        <v>1</v>
      </c>
      <c r="L228" s="4">
        <f>J228/COUNTIF($B:$B,B228)</f>
        <v/>
      </c>
      <c r="M228" s="5" t="n">
        <v>0.35</v>
      </c>
      <c r="N228" s="5" t="n">
        <v>0.1</v>
      </c>
      <c r="O228" s="6">
        <f>1-(1-M228)*(1-N228)</f>
        <v/>
      </c>
      <c r="P228" s="7">
        <f>L228*O228</f>
        <v/>
      </c>
      <c r="Q228" s="2" t="inlineStr">
        <is>
          <t>Medium</t>
        </is>
      </c>
      <c r="R228" s="2" t="inlineStr">
        <is>
          <t>Moderate</t>
        </is>
      </c>
      <c r="S228" s="2" t="inlineStr">
        <is>
          <t>Moderate</t>
        </is>
      </c>
      <c r="T228" s="2" t="inlineStr">
        <is>
          <t>Domain judgement required for validation</t>
        </is>
      </c>
      <c r="U228" s="2" t="inlineStr">
        <is>
          <t>None</t>
        </is>
      </c>
      <c r="V228" s="2" t="inlineStr">
        <is>
          <t>N/A</t>
        </is>
      </c>
      <c r="W228" s="2" t="inlineStr"/>
    </row>
    <row r="229">
      <c r="A229" s="2" t="inlineStr">
        <is>
          <t>BM</t>
        </is>
      </c>
      <c r="B229" s="2" t="inlineStr">
        <is>
          <t>BM-01</t>
        </is>
      </c>
      <c r="C229" s="2" t="inlineStr">
        <is>
          <t>BM-01.1.2</t>
        </is>
      </c>
      <c r="D229" s="9" t="inlineStr">
        <is>
          <t>Low</t>
        </is>
      </c>
      <c r="E229" s="2" t="inlineStr">
        <is>
          <t>Agree master bid programme with milestones, review points, governance gates, and submission deadline — backward-planned from submission</t>
        </is>
      </c>
      <c r="F229" s="2" t="inlineStr">
        <is>
          <t>AI provides minimal preparation support. Task is fundamentally human.</t>
        </is>
      </c>
      <c r="G229" s="2" t="inlineStr">
        <is>
          <t>Upstream BM-01 outputs</t>
        </is>
      </c>
      <c r="H229" s="2" t="inlineStr">
        <is>
          <t>Minimal: Preparation support only</t>
        </is>
      </c>
      <c r="I229" s="2" t="inlineStr">
        <is>
          <t>Bid Manager</t>
        </is>
      </c>
      <c r="J229" s="2" t="n">
        <v>3</v>
      </c>
      <c r="K229" s="2" t="n">
        <v>1</v>
      </c>
      <c r="L229" s="4">
        <f>J229/COUNTIF($B:$B,B229)</f>
        <v/>
      </c>
      <c r="M229" s="5" t="n">
        <v>0.1</v>
      </c>
      <c r="N229" s="5" t="n">
        <v>0.1</v>
      </c>
      <c r="O229" s="6">
        <f>1-(1-M229)*(1-N229)</f>
        <v/>
      </c>
      <c r="P229" s="7">
        <f>L229*O229</f>
        <v/>
      </c>
      <c r="Q229" s="2" t="inlineStr">
        <is>
          <t>Low</t>
        </is>
      </c>
      <c r="R229" s="2" t="inlineStr">
        <is>
          <t>Low</t>
        </is>
      </c>
      <c r="S229" s="2" t="inlineStr">
        <is>
          <t>Low</t>
        </is>
      </c>
      <c r="T229" s="2" t="inlineStr">
        <is>
          <t>Human relationship/judgement required</t>
        </is>
      </c>
      <c r="U229" s="2" t="inlineStr">
        <is>
          <t>None</t>
        </is>
      </c>
      <c r="V229" s="2" t="inlineStr">
        <is>
          <t>N/A</t>
        </is>
      </c>
      <c r="W229" s="2" t="inlineStr"/>
    </row>
    <row r="230">
      <c r="A230" s="2" t="inlineStr">
        <is>
          <t>BM</t>
        </is>
      </c>
      <c r="B230" s="2" t="inlineStr">
        <is>
          <t>BM-02</t>
        </is>
      </c>
      <c r="C230" s="2" t="inlineStr">
        <is>
          <t>BM-02.1.1</t>
        </is>
      </c>
      <c r="D230" s="3" t="inlineStr">
        <is>
          <t>High</t>
        </is>
      </c>
      <c r="E230" s="2" t="inlineStr">
        <is>
          <t>Produce bid management plan covering scope, governance, quality approach, risk management, communications, review schedule, and submission plan</t>
        </is>
      </c>
      <c r="F230" s="2" t="inlineStr">
        <is>
          <t>AI executes task autonomously from structured inputs. Human reviews.</t>
        </is>
      </c>
      <c r="G230" s="2" t="inlineStr">
        <is>
          <t>Upstream BM-02 outputs</t>
        </is>
      </c>
      <c r="H230" s="2" t="inlineStr">
        <is>
          <t>Time reduction: Task largely automated from structured data</t>
        </is>
      </c>
      <c r="I230" s="2" t="inlineStr">
        <is>
          <t>Bid Manager</t>
        </is>
      </c>
      <c r="J230" s="2" t="n">
        <v>2</v>
      </c>
      <c r="K230" s="2" t="n">
        <v>1</v>
      </c>
      <c r="L230" s="4">
        <f>J230/COUNTIF($B:$B,B230)</f>
        <v/>
      </c>
      <c r="M230" s="5" t="n">
        <v>0.6</v>
      </c>
      <c r="N230" s="5" t="n">
        <v>0.1</v>
      </c>
      <c r="O230" s="6">
        <f>1-(1-M230)*(1-N230)</f>
        <v/>
      </c>
      <c r="P230" s="7">
        <f>L230*O230</f>
        <v/>
      </c>
      <c r="Q230" s="2" t="inlineStr">
        <is>
          <t>Medium</t>
        </is>
      </c>
      <c r="R230" s="2" t="inlineStr">
        <is>
          <t>Moderate</t>
        </is>
      </c>
      <c r="S230" s="2" t="inlineStr">
        <is>
          <t>Yes</t>
        </is>
      </c>
      <c r="T230" s="2" t="inlineStr">
        <is>
          <t>Structured data must be available</t>
        </is>
      </c>
      <c r="U230" s="2" t="inlineStr">
        <is>
          <t>None</t>
        </is>
      </c>
      <c r="V230" s="2" t="inlineStr">
        <is>
          <t>N/A</t>
        </is>
      </c>
      <c r="W230" s="2" t="inlineStr"/>
    </row>
    <row r="231">
      <c r="A231" s="2" t="inlineStr">
        <is>
          <t>BM</t>
        </is>
      </c>
      <c r="B231" s="2" t="inlineStr">
        <is>
          <t>BM-03</t>
        </is>
      </c>
      <c r="C231" s="2" t="inlineStr">
        <is>
          <t>BM-03.1.1</t>
        </is>
      </c>
      <c r="D231" s="3" t="inlineStr">
        <is>
          <t>High</t>
        </is>
      </c>
      <c r="E231" s="2" t="inlineStr">
        <is>
          <t>Establish document repository, folder structure, naming conventions, version control, access permissions, and collaboration platform</t>
        </is>
      </c>
      <c r="F231" s="2" t="inlineStr">
        <is>
          <t>AI executes task autonomously from structured inputs. Human reviews.</t>
        </is>
      </c>
      <c r="G231" s="2" t="inlineStr">
        <is>
          <t>Upstream BM-03 outputs</t>
        </is>
      </c>
      <c r="H231" s="2" t="inlineStr">
        <is>
          <t>Time reduction: Task largely automated from structured data</t>
        </is>
      </c>
      <c r="I231" s="2" t="inlineStr">
        <is>
          <t>Bid Manager</t>
        </is>
      </c>
      <c r="J231" s="2" t="n">
        <v>1</v>
      </c>
      <c r="K231" s="2" t="n">
        <v>1</v>
      </c>
      <c r="L231" s="4">
        <f>J231/COUNTIF($B:$B,B231)</f>
        <v/>
      </c>
      <c r="M231" s="5" t="n">
        <v>0.6</v>
      </c>
      <c r="N231" s="5" t="n">
        <v>0.1</v>
      </c>
      <c r="O231" s="6">
        <f>1-(1-M231)*(1-N231)</f>
        <v/>
      </c>
      <c r="P231" s="7">
        <f>L231*O231</f>
        <v/>
      </c>
      <c r="Q231" s="2" t="inlineStr">
        <is>
          <t>Medium</t>
        </is>
      </c>
      <c r="R231" s="2" t="inlineStr">
        <is>
          <t>Moderate</t>
        </is>
      </c>
      <c r="S231" s="2" t="inlineStr">
        <is>
          <t>Yes</t>
        </is>
      </c>
      <c r="T231" s="2" t="inlineStr">
        <is>
          <t>Structured data must be available</t>
        </is>
      </c>
      <c r="U231" s="2" t="inlineStr">
        <is>
          <t>None</t>
        </is>
      </c>
      <c r="V231" s="2" t="inlineStr">
        <is>
          <t>N/A</t>
        </is>
      </c>
      <c r="W231" s="2" t="inlineStr"/>
    </row>
    <row r="232">
      <c r="A232" s="2" t="inlineStr">
        <is>
          <t>BM</t>
        </is>
      </c>
      <c r="B232" s="2" t="inlineStr">
        <is>
          <t>BM-04</t>
        </is>
      </c>
      <c r="C232" s="2" t="inlineStr">
        <is>
          <t>BM-04.1.1</t>
        </is>
      </c>
      <c r="D232" s="8" t="inlineStr">
        <is>
          <t>Medium</t>
        </is>
      </c>
      <c r="E232" s="2" t="inlineStr">
        <is>
          <t>Confirm and mobilise full bid team — internal, partner, and contingency resources</t>
        </is>
      </c>
      <c r="F232" s="2" t="inlineStr">
        <is>
          <t>AI accelerates with draft/analysis. Human applies domain judgement.</t>
        </is>
      </c>
      <c r="G232" s="2" t="inlineStr">
        <is>
          <t>Upstream BM-04 outputs</t>
        </is>
      </c>
      <c r="H232" s="2" t="inlineStr">
        <is>
          <t>Decision velocity: AI draft available immediately for human refinement</t>
        </is>
      </c>
      <c r="I232" s="2" t="inlineStr">
        <is>
          <t>Bid Manager</t>
        </is>
      </c>
      <c r="J232" s="2" t="n">
        <v>0</v>
      </c>
      <c r="K232" s="2" t="n">
        <v>1</v>
      </c>
      <c r="L232" s="4">
        <f>J232/COUNTIF($B:$B,B232)</f>
        <v/>
      </c>
      <c r="M232" s="5" t="n">
        <v>0.35</v>
      </c>
      <c r="N232" s="5" t="n">
        <v>0.1</v>
      </c>
      <c r="O232" s="6">
        <f>1-(1-M232)*(1-N232)</f>
        <v/>
      </c>
      <c r="P232" s="7">
        <f>L232*O232</f>
        <v/>
      </c>
      <c r="Q232" s="2" t="inlineStr">
        <is>
          <t>Medium</t>
        </is>
      </c>
      <c r="R232" s="2" t="inlineStr">
        <is>
          <t>Moderate</t>
        </is>
      </c>
      <c r="S232" s="2" t="inlineStr">
        <is>
          <t>Moderate</t>
        </is>
      </c>
      <c r="T232" s="2" t="inlineStr">
        <is>
          <t>Domain judgement required for validation</t>
        </is>
      </c>
      <c r="U232" s="2" t="inlineStr">
        <is>
          <t>None</t>
        </is>
      </c>
      <c r="V232" s="2" t="inlineStr">
        <is>
          <t>N/A</t>
        </is>
      </c>
      <c r="W232" s="2" t="inlineStr"/>
    </row>
    <row r="233">
      <c r="A233" s="2" t="inlineStr">
        <is>
          <t>BM</t>
        </is>
      </c>
      <c r="B233" s="2" t="inlineStr">
        <is>
          <t>BM-04</t>
        </is>
      </c>
      <c r="C233" s="2" t="inlineStr">
        <is>
          <t>BM-04.1.2</t>
        </is>
      </c>
      <c r="D233" s="9" t="inlineStr">
        <is>
          <t>Low</t>
        </is>
      </c>
      <c r="E233" s="2" t="inlineStr">
        <is>
          <t>Track resource availability, manage security clearance applications, handle resource changes throughout the bid</t>
        </is>
      </c>
      <c r="F233" s="2" t="inlineStr">
        <is>
          <t>AI provides minimal preparation support. Task is fundamentally human.</t>
        </is>
      </c>
      <c r="G233" s="2" t="inlineStr">
        <is>
          <t>Upstream BM-04 outputs</t>
        </is>
      </c>
      <c r="H233" s="2" t="inlineStr">
        <is>
          <t>Minimal: Preparation support only</t>
        </is>
      </c>
      <c r="I233" s="2" t="inlineStr">
        <is>
          <t>Bid Manager</t>
        </is>
      </c>
      <c r="J233" s="2" t="n">
        <v>0</v>
      </c>
      <c r="K233" s="2" t="n">
        <v>1</v>
      </c>
      <c r="L233" s="4">
        <f>J233/COUNTIF($B:$B,B233)</f>
        <v/>
      </c>
      <c r="M233" s="5" t="n">
        <v>0.1</v>
      </c>
      <c r="N233" s="5" t="n">
        <v>0.1</v>
      </c>
      <c r="O233" s="6">
        <f>1-(1-M233)*(1-N233)</f>
        <v/>
      </c>
      <c r="P233" s="7">
        <f>L233*O233</f>
        <v/>
      </c>
      <c r="Q233" s="2" t="inlineStr">
        <is>
          <t>Low</t>
        </is>
      </c>
      <c r="R233" s="2" t="inlineStr">
        <is>
          <t>Low</t>
        </is>
      </c>
      <c r="S233" s="2" t="inlineStr">
        <is>
          <t>Low</t>
        </is>
      </c>
      <c r="T233" s="2" t="inlineStr">
        <is>
          <t>Human relationship/judgement required</t>
        </is>
      </c>
      <c r="U233" s="2" t="inlineStr">
        <is>
          <t>None</t>
        </is>
      </c>
      <c r="V233" s="2" t="inlineStr">
        <is>
          <t>N/A</t>
        </is>
      </c>
      <c r="W233" s="2" t="inlineStr"/>
    </row>
    <row r="234">
      <c r="A234" s="2" t="inlineStr">
        <is>
          <t>BM</t>
        </is>
      </c>
      <c r="B234" s="2" t="inlineStr">
        <is>
          <t>BM-05</t>
        </is>
      </c>
      <c r="C234" s="2" t="inlineStr">
        <is>
          <t>BM-05.1.1</t>
        </is>
      </c>
      <c r="D234" s="3" t="inlineStr">
        <is>
          <t>High</t>
        </is>
      </c>
      <c r="E234" s="2" t="inlineStr">
        <is>
          <t>Track bid investment against budget — actual vs forecast, by workstream, with variance reporting</t>
        </is>
      </c>
      <c r="F234" s="2" t="inlineStr">
        <is>
          <t>AI automates tracking from structured data sources</t>
        </is>
      </c>
      <c r="G234" s="2" t="inlineStr">
        <is>
          <t>Upstream BM-05 outputs</t>
        </is>
      </c>
      <c r="H234" s="2" t="inlineStr">
        <is>
          <t>Time reduction: Task largely automated from structured data</t>
        </is>
      </c>
      <c r="I234" s="2" t="inlineStr">
        <is>
          <t>Bid Manager</t>
        </is>
      </c>
      <c r="J234" s="2" t="n">
        <v>0</v>
      </c>
      <c r="K234" s="2" t="n">
        <v>1</v>
      </c>
      <c r="L234" s="4">
        <f>J234/COUNTIF($B:$B,B234)</f>
        <v/>
      </c>
      <c r="M234" s="5" t="n">
        <v>0.6</v>
      </c>
      <c r="N234" s="5" t="n">
        <v>0.1</v>
      </c>
      <c r="O234" s="6">
        <f>1-(1-M234)*(1-N234)</f>
        <v/>
      </c>
      <c r="P234" s="7">
        <f>L234*O234</f>
        <v/>
      </c>
      <c r="Q234" s="2" t="inlineStr">
        <is>
          <t>Medium</t>
        </is>
      </c>
      <c r="R234" s="2" t="inlineStr">
        <is>
          <t>Moderate</t>
        </is>
      </c>
      <c r="S234" s="2" t="inlineStr">
        <is>
          <t>Yes</t>
        </is>
      </c>
      <c r="T234" s="2" t="inlineStr">
        <is>
          <t>Structured data must be available</t>
        </is>
      </c>
      <c r="U234" s="2" t="inlineStr">
        <is>
          <t>None</t>
        </is>
      </c>
      <c r="V234" s="2" t="inlineStr">
        <is>
          <t>N/A</t>
        </is>
      </c>
      <c r="W234" s="2" t="inlineStr"/>
    </row>
    <row r="235">
      <c r="A235" s="2" t="inlineStr">
        <is>
          <t>BM</t>
        </is>
      </c>
      <c r="B235" s="2" t="inlineStr">
        <is>
          <t>BM-06</t>
        </is>
      </c>
      <c r="C235" s="2" t="inlineStr">
        <is>
          <t>BM-06.1.1</t>
        </is>
      </c>
      <c r="D235" s="3" t="inlineStr">
        <is>
          <t>High</t>
        </is>
      </c>
      <c r="E235" s="2" t="inlineStr">
        <is>
          <t>Conduct weekly standups with workstream leads — progress, blockers, actions, RAG status per activity</t>
        </is>
      </c>
      <c r="F235" s="2" t="inlineStr">
        <is>
          <t>AI executes task autonomously from structured inputs. Human reviews.</t>
        </is>
      </c>
      <c r="G235" s="2" t="inlineStr">
        <is>
          <t>Upstream BM-06 outputs</t>
        </is>
      </c>
      <c r="H235" s="2" t="inlineStr">
        <is>
          <t>Time reduction: Task largely automated from structured data</t>
        </is>
      </c>
      <c r="I235" s="2" t="inlineStr">
        <is>
          <t>Bid Manager</t>
        </is>
      </c>
      <c r="J235" s="2" t="n">
        <v>0</v>
      </c>
      <c r="K235" s="2" t="n">
        <v>1</v>
      </c>
      <c r="L235" s="4">
        <f>J235/COUNTIF($B:$B,B235)</f>
        <v/>
      </c>
      <c r="M235" s="5" t="n">
        <v>0.6</v>
      </c>
      <c r="N235" s="5" t="n">
        <v>0.1</v>
      </c>
      <c r="O235" s="6">
        <f>1-(1-M235)*(1-N235)</f>
        <v/>
      </c>
      <c r="P235" s="7">
        <f>L235*O235</f>
        <v/>
      </c>
      <c r="Q235" s="2" t="inlineStr">
        <is>
          <t>Medium</t>
        </is>
      </c>
      <c r="R235" s="2" t="inlineStr">
        <is>
          <t>Moderate</t>
        </is>
      </c>
      <c r="S235" s="2" t="inlineStr">
        <is>
          <t>Yes</t>
        </is>
      </c>
      <c r="T235" s="2" t="inlineStr">
        <is>
          <t>Structured data must be available</t>
        </is>
      </c>
      <c r="U235" s="2" t="inlineStr">
        <is>
          <t>None</t>
        </is>
      </c>
      <c r="V235" s="2" t="inlineStr">
        <is>
          <t>Phase 2</t>
        </is>
      </c>
      <c r="W235" s="2" t="inlineStr"/>
    </row>
    <row r="236">
      <c r="A236" s="2" t="inlineStr">
        <is>
          <t>BM</t>
        </is>
      </c>
      <c r="B236" s="2" t="inlineStr">
        <is>
          <t>BM-06</t>
        </is>
      </c>
      <c r="C236" s="2" t="inlineStr">
        <is>
          <t>BM-06.1.2</t>
        </is>
      </c>
      <c r="D236" s="8" t="inlineStr">
        <is>
          <t>Medium</t>
        </is>
      </c>
      <c r="E236" s="2" t="inlineStr">
        <is>
          <t>Produce weekly progress reports and milestone achievement tracking — programme status against baseline</t>
        </is>
      </c>
      <c r="F236" s="2" t="inlineStr">
        <is>
          <t>AI produces first draft. Human refines with domain judgement.</t>
        </is>
      </c>
      <c r="G236" s="2" t="inlineStr">
        <is>
          <t>Upstream BM-06 outputs</t>
        </is>
      </c>
      <c r="H236" s="2" t="inlineStr">
        <is>
          <t>Decision velocity: AI draft available immediately for human refinement</t>
        </is>
      </c>
      <c r="I236" s="2" t="inlineStr">
        <is>
          <t>Bid Manager</t>
        </is>
      </c>
      <c r="J236" s="2" t="n">
        <v>0</v>
      </c>
      <c r="K236" s="2" t="n">
        <v>1</v>
      </c>
      <c r="L236" s="4">
        <f>J236/COUNTIF($B:$B,B236)</f>
        <v/>
      </c>
      <c r="M236" s="5" t="n">
        <v>0.35</v>
      </c>
      <c r="N236" s="5" t="n">
        <v>0.1</v>
      </c>
      <c r="O236" s="6">
        <f>1-(1-M236)*(1-N236)</f>
        <v/>
      </c>
      <c r="P236" s="7">
        <f>L236*O236</f>
        <v/>
      </c>
      <c r="Q236" s="2" t="inlineStr">
        <is>
          <t>Medium</t>
        </is>
      </c>
      <c r="R236" s="2" t="inlineStr">
        <is>
          <t>Moderate</t>
        </is>
      </c>
      <c r="S236" s="2" t="inlineStr">
        <is>
          <t>Moderate</t>
        </is>
      </c>
      <c r="T236" s="2" t="inlineStr">
        <is>
          <t>Domain judgement required for validation</t>
        </is>
      </c>
      <c r="U236" s="2" t="inlineStr">
        <is>
          <t>None</t>
        </is>
      </c>
      <c r="V236" s="2" t="inlineStr">
        <is>
          <t>Phase 2</t>
        </is>
      </c>
      <c r="W236" s="2" t="inlineStr"/>
    </row>
    <row r="237">
      <c r="A237" s="2" t="inlineStr">
        <is>
          <t>BM</t>
        </is>
      </c>
      <c r="B237" s="2" t="inlineStr">
        <is>
          <t>BM-07</t>
        </is>
      </c>
      <c r="C237" s="2" t="inlineStr">
        <is>
          <t>BM-07.1.1</t>
        </is>
      </c>
      <c r="D237" s="3" t="inlineStr">
        <is>
          <t>High</t>
        </is>
      </c>
      <c r="E237" s="2" t="inlineStr">
        <is>
          <t>Develop quality plan — page budgets per section based on marks concentration, writing standards, review criteria, compliance checklist</t>
        </is>
      </c>
      <c r="F237" s="2" t="inlineStr">
        <is>
          <t>AI executes task autonomously from structured inputs. Human reviews.</t>
        </is>
      </c>
      <c r="G237" s="2" t="inlineStr">
        <is>
          <t>Upstream BM-07 outputs</t>
        </is>
      </c>
      <c r="H237" s="2" t="inlineStr">
        <is>
          <t>Time reduction: Task largely automated from structured data</t>
        </is>
      </c>
      <c r="I237" s="2" t="inlineStr">
        <is>
          <t>Bid Manager</t>
        </is>
      </c>
      <c r="J237" s="2" t="n">
        <v>3</v>
      </c>
      <c r="K237" s="2" t="n">
        <v>1</v>
      </c>
      <c r="L237" s="4">
        <f>J237/COUNTIF($B:$B,B237)</f>
        <v/>
      </c>
      <c r="M237" s="5" t="n">
        <v>0.6</v>
      </c>
      <c r="N237" s="5" t="n">
        <v>0.1</v>
      </c>
      <c r="O237" s="6">
        <f>1-(1-M237)*(1-N237)</f>
        <v/>
      </c>
      <c r="P237" s="7">
        <f>L237*O237</f>
        <v/>
      </c>
      <c r="Q237" s="2" t="inlineStr">
        <is>
          <t>Medium</t>
        </is>
      </c>
      <c r="R237" s="2" t="inlineStr">
        <is>
          <t>Moderate</t>
        </is>
      </c>
      <c r="S237" s="2" t="inlineStr">
        <is>
          <t>Yes</t>
        </is>
      </c>
      <c r="T237" s="2" t="inlineStr">
        <is>
          <t>Structured data must be available</t>
        </is>
      </c>
      <c r="U237" s="2" t="inlineStr">
        <is>
          <t>None</t>
        </is>
      </c>
      <c r="V237" s="2" t="inlineStr">
        <is>
          <t>N/A</t>
        </is>
      </c>
      <c r="W237" s="2" t="inlineStr"/>
    </row>
    <row r="238">
      <c r="A238" s="2" t="inlineStr">
        <is>
          <t>BM</t>
        </is>
      </c>
      <c r="B238" s="2" t="inlineStr">
        <is>
          <t>BM-07</t>
        </is>
      </c>
      <c r="C238" s="2" t="inlineStr">
        <is>
          <t>BM-07.1.2</t>
        </is>
      </c>
      <c r="D238" s="8" t="inlineStr">
        <is>
          <t>Medium</t>
        </is>
      </c>
      <c r="E238" s="2" t="inlineStr">
        <is>
          <t>Design review cycle schedule — pink, red, gold review timing, reviewer allocation, feedback turnaround expectations</t>
        </is>
      </c>
      <c r="F238" s="2" t="inlineStr">
        <is>
          <t>AI proposes options based on requirements. Human makes design decisions.</t>
        </is>
      </c>
      <c r="G238" s="2" t="inlineStr">
        <is>
          <t>Upstream BM-07 outputs</t>
        </is>
      </c>
      <c r="H238" s="2" t="inlineStr">
        <is>
          <t>Decision velocity: AI draft available immediately for human refinement</t>
        </is>
      </c>
      <c r="I238" s="2" t="inlineStr">
        <is>
          <t>Bid Manager</t>
        </is>
      </c>
      <c r="J238" s="2" t="n">
        <v>3</v>
      </c>
      <c r="K238" s="2" t="n">
        <v>1</v>
      </c>
      <c r="L238" s="4">
        <f>J238/COUNTIF($B:$B,B238)</f>
        <v/>
      </c>
      <c r="M238" s="5" t="n">
        <v>0.35</v>
      </c>
      <c r="N238" s="5" t="n">
        <v>0.1</v>
      </c>
      <c r="O238" s="6">
        <f>1-(1-M238)*(1-N238)</f>
        <v/>
      </c>
      <c r="P238" s="7">
        <f>L238*O238</f>
        <v/>
      </c>
      <c r="Q238" s="2" t="inlineStr">
        <is>
          <t>Medium</t>
        </is>
      </c>
      <c r="R238" s="2" t="inlineStr">
        <is>
          <t>Moderate</t>
        </is>
      </c>
      <c r="S238" s="2" t="inlineStr">
        <is>
          <t>Moderate</t>
        </is>
      </c>
      <c r="T238" s="2" t="inlineStr">
        <is>
          <t>Domain judgement required for validation</t>
        </is>
      </c>
      <c r="U238" s="2" t="inlineStr">
        <is>
          <t>None</t>
        </is>
      </c>
      <c r="V238" s="2" t="inlineStr">
        <is>
          <t>N/A</t>
        </is>
      </c>
      <c r="W238" s="2" t="inlineStr"/>
    </row>
    <row r="239">
      <c r="A239" s="2" t="inlineStr">
        <is>
          <t>BM</t>
        </is>
      </c>
      <c r="B239" s="2" t="inlineStr">
        <is>
          <t>BM-08</t>
        </is>
      </c>
      <c r="C239" s="2" t="inlineStr">
        <is>
          <t>BM-08.1.1</t>
        </is>
      </c>
      <c r="D239" s="8" t="inlineStr">
        <is>
          <t>Medium</t>
        </is>
      </c>
      <c r="E239" s="2" t="inlineStr">
        <is>
          <t>Establish bid-phase communications plan — internal reporting, stakeholder updates, decision log, escalation procedures</t>
        </is>
      </c>
      <c r="F239" s="2" t="inlineStr">
        <is>
          <t>AI drafts plan from upstream outputs. Human validates and refines.</t>
        </is>
      </c>
      <c r="G239" s="2" t="inlineStr">
        <is>
          <t>Upstream BM-08 outputs</t>
        </is>
      </c>
      <c r="H239" s="2" t="inlineStr">
        <is>
          <t>Decision velocity: AI draft available immediately for human refinement</t>
        </is>
      </c>
      <c r="I239" s="2" t="inlineStr">
        <is>
          <t>Bid Manager</t>
        </is>
      </c>
      <c r="J239" s="2" t="n">
        <v>2</v>
      </c>
      <c r="K239" s="2" t="n">
        <v>1</v>
      </c>
      <c r="L239" s="4">
        <f>J239/COUNTIF($B:$B,B239)</f>
        <v/>
      </c>
      <c r="M239" s="5" t="n">
        <v>0.35</v>
      </c>
      <c r="N239" s="5" t="n">
        <v>0.1</v>
      </c>
      <c r="O239" s="6">
        <f>1-(1-M239)*(1-N239)</f>
        <v/>
      </c>
      <c r="P239" s="7">
        <f>L239*O239</f>
        <v/>
      </c>
      <c r="Q239" s="2" t="inlineStr">
        <is>
          <t>Medium</t>
        </is>
      </c>
      <c r="R239" s="2" t="inlineStr">
        <is>
          <t>Moderate</t>
        </is>
      </c>
      <c r="S239" s="2" t="inlineStr">
        <is>
          <t>Moderate</t>
        </is>
      </c>
      <c r="T239" s="2" t="inlineStr">
        <is>
          <t>Domain judgement required for validation</t>
        </is>
      </c>
      <c r="U239" s="2" t="inlineStr">
        <is>
          <t>None</t>
        </is>
      </c>
      <c r="V239" s="2" t="inlineStr">
        <is>
          <t>N/A</t>
        </is>
      </c>
      <c r="W239" s="2" t="inlineStr"/>
    </row>
    <row r="240">
      <c r="A240" s="2" t="inlineStr">
        <is>
          <t>BM</t>
        </is>
      </c>
      <c r="B240" s="2" t="inlineStr">
        <is>
          <t>BM-09</t>
        </is>
      </c>
      <c r="C240" s="2" t="inlineStr">
        <is>
          <t>BM-09.1.1</t>
        </is>
      </c>
      <c r="D240" s="8" t="inlineStr">
        <is>
          <t>Medium</t>
        </is>
      </c>
      <c r="E240" s="2" t="inlineStr">
        <is>
          <t>Prepare dialogue packs per round — presentation materials, discussion topics, questions, negotiation positions, team briefing</t>
        </is>
      </c>
      <c r="F240" s="2" t="inlineStr">
        <is>
          <t>AI accelerates with draft/analysis. Human applies domain judgement.</t>
        </is>
      </c>
      <c r="G240" s="2" t="inlineStr">
        <is>
          <t>Upstream BM-09 outputs</t>
        </is>
      </c>
      <c r="H240" s="2" t="inlineStr">
        <is>
          <t>Decision velocity: AI draft available immediately for human refinement</t>
        </is>
      </c>
      <c r="I240" s="2" t="inlineStr">
        <is>
          <t>Bid Manager</t>
        </is>
      </c>
      <c r="J240" s="2" t="n">
        <v>0</v>
      </c>
      <c r="K240" s="2" t="n">
        <v>2</v>
      </c>
      <c r="L240" s="4">
        <f>J240/COUNTIF($B:$B,B240)</f>
        <v/>
      </c>
      <c r="M240" s="5" t="n">
        <v>0.35</v>
      </c>
      <c r="N240" s="5" t="n">
        <v>0.1</v>
      </c>
      <c r="O240" s="6">
        <f>1-(1-M240)*(1-N240)</f>
        <v/>
      </c>
      <c r="P240" s="7">
        <f>L240*O240</f>
        <v/>
      </c>
      <c r="Q240" s="2" t="inlineStr">
        <is>
          <t>Medium</t>
        </is>
      </c>
      <c r="R240" s="2" t="inlineStr">
        <is>
          <t>Moderate</t>
        </is>
      </c>
      <c r="S240" s="2" t="inlineStr">
        <is>
          <t>Moderate</t>
        </is>
      </c>
      <c r="T240" s="2" t="inlineStr">
        <is>
          <t>Domain judgement required for validation</t>
        </is>
      </c>
      <c r="U240" s="2" t="inlineStr">
        <is>
          <t>None</t>
        </is>
      </c>
      <c r="V240" s="2" t="inlineStr">
        <is>
          <t>N/A</t>
        </is>
      </c>
      <c r="W240" s="2" t="inlineStr"/>
    </row>
    <row r="241">
      <c r="A241" s="2" t="inlineStr">
        <is>
          <t>BM</t>
        </is>
      </c>
      <c r="B241" s="2" t="inlineStr">
        <is>
          <t>BM-09</t>
        </is>
      </c>
      <c r="C241" s="2" t="inlineStr">
        <is>
          <t>BM-09.1.2</t>
        </is>
      </c>
      <c r="D241" s="9" t="inlineStr">
        <is>
          <t>Low</t>
        </is>
      </c>
      <c r="E241" s="2" t="inlineStr">
        <is>
          <t>Record dialogue outcomes, track iterations, and update solution/commercial per round</t>
        </is>
      </c>
      <c r="F241" s="2" t="inlineStr">
        <is>
          <t>AI provides minimal preparation support. Task is fundamentally human.</t>
        </is>
      </c>
      <c r="G241" s="2" t="inlineStr">
        <is>
          <t>Upstream BM-09 outputs</t>
        </is>
      </c>
      <c r="H241" s="2" t="inlineStr">
        <is>
          <t>Minimal: Preparation support only</t>
        </is>
      </c>
      <c r="I241" s="2" t="inlineStr">
        <is>
          <t>Bid Manager</t>
        </is>
      </c>
      <c r="J241" s="2" t="n">
        <v>0</v>
      </c>
      <c r="K241" s="2" t="n">
        <v>2</v>
      </c>
      <c r="L241" s="4">
        <f>J241/COUNTIF($B:$B,B241)</f>
        <v/>
      </c>
      <c r="M241" s="5" t="n">
        <v>0.1</v>
      </c>
      <c r="N241" s="5" t="n">
        <v>0.1</v>
      </c>
      <c r="O241" s="6">
        <f>1-(1-M241)*(1-N241)</f>
        <v/>
      </c>
      <c r="P241" s="7">
        <f>L241*O241</f>
        <v/>
      </c>
      <c r="Q241" s="2" t="inlineStr">
        <is>
          <t>Low</t>
        </is>
      </c>
      <c r="R241" s="2" t="inlineStr">
        <is>
          <t>Low</t>
        </is>
      </c>
      <c r="S241" s="2" t="inlineStr">
        <is>
          <t>Low</t>
        </is>
      </c>
      <c r="T241" s="2" t="inlineStr">
        <is>
          <t>Human relationship/judgement required</t>
        </is>
      </c>
      <c r="U241" s="2" t="inlineStr">
        <is>
          <t>None</t>
        </is>
      </c>
      <c r="V241" s="2" t="inlineStr">
        <is>
          <t>N/A</t>
        </is>
      </c>
      <c r="W241" s="2" t="inlineStr"/>
    </row>
    <row r="242">
      <c r="A242" s="2" t="inlineStr">
        <is>
          <t>BM</t>
        </is>
      </c>
      <c r="B242" s="2" t="inlineStr">
        <is>
          <t>BM-10</t>
        </is>
      </c>
      <c r="C242" s="2" t="inlineStr">
        <is>
          <t>BM-10.1.1</t>
        </is>
      </c>
      <c r="D242" s="3" t="inlineStr">
        <is>
          <t>High</t>
        </is>
      </c>
      <c r="E242" s="2" t="inlineStr">
        <is>
          <t>Develop storyboard per response section — section structure, key messages, win theme integration, evidence placement, page allocation, writer assignment</t>
        </is>
      </c>
      <c r="F242" s="2" t="inlineStr">
        <is>
          <t>AI executes task autonomously from structured inputs. Human reviews.</t>
        </is>
      </c>
      <c r="G242" s="2" t="inlineStr">
        <is>
          <t>Upstream BM-10 outputs</t>
        </is>
      </c>
      <c r="H242" s="2" t="inlineStr">
        <is>
          <t>Time reduction: Task largely automated from structured data</t>
        </is>
      </c>
      <c r="I242" s="2" t="inlineStr">
        <is>
          <t>Bid Manager</t>
        </is>
      </c>
      <c r="J242" s="2" t="n">
        <v>5</v>
      </c>
      <c r="K242" s="2" t="n">
        <v>2</v>
      </c>
      <c r="L242" s="4">
        <f>J242/COUNTIF($B:$B,B242)</f>
        <v/>
      </c>
      <c r="M242" s="5" t="n">
        <v>0.6</v>
      </c>
      <c r="N242" s="10" t="n">
        <v>0.3</v>
      </c>
      <c r="O242" s="6">
        <f>1-(1-M242)*(1-N242)</f>
        <v/>
      </c>
      <c r="P242" s="7">
        <f>L242*O242</f>
        <v/>
      </c>
      <c r="Q242" s="2" t="inlineStr">
        <is>
          <t>Medium</t>
        </is>
      </c>
      <c r="R242" s="2" t="inlineStr">
        <is>
          <t>Moderate</t>
        </is>
      </c>
      <c r="S242" s="2" t="inlineStr">
        <is>
          <t>Yes</t>
        </is>
      </c>
      <c r="T242" s="2" t="inlineStr">
        <is>
          <t>Structured data must be available</t>
        </is>
      </c>
      <c r="U242" s="2" t="inlineStr">
        <is>
          <t>Evidence Library</t>
        </is>
      </c>
      <c r="V242" s="2" t="inlineStr">
        <is>
          <t>Phase 2</t>
        </is>
      </c>
      <c r="W242" s="2" t="inlineStr"/>
    </row>
    <row r="243">
      <c r="A243" s="2" t="inlineStr">
        <is>
          <t>BM</t>
        </is>
      </c>
      <c r="B243" s="2" t="inlineStr">
        <is>
          <t>BM-10</t>
        </is>
      </c>
      <c r="C243" s="2" t="inlineStr">
        <is>
          <t>BM-10.1.2</t>
        </is>
      </c>
      <c r="D243" s="8" t="inlineStr">
        <is>
          <t>Medium</t>
        </is>
      </c>
      <c r="E243" s="2" t="inlineStr">
        <is>
          <t>Brief each writer using storyboard — confirm scope, win themes, scoring target, page budget, evidence requirements, and deadline</t>
        </is>
      </c>
      <c r="F243" s="2" t="inlineStr">
        <is>
          <t>AI accelerates with draft/analysis. Human applies domain judgement.</t>
        </is>
      </c>
      <c r="G243" s="2" t="inlineStr">
        <is>
          <t>Upstream BM-10 outputs</t>
        </is>
      </c>
      <c r="H243" s="2" t="inlineStr">
        <is>
          <t>Decision velocity: AI draft available immediately for human refinement</t>
        </is>
      </c>
      <c r="I243" s="2" t="inlineStr">
        <is>
          <t>Bid Manager</t>
        </is>
      </c>
      <c r="J243" s="2" t="n">
        <v>5</v>
      </c>
      <c r="K243" s="2" t="n">
        <v>2</v>
      </c>
      <c r="L243" s="4">
        <f>J243/COUNTIF($B:$B,B243)</f>
        <v/>
      </c>
      <c r="M243" s="5" t="n">
        <v>0.35</v>
      </c>
      <c r="N243" s="10" t="n">
        <v>0.3</v>
      </c>
      <c r="O243" s="6">
        <f>1-(1-M243)*(1-N243)</f>
        <v/>
      </c>
      <c r="P243" s="7">
        <f>L243*O243</f>
        <v/>
      </c>
      <c r="Q243" s="2" t="inlineStr">
        <is>
          <t>Medium</t>
        </is>
      </c>
      <c r="R243" s="2" t="inlineStr">
        <is>
          <t>Moderate</t>
        </is>
      </c>
      <c r="S243" s="2" t="inlineStr">
        <is>
          <t>Moderate</t>
        </is>
      </c>
      <c r="T243" s="2" t="inlineStr">
        <is>
          <t>Domain judgement required for validation</t>
        </is>
      </c>
      <c r="U243" s="2" t="inlineStr">
        <is>
          <t>Evidence Library</t>
        </is>
      </c>
      <c r="V243" s="2" t="inlineStr">
        <is>
          <t>Phase 2</t>
        </is>
      </c>
      <c r="W243" s="2" t="inlineStr"/>
    </row>
    <row r="244">
      <c r="A244" s="2" t="inlineStr">
        <is>
          <t>BM</t>
        </is>
      </c>
      <c r="B244" s="2" t="inlineStr">
        <is>
          <t>BM-10</t>
        </is>
      </c>
      <c r="C244" s="2" t="inlineStr">
        <is>
          <t>BM-10.2.1</t>
        </is>
      </c>
      <c r="D244" s="9" t="inlineStr">
        <is>
          <t>Low</t>
        </is>
      </c>
      <c r="E244" s="2" t="inlineStr">
        <is>
          <t>Review and approve storyboard — Bid Director sign-off, methodology gate passed, drafting can begin</t>
        </is>
      </c>
      <c r="F244" s="2" t="inlineStr">
        <is>
          <t>AI prepares pack/summary. Decision is human governance.</t>
        </is>
      </c>
      <c r="G244" s="2" t="inlineStr">
        <is>
          <t>Upstream BM-10 outputs</t>
        </is>
      </c>
      <c r="H244" s="2" t="inlineStr">
        <is>
          <t>Minimal: Preparation support only</t>
        </is>
      </c>
      <c r="I244" s="2" t="inlineStr">
        <is>
          <t>Bid Manager</t>
        </is>
      </c>
      <c r="J244" s="2" t="n">
        <v>5</v>
      </c>
      <c r="K244" s="2" t="n">
        <v>2</v>
      </c>
      <c r="L244" s="4">
        <f>J244/COUNTIF($B:$B,B244)</f>
        <v/>
      </c>
      <c r="M244" s="5" t="n">
        <v>0.1</v>
      </c>
      <c r="N244" s="10" t="n">
        <v>0.3</v>
      </c>
      <c r="O244" s="6">
        <f>1-(1-M244)*(1-N244)</f>
        <v/>
      </c>
      <c r="P244" s="7">
        <f>L244*O244</f>
        <v/>
      </c>
      <c r="Q244" s="2" t="inlineStr">
        <is>
          <t>None</t>
        </is>
      </c>
      <c r="R244" s="2" t="inlineStr">
        <is>
          <t>Low</t>
        </is>
      </c>
      <c r="S244" s="2" t="inlineStr">
        <is>
          <t>Low</t>
        </is>
      </c>
      <c r="T244" s="2" t="inlineStr">
        <is>
          <t>Governance decision is human</t>
        </is>
      </c>
      <c r="U244" s="2" t="inlineStr">
        <is>
          <t>None</t>
        </is>
      </c>
      <c r="V244" s="2" t="inlineStr">
        <is>
          <t>Phase 2</t>
        </is>
      </c>
      <c r="W244" s="2" t="inlineStr"/>
    </row>
    <row r="245">
      <c r="A245" s="2" t="inlineStr">
        <is>
          <t>BM</t>
        </is>
      </c>
      <c r="B245" s="2" t="inlineStr">
        <is>
          <t>BM-11</t>
        </is>
      </c>
      <c r="C245" s="2" t="inlineStr">
        <is>
          <t>BM-11.1.1</t>
        </is>
      </c>
      <c r="D245" s="9" t="inlineStr">
        <is>
          <t>Low</t>
        </is>
      </c>
      <c r="E245" s="2" t="inlineStr">
        <is>
          <t>Conduct internal hot debrief within 48 hours of submission — what went well, what didn't, immediate process lessons, team feedback</t>
        </is>
      </c>
      <c r="F245" s="2" t="inlineStr">
        <is>
          <t>AI provides minimal preparation support. Task is fundamentally human.</t>
        </is>
      </c>
      <c r="G245" s="2" t="inlineStr">
        <is>
          <t>Upstream BM-11 outputs</t>
        </is>
      </c>
      <c r="H245" s="2" t="inlineStr">
        <is>
          <t>Minimal: Preparation support only</t>
        </is>
      </c>
      <c r="I245" s="2" t="inlineStr">
        <is>
          <t>Bid Manager</t>
        </is>
      </c>
      <c r="J245" s="2" t="n">
        <v>1</v>
      </c>
      <c r="K245" s="2" t="n">
        <v>1</v>
      </c>
      <c r="L245" s="4">
        <f>J245/COUNTIF($B:$B,B245)</f>
        <v/>
      </c>
      <c r="M245" s="5" t="n">
        <v>0.1</v>
      </c>
      <c r="N245" s="5" t="n">
        <v>0.1</v>
      </c>
      <c r="O245" s="6">
        <f>1-(1-M245)*(1-N245)</f>
        <v/>
      </c>
      <c r="P245" s="7">
        <f>L245*O245</f>
        <v/>
      </c>
      <c r="Q245" s="2" t="inlineStr">
        <is>
          <t>Low</t>
        </is>
      </c>
      <c r="R245" s="2" t="inlineStr">
        <is>
          <t>Low</t>
        </is>
      </c>
      <c r="S245" s="2" t="inlineStr">
        <is>
          <t>Low</t>
        </is>
      </c>
      <c r="T245" s="2" t="inlineStr">
        <is>
          <t>Human relationship/judgement required</t>
        </is>
      </c>
      <c r="U245" s="2" t="inlineStr">
        <is>
          <t>None</t>
        </is>
      </c>
      <c r="V245" s="2" t="inlineStr">
        <is>
          <t>N/A</t>
        </is>
      </c>
      <c r="W245" s="2" t="inlineStr"/>
    </row>
    <row r="246">
      <c r="A246" s="2" t="inlineStr">
        <is>
          <t>BM</t>
        </is>
      </c>
      <c r="B246" s="2" t="inlineStr">
        <is>
          <t>BM-12</t>
        </is>
      </c>
      <c r="C246" s="2" t="inlineStr">
        <is>
          <t>BM-12.1.1</t>
        </is>
      </c>
      <c r="D246" s="3" t="inlineStr">
        <is>
          <t>High</t>
        </is>
      </c>
      <c r="E246" s="2" t="inlineStr">
        <is>
          <t>Request and attend formal client debrief — capture scoring, evaluator feedback, and improvement areas</t>
        </is>
      </c>
      <c r="F246" s="2" t="inlineStr">
        <is>
          <t>AI executes task autonomously from structured inputs. Human reviews.</t>
        </is>
      </c>
      <c r="G246" s="2" t="inlineStr">
        <is>
          <t>Upstream BM-12 outputs</t>
        </is>
      </c>
      <c r="H246" s="2" t="inlineStr">
        <is>
          <t>Time reduction: Task largely automated from structured data</t>
        </is>
      </c>
      <c r="I246" s="2" t="inlineStr">
        <is>
          <t>Bid Manager</t>
        </is>
      </c>
      <c r="J246" s="2" t="n">
        <v>3</v>
      </c>
      <c r="K246" s="2" t="n">
        <v>1</v>
      </c>
      <c r="L246" s="4">
        <f>J246/COUNTIF($B:$B,B246)</f>
        <v/>
      </c>
      <c r="M246" s="5" t="n">
        <v>0.6</v>
      </c>
      <c r="N246" s="5" t="n">
        <v>0.1</v>
      </c>
      <c r="O246" s="6">
        <f>1-(1-M246)*(1-N246)</f>
        <v/>
      </c>
      <c r="P246" s="7">
        <f>L246*O246</f>
        <v/>
      </c>
      <c r="Q246" s="2" t="inlineStr">
        <is>
          <t>Medium</t>
        </is>
      </c>
      <c r="R246" s="2" t="inlineStr">
        <is>
          <t>Moderate</t>
        </is>
      </c>
      <c r="S246" s="2" t="inlineStr">
        <is>
          <t>Yes</t>
        </is>
      </c>
      <c r="T246" s="2" t="inlineStr">
        <is>
          <t>Structured data must be available</t>
        </is>
      </c>
      <c r="U246" s="2" t="inlineStr">
        <is>
          <t>None</t>
        </is>
      </c>
      <c r="V246" s="2" t="inlineStr">
        <is>
          <t>N/A</t>
        </is>
      </c>
      <c r="W246" s="2" t="inlineStr"/>
    </row>
    <row r="247">
      <c r="A247" s="2" t="inlineStr">
        <is>
          <t>BM</t>
        </is>
      </c>
      <c r="B247" s="2" t="inlineStr">
        <is>
          <t>BM-12</t>
        </is>
      </c>
      <c r="C247" s="2" t="inlineStr">
        <is>
          <t>BM-12.1.2</t>
        </is>
      </c>
      <c r="D247" s="8" t="inlineStr">
        <is>
          <t>Medium</t>
        </is>
      </c>
      <c r="E247" s="2" t="inlineStr">
        <is>
          <t>Conduct internal lessons learned review with full bid team — process, strategy, solution, commercial, and team performance</t>
        </is>
      </c>
      <c r="F247" s="2" t="inlineStr">
        <is>
          <t>AI provides analysis and assessment. Human validates with judgement.</t>
        </is>
      </c>
      <c r="G247" s="2" t="inlineStr">
        <is>
          <t>Upstream BM-12 outputs</t>
        </is>
      </c>
      <c r="H247" s="2" t="inlineStr">
        <is>
          <t>Decision velocity: AI draft available immediately for human refinement</t>
        </is>
      </c>
      <c r="I247" s="2" t="inlineStr">
        <is>
          <t>Bid Manager</t>
        </is>
      </c>
      <c r="J247" s="2" t="n">
        <v>3</v>
      </c>
      <c r="K247" s="2" t="n">
        <v>1</v>
      </c>
      <c r="L247" s="4">
        <f>J247/COUNTIF($B:$B,B247)</f>
        <v/>
      </c>
      <c r="M247" s="5" t="n">
        <v>0.35</v>
      </c>
      <c r="N247" s="5" t="n">
        <v>0.1</v>
      </c>
      <c r="O247" s="6">
        <f>1-(1-M247)*(1-N247)</f>
        <v/>
      </c>
      <c r="P247" s="7">
        <f>L247*O247</f>
        <v/>
      </c>
      <c r="Q247" s="2" t="inlineStr">
        <is>
          <t>Medium</t>
        </is>
      </c>
      <c r="R247" s="2" t="inlineStr">
        <is>
          <t>Moderate</t>
        </is>
      </c>
      <c r="S247" s="2" t="inlineStr">
        <is>
          <t>Moderate</t>
        </is>
      </c>
      <c r="T247" s="2" t="inlineStr">
        <is>
          <t>Domain judgement required for validation</t>
        </is>
      </c>
      <c r="U247" s="2" t="inlineStr">
        <is>
          <t>None</t>
        </is>
      </c>
      <c r="V247" s="2" t="inlineStr">
        <is>
          <t>N/A</t>
        </is>
      </c>
      <c r="W247" s="2" t="inlineStr"/>
    </row>
    <row r="248">
      <c r="A248" s="2" t="inlineStr">
        <is>
          <t>BM</t>
        </is>
      </c>
      <c r="B248" s="2" t="inlineStr">
        <is>
          <t>BM-12</t>
        </is>
      </c>
      <c r="C248" s="2" t="inlineStr">
        <is>
          <t>BM-12.1.3</t>
        </is>
      </c>
      <c r="D248" s="9" t="inlineStr">
        <is>
          <t>Low</t>
        </is>
      </c>
      <c r="E248" s="2" t="inlineStr">
        <is>
          <t>Update content library with new case studies, evidence, and reusable content from this bid</t>
        </is>
      </c>
      <c r="F248" s="2" t="inlineStr">
        <is>
          <t>AI provides minimal preparation support. Task is fundamentally human.</t>
        </is>
      </c>
      <c r="G248" s="2" t="inlineStr">
        <is>
          <t>Upstream BM-12 outputs</t>
        </is>
      </c>
      <c r="H248" s="2" t="inlineStr">
        <is>
          <t>Minimal: Preparation support only</t>
        </is>
      </c>
      <c r="I248" s="2" t="inlineStr">
        <is>
          <t>Bid Manager</t>
        </is>
      </c>
      <c r="J248" s="2" t="n">
        <v>3</v>
      </c>
      <c r="K248" s="2" t="n">
        <v>1</v>
      </c>
      <c r="L248" s="4">
        <f>J248/COUNTIF($B:$B,B248)</f>
        <v/>
      </c>
      <c r="M248" s="5" t="n">
        <v>0.1</v>
      </c>
      <c r="N248" s="5" t="n">
        <v>0.1</v>
      </c>
      <c r="O248" s="6">
        <f>1-(1-M248)*(1-N248)</f>
        <v/>
      </c>
      <c r="P248" s="7">
        <f>L248*O248</f>
        <v/>
      </c>
      <c r="Q248" s="2" t="inlineStr">
        <is>
          <t>Low</t>
        </is>
      </c>
      <c r="R248" s="2" t="inlineStr">
        <is>
          <t>Low</t>
        </is>
      </c>
      <c r="S248" s="2" t="inlineStr">
        <is>
          <t>Low</t>
        </is>
      </c>
      <c r="T248" s="2" t="inlineStr">
        <is>
          <t>Human relationship/judgement required</t>
        </is>
      </c>
      <c r="U248" s="2" t="inlineStr">
        <is>
          <t>Evidence Library</t>
        </is>
      </c>
      <c r="V248" s="2" t="inlineStr">
        <is>
          <t>N/A</t>
        </is>
      </c>
      <c r="W248" s="2" t="inlineStr"/>
    </row>
    <row r="249">
      <c r="A249" s="2" t="inlineStr">
        <is>
          <t>BM</t>
        </is>
      </c>
      <c r="B249" s="2" t="inlineStr">
        <is>
          <t>BM-13</t>
        </is>
      </c>
      <c r="C249" s="2" t="inlineStr">
        <is>
          <t>BM-13.1.1</t>
        </is>
      </c>
      <c r="D249" s="3" t="inlineStr">
        <is>
          <t>High</t>
        </is>
      </c>
      <c r="E249" s="2" t="inlineStr">
        <is>
          <t>Consolidate all workstream risk registers into the single bid risk register — solution, commercial, delivery, legal, plus bid process risks</t>
        </is>
      </c>
      <c r="F249" s="2" t="inlineStr">
        <is>
          <t>AI consolidates upstream outputs into structured document automatically</t>
        </is>
      </c>
      <c r="G249" s="2" t="inlineStr">
        <is>
          <t>Upstream BM-13 outputs</t>
        </is>
      </c>
      <c r="H249" s="2" t="inlineStr">
        <is>
          <t>Time reduction: Task largely automated from structured data</t>
        </is>
      </c>
      <c r="I249" s="2" t="inlineStr">
        <is>
          <t>Bid Manager</t>
        </is>
      </c>
      <c r="J249" s="2" t="n">
        <v>0</v>
      </c>
      <c r="K249" s="2" t="n">
        <v>1</v>
      </c>
      <c r="L249" s="4">
        <f>J249/COUNTIF($B:$B,B249)</f>
        <v/>
      </c>
      <c r="M249" s="5" t="n">
        <v>0.6</v>
      </c>
      <c r="N249" s="5" t="n">
        <v>0.1</v>
      </c>
      <c r="O249" s="6">
        <f>1-(1-M249)*(1-N249)</f>
        <v/>
      </c>
      <c r="P249" s="7">
        <f>L249*O249</f>
        <v/>
      </c>
      <c r="Q249" s="2" t="inlineStr">
        <is>
          <t>Medium</t>
        </is>
      </c>
      <c r="R249" s="2" t="inlineStr">
        <is>
          <t>Moderate</t>
        </is>
      </c>
      <c r="S249" s="2" t="inlineStr">
        <is>
          <t>Yes</t>
        </is>
      </c>
      <c r="T249" s="2" t="inlineStr">
        <is>
          <t>Structured data must be available</t>
        </is>
      </c>
      <c r="U249" s="2" t="inlineStr">
        <is>
          <t>None</t>
        </is>
      </c>
      <c r="V249" s="2" t="inlineStr">
        <is>
          <t>Phase 5</t>
        </is>
      </c>
      <c r="W249" s="2" t="inlineStr"/>
    </row>
    <row r="250">
      <c r="A250" s="2" t="inlineStr">
        <is>
          <t>BM</t>
        </is>
      </c>
      <c r="B250" s="2" t="inlineStr">
        <is>
          <t>BM-13</t>
        </is>
      </c>
      <c r="C250" s="2" t="inlineStr">
        <is>
          <t>BM-13.1.2</t>
        </is>
      </c>
      <c r="D250" s="8" t="inlineStr">
        <is>
          <t>Medium</t>
        </is>
      </c>
      <c r="E250" s="2" t="inlineStr">
        <is>
          <t>Maintain and prepare for governance — living document, updated at key milestones, governance-ready summary</t>
        </is>
      </c>
      <c r="F250" s="2" t="inlineStr">
        <is>
          <t>AI accelerates with draft/analysis. Human applies domain judgement.</t>
        </is>
      </c>
      <c r="G250" s="2" t="inlineStr">
        <is>
          <t>Upstream BM-13 outputs</t>
        </is>
      </c>
      <c r="H250" s="2" t="inlineStr">
        <is>
          <t>Decision velocity: AI draft available immediately for human refinement</t>
        </is>
      </c>
      <c r="I250" s="2" t="inlineStr">
        <is>
          <t>Bid Manager</t>
        </is>
      </c>
      <c r="J250" s="2" t="n">
        <v>0</v>
      </c>
      <c r="K250" s="2" t="n">
        <v>1</v>
      </c>
      <c r="L250" s="4">
        <f>J250/COUNTIF($B:$B,B250)</f>
        <v/>
      </c>
      <c r="M250" s="5" t="n">
        <v>0.35</v>
      </c>
      <c r="N250" s="5" t="n">
        <v>0.1</v>
      </c>
      <c r="O250" s="6">
        <f>1-(1-M250)*(1-N250)</f>
        <v/>
      </c>
      <c r="P250" s="7">
        <f>L250*O250</f>
        <v/>
      </c>
      <c r="Q250" s="2" t="inlineStr">
        <is>
          <t>Medium</t>
        </is>
      </c>
      <c r="R250" s="2" t="inlineStr">
        <is>
          <t>Moderate</t>
        </is>
      </c>
      <c r="S250" s="2" t="inlineStr">
        <is>
          <t>Moderate</t>
        </is>
      </c>
      <c r="T250" s="2" t="inlineStr">
        <is>
          <t>Domain judgement required for validation</t>
        </is>
      </c>
      <c r="U250" s="2" t="inlineStr">
        <is>
          <t>None</t>
        </is>
      </c>
      <c r="V250" s="2" t="inlineStr">
        <is>
          <t>Phase 5</t>
        </is>
      </c>
      <c r="W250" s="2" t="inlineStr"/>
    </row>
    <row r="251">
      <c r="A251" s="2" t="inlineStr">
        <is>
          <t>BM</t>
        </is>
      </c>
      <c r="B251" s="2" t="inlineStr">
        <is>
          <t>BM-14</t>
        </is>
      </c>
      <c r="C251" s="2" t="inlineStr">
        <is>
          <t>BM-14.1.1</t>
        </is>
      </c>
      <c r="D251" s="3" t="inlineStr">
        <is>
          <t>High</t>
        </is>
      </c>
      <c r="E251" s="2" t="inlineStr">
        <is>
          <t>Submit clarification questions per SAL-07 strategy and timing plan — manage portal submissions, track deadlines</t>
        </is>
      </c>
      <c r="F251" s="2" t="inlineStr">
        <is>
          <t>AI automates tracking from structured data sources</t>
        </is>
      </c>
      <c r="G251" s="2" t="inlineStr">
        <is>
          <t>Upstream BM-14 outputs</t>
        </is>
      </c>
      <c r="H251" s="2" t="inlineStr">
        <is>
          <t>Time reduction: Task largely automated from structured data</t>
        </is>
      </c>
      <c r="I251" s="2" t="inlineStr">
        <is>
          <t>Bid Manager</t>
        </is>
      </c>
      <c r="J251" s="2" t="n">
        <v>5</v>
      </c>
      <c r="K251" s="2" t="n">
        <v>1</v>
      </c>
      <c r="L251" s="4">
        <f>J251/COUNTIF($B:$B,B251)</f>
        <v/>
      </c>
      <c r="M251" s="5" t="n">
        <v>0.6</v>
      </c>
      <c r="N251" s="5" t="n">
        <v>0.15</v>
      </c>
      <c r="O251" s="6">
        <f>1-(1-M251)*(1-N251)</f>
        <v/>
      </c>
      <c r="P251" s="7">
        <f>L251*O251</f>
        <v/>
      </c>
      <c r="Q251" s="2" t="inlineStr">
        <is>
          <t>Medium</t>
        </is>
      </c>
      <c r="R251" s="2" t="inlineStr">
        <is>
          <t>Moderate</t>
        </is>
      </c>
      <c r="S251" s="2" t="inlineStr">
        <is>
          <t>Yes</t>
        </is>
      </c>
      <c r="T251" s="2" t="inlineStr">
        <is>
          <t>Structured data must be available</t>
        </is>
      </c>
      <c r="U251" s="2" t="inlineStr">
        <is>
          <t>None</t>
        </is>
      </c>
      <c r="V251" s="2" t="inlineStr">
        <is>
          <t>N/A</t>
        </is>
      </c>
      <c r="W251" s="2" t="inlineStr"/>
    </row>
    <row r="252">
      <c r="A252" s="2" t="inlineStr">
        <is>
          <t>BM</t>
        </is>
      </c>
      <c r="B252" s="2" t="inlineStr">
        <is>
          <t>BM-14</t>
        </is>
      </c>
      <c r="C252" s="2" t="inlineStr">
        <is>
          <t>BM-14.1.2</t>
        </is>
      </c>
      <c r="D252" s="8" t="inlineStr">
        <is>
          <t>Medium</t>
        </is>
      </c>
      <c r="E252" s="2" t="inlineStr">
        <is>
          <t>Track and distribute clarification responses — log all responses, distribute to relevant workstreams, flag responses that change assumptions</t>
        </is>
      </c>
      <c r="F252" s="2" t="inlineStr">
        <is>
          <t>AI accelerates with draft/analysis. Human applies domain judgement.</t>
        </is>
      </c>
      <c r="G252" s="2" t="inlineStr">
        <is>
          <t>Upstream BM-14 outputs</t>
        </is>
      </c>
      <c r="H252" s="2" t="inlineStr">
        <is>
          <t>Decision velocity: AI draft available immediately for human refinement</t>
        </is>
      </c>
      <c r="I252" s="2" t="inlineStr">
        <is>
          <t>Bid Manager</t>
        </is>
      </c>
      <c r="J252" s="2" t="n">
        <v>5</v>
      </c>
      <c r="K252" s="2" t="n">
        <v>1</v>
      </c>
      <c r="L252" s="4">
        <f>J252/COUNTIF($B:$B,B252)</f>
        <v/>
      </c>
      <c r="M252" s="5" t="n">
        <v>0.35</v>
      </c>
      <c r="N252" s="5" t="n">
        <v>0.15</v>
      </c>
      <c r="O252" s="6">
        <f>1-(1-M252)*(1-N252)</f>
        <v/>
      </c>
      <c r="P252" s="7">
        <f>L252*O252</f>
        <v/>
      </c>
      <c r="Q252" s="2" t="inlineStr">
        <is>
          <t>Medium</t>
        </is>
      </c>
      <c r="R252" s="2" t="inlineStr">
        <is>
          <t>Moderate</t>
        </is>
      </c>
      <c r="S252" s="2" t="inlineStr">
        <is>
          <t>Moderate</t>
        </is>
      </c>
      <c r="T252" s="2" t="inlineStr">
        <is>
          <t>Domain judgement required for validation</t>
        </is>
      </c>
      <c r="U252" s="2" t="inlineStr">
        <is>
          <t>None</t>
        </is>
      </c>
      <c r="V252" s="2" t="inlineStr">
        <is>
          <t>N/A</t>
        </is>
      </c>
      <c r="W252" s="2" t="inlineStr"/>
    </row>
    <row r="253">
      <c r="A253" s="2" t="inlineStr">
        <is>
          <t>BM</t>
        </is>
      </c>
      <c r="B253" s="2" t="inlineStr">
        <is>
          <t>BM-15</t>
        </is>
      </c>
      <c r="C253" s="2" t="inlineStr">
        <is>
          <t>BM-15.1.1</t>
        </is>
      </c>
      <c r="D253" s="3" t="inlineStr">
        <is>
          <t>High</t>
        </is>
      </c>
      <c r="E253" s="2" t="inlineStr">
        <is>
          <t>Triage flagged clarification responses — assess impact on solution, commercial, delivery, legal, and compliance workstreams</t>
        </is>
      </c>
      <c r="F253" s="2" t="inlineStr">
        <is>
          <t>AI executes task autonomously from structured inputs. Human reviews.</t>
        </is>
      </c>
      <c r="G253" s="2" t="inlineStr">
        <is>
          <t>Upstream BM-15 outputs</t>
        </is>
      </c>
      <c r="H253" s="2" t="inlineStr">
        <is>
          <t>Time reduction: Task largely automated from structured data</t>
        </is>
      </c>
      <c r="I253" s="2" t="inlineStr">
        <is>
          <t>Bid Manager</t>
        </is>
      </c>
      <c r="J253" s="2" t="n">
        <v>3</v>
      </c>
      <c r="K253" s="2" t="n">
        <v>2</v>
      </c>
      <c r="L253" s="4">
        <f>J253/COUNTIF($B:$B,B253)</f>
        <v/>
      </c>
      <c r="M253" s="5" t="n">
        <v>0.6</v>
      </c>
      <c r="N253" s="5" t="n">
        <v>0.15</v>
      </c>
      <c r="O253" s="6">
        <f>1-(1-M253)*(1-N253)</f>
        <v/>
      </c>
      <c r="P253" s="7">
        <f>L253*O253</f>
        <v/>
      </c>
      <c r="Q253" s="2" t="inlineStr">
        <is>
          <t>Medium</t>
        </is>
      </c>
      <c r="R253" s="2" t="inlineStr">
        <is>
          <t>Moderate</t>
        </is>
      </c>
      <c r="S253" s="2" t="inlineStr">
        <is>
          <t>Yes</t>
        </is>
      </c>
      <c r="T253" s="2" t="inlineStr">
        <is>
          <t>Structured data must be available</t>
        </is>
      </c>
      <c r="U253" s="2" t="inlineStr">
        <is>
          <t>None</t>
        </is>
      </c>
      <c r="V253" s="2" t="inlineStr">
        <is>
          <t>Phase 5</t>
        </is>
      </c>
      <c r="W253" s="2" t="inlineStr"/>
    </row>
    <row r="254">
      <c r="A254" s="2" t="inlineStr">
        <is>
          <t>BM</t>
        </is>
      </c>
      <c r="B254" s="2" t="inlineStr">
        <is>
          <t>BM-15</t>
        </is>
      </c>
      <c r="C254" s="2" t="inlineStr">
        <is>
          <t>BM-15.1.2</t>
        </is>
      </c>
      <c r="D254" s="8" t="inlineStr">
        <is>
          <t>Medium</t>
        </is>
      </c>
      <c r="E254" s="2" t="inlineStr">
        <is>
          <t>Drive workstream updates — ensure affected solution, commercial, or legal positions are updated and track resolution</t>
        </is>
      </c>
      <c r="F254" s="2" t="inlineStr">
        <is>
          <t>AI accelerates with draft/analysis. Human applies domain judgement.</t>
        </is>
      </c>
      <c r="G254" s="2" t="inlineStr">
        <is>
          <t>Upstream BM-15 outputs</t>
        </is>
      </c>
      <c r="H254" s="2" t="inlineStr">
        <is>
          <t>Decision velocity: AI draft available immediately for human refinement</t>
        </is>
      </c>
      <c r="I254" s="2" t="inlineStr">
        <is>
          <t>Bid Manager</t>
        </is>
      </c>
      <c r="J254" s="2" t="n">
        <v>3</v>
      </c>
      <c r="K254" s="2" t="n">
        <v>2</v>
      </c>
      <c r="L254" s="4">
        <f>J254/COUNTIF($B:$B,B254)</f>
        <v/>
      </c>
      <c r="M254" s="5" t="n">
        <v>0.35</v>
      </c>
      <c r="N254" s="5" t="n">
        <v>0.15</v>
      </c>
      <c r="O254" s="6">
        <f>1-(1-M254)*(1-N254)</f>
        <v/>
      </c>
      <c r="P254" s="7">
        <f>L254*O254</f>
        <v/>
      </c>
      <c r="Q254" s="2" t="inlineStr">
        <is>
          <t>Medium</t>
        </is>
      </c>
      <c r="R254" s="2" t="inlineStr">
        <is>
          <t>Moderate</t>
        </is>
      </c>
      <c r="S254" s="2" t="inlineStr">
        <is>
          <t>Moderate</t>
        </is>
      </c>
      <c r="T254" s="2" t="inlineStr">
        <is>
          <t>Domain judgement required for validation</t>
        </is>
      </c>
      <c r="U254" s="2" t="inlineStr">
        <is>
          <t>None</t>
        </is>
      </c>
      <c r="V254" s="2" t="inlineStr">
        <is>
          <t>Phase 5</t>
        </is>
      </c>
      <c r="W254" s="2" t="inlineStr"/>
    </row>
    <row r="255">
      <c r="A255" s="2" t="inlineStr">
        <is>
          <t>BM</t>
        </is>
      </c>
      <c r="B255" s="2" t="inlineStr">
        <is>
          <t>BM-16</t>
        </is>
      </c>
      <c r="C255" s="2" t="inlineStr">
        <is>
          <t>BM-16.1.1</t>
        </is>
      </c>
      <c r="D255" s="8" t="inlineStr">
        <is>
          <t>Medium</t>
        </is>
      </c>
      <c r="E255" s="2" t="inlineStr">
        <is>
          <t>Refresh win strategy assessment — has anything changed since SAL-06 that affects our competitive position, win themes, or approach?</t>
        </is>
      </c>
      <c r="F255" s="2" t="inlineStr">
        <is>
          <t>AI provides analysis and assessment. Human validates with judgement.</t>
        </is>
      </c>
      <c r="G255" s="2" t="inlineStr">
        <is>
          <t>Upstream BM-16 outputs</t>
        </is>
      </c>
      <c r="H255" s="2" t="inlineStr">
        <is>
          <t>Decision velocity: AI draft available immediately for human refinement</t>
        </is>
      </c>
      <c r="I255" s="2" t="inlineStr">
        <is>
          <t>Bid Director</t>
        </is>
      </c>
      <c r="J255" s="2" t="n">
        <v>2</v>
      </c>
      <c r="K255" s="2" t="n">
        <v>1</v>
      </c>
      <c r="L255" s="4">
        <f>J255/COUNTIF($B:$B,B255)</f>
        <v/>
      </c>
      <c r="M255" s="5" t="n">
        <v>0.35</v>
      </c>
      <c r="N255" s="5" t="n">
        <v>0.15</v>
      </c>
      <c r="O255" s="6">
        <f>1-(1-M255)*(1-N255)</f>
        <v/>
      </c>
      <c r="P255" s="7">
        <f>L255*O255</f>
        <v/>
      </c>
      <c r="Q255" s="2" t="inlineStr">
        <is>
          <t>Medium</t>
        </is>
      </c>
      <c r="R255" s="2" t="inlineStr">
        <is>
          <t>Moderate</t>
        </is>
      </c>
      <c r="S255" s="2" t="inlineStr">
        <is>
          <t>Moderate</t>
        </is>
      </c>
      <c r="T255" s="2" t="inlineStr">
        <is>
          <t>Domain judgement required for validation</t>
        </is>
      </c>
      <c r="U255" s="2" t="inlineStr">
        <is>
          <t>None</t>
        </is>
      </c>
      <c r="V255" s="2" t="inlineStr">
        <is>
          <t>N/A</t>
        </is>
      </c>
      <c r="W255" s="2" t="inlineStr"/>
    </row>
    <row r="256">
      <c r="A256" s="2" t="inlineStr">
        <is>
          <t>BM</t>
        </is>
      </c>
      <c r="B256" s="2" t="inlineStr">
        <is>
          <t>BM-16</t>
        </is>
      </c>
      <c r="C256" s="2" t="inlineStr">
        <is>
          <t>BM-16.1.2</t>
        </is>
      </c>
      <c r="D256" s="9" t="inlineStr">
        <is>
          <t>Low</t>
        </is>
      </c>
      <c r="E256" s="2" t="inlineStr">
        <is>
          <t>Refresh PWIN score and confirm continue/stop decision — formal re-qualification checkpoint</t>
        </is>
      </c>
      <c r="F256" s="2" t="inlineStr">
        <is>
          <t>AI prepares pack/summary. Decision is human governance.</t>
        </is>
      </c>
      <c r="G256" s="2" t="inlineStr">
        <is>
          <t>Upstream BM-16 outputs</t>
        </is>
      </c>
      <c r="H256" s="2" t="inlineStr">
        <is>
          <t>Minimal: Preparation support only</t>
        </is>
      </c>
      <c r="I256" s="2" t="inlineStr">
        <is>
          <t>Bid Director</t>
        </is>
      </c>
      <c r="J256" s="2" t="n">
        <v>2</v>
      </c>
      <c r="K256" s="2" t="n">
        <v>1</v>
      </c>
      <c r="L256" s="4">
        <f>J256/COUNTIF($B:$B,B256)</f>
        <v/>
      </c>
      <c r="M256" s="5" t="n">
        <v>0.1</v>
      </c>
      <c r="N256" s="5" t="n">
        <v>0.15</v>
      </c>
      <c r="O256" s="6">
        <f>1-(1-M256)*(1-N256)</f>
        <v/>
      </c>
      <c r="P256" s="7">
        <f>L256*O256</f>
        <v/>
      </c>
      <c r="Q256" s="2" t="inlineStr">
        <is>
          <t>None</t>
        </is>
      </c>
      <c r="R256" s="2" t="inlineStr">
        <is>
          <t>Low</t>
        </is>
      </c>
      <c r="S256" s="2" t="inlineStr">
        <is>
          <t>Low</t>
        </is>
      </c>
      <c r="T256" s="2" t="inlineStr">
        <is>
          <t>Governance decision is human</t>
        </is>
      </c>
      <c r="U256" s="2" t="inlineStr">
        <is>
          <t>None</t>
        </is>
      </c>
      <c r="V256" s="2" t="inlineStr">
        <is>
          <t>N/A</t>
        </is>
      </c>
      <c r="W256" s="2" t="inlineStr"/>
    </row>
    <row r="257">
      <c r="A257" s="2" t="inlineStr">
        <is>
          <t>PRD</t>
        </is>
      </c>
      <c r="B257" s="2" t="inlineStr">
        <is>
          <t>PRD-01</t>
        </is>
      </c>
      <c r="C257" s="2" t="inlineStr">
        <is>
          <t>PRD-01.1.1</t>
        </is>
      </c>
      <c r="D257" s="3" t="inlineStr">
        <is>
          <t>High</t>
        </is>
      </c>
      <c r="E257" s="2" t="inlineStr">
        <is>
          <t>Map every ITT mandatory and scored requirement to the response section that addresses it — identify compliance position per requirement</t>
        </is>
      </c>
      <c r="F257" s="2" t="inlineStr">
        <is>
          <t>AI maps and cross-references data systematically</t>
        </is>
      </c>
      <c r="G257" s="2" t="inlineStr">
        <is>
          <t>Upstream PRD-01 outputs</t>
        </is>
      </c>
      <c r="H257" s="2" t="inlineStr">
        <is>
          <t>Time reduction: Task largely automated from structured data</t>
        </is>
      </c>
      <c r="I257" s="2" t="inlineStr">
        <is>
          <t>Bid Manager</t>
        </is>
      </c>
      <c r="J257" s="2" t="n">
        <v>3</v>
      </c>
      <c r="K257" s="2" t="n">
        <v>1</v>
      </c>
      <c r="L257" s="4">
        <f>J257/COUNTIF($B:$B,B257)</f>
        <v/>
      </c>
      <c r="M257" s="5" t="n">
        <v>0.6</v>
      </c>
      <c r="N257" s="10" t="n">
        <v>0.2</v>
      </c>
      <c r="O257" s="6">
        <f>1-(1-M257)*(1-N257)</f>
        <v/>
      </c>
      <c r="P257" s="7">
        <f>L257*O257</f>
        <v/>
      </c>
      <c r="Q257" s="2" t="inlineStr">
        <is>
          <t>High</t>
        </is>
      </c>
      <c r="R257" s="2" t="inlineStr">
        <is>
          <t>Yes</t>
        </is>
      </c>
      <c r="S257" s="2" t="inlineStr">
        <is>
          <t>Yes</t>
        </is>
      </c>
      <c r="T257" s="2" t="inlineStr">
        <is>
          <t>Structured data must be available</t>
        </is>
      </c>
      <c r="U257" s="2" t="inlineStr">
        <is>
          <t>ITT Document Pack</t>
        </is>
      </c>
      <c r="V257" s="2" t="inlineStr">
        <is>
          <t>Phase 1</t>
        </is>
      </c>
      <c r="W257" s="2" t="inlineStr"/>
    </row>
    <row r="258">
      <c r="A258" s="2" t="inlineStr">
        <is>
          <t>PRD</t>
        </is>
      </c>
      <c r="B258" s="2" t="inlineStr">
        <is>
          <t>PRD-01</t>
        </is>
      </c>
      <c r="C258" s="2" t="inlineStr">
        <is>
          <t>PRD-01.1.2</t>
        </is>
      </c>
      <c r="D258" s="3" t="inlineStr">
        <is>
          <t>High</t>
        </is>
      </c>
      <c r="E258" s="2" t="inlineStr">
        <is>
          <t>Maintain compliance matrix as a living document throughout the bid — update as solution, commercial, and clarification responses evolve</t>
        </is>
      </c>
      <c r="F258" s="2" t="inlineStr">
        <is>
          <t>AI executes task autonomously from structured inputs. Human reviews.</t>
        </is>
      </c>
      <c r="G258" s="2" t="inlineStr">
        <is>
          <t>Upstream PRD-01 outputs</t>
        </is>
      </c>
      <c r="H258" s="2" t="inlineStr">
        <is>
          <t>Time reduction: Task largely automated from structured data</t>
        </is>
      </c>
      <c r="I258" s="2" t="inlineStr">
        <is>
          <t>Bid Manager</t>
        </is>
      </c>
      <c r="J258" s="2" t="n">
        <v>3</v>
      </c>
      <c r="K258" s="2" t="n">
        <v>1</v>
      </c>
      <c r="L258" s="4">
        <f>J258/COUNTIF($B:$B,B258)</f>
        <v/>
      </c>
      <c r="M258" s="5" t="n">
        <v>0.6</v>
      </c>
      <c r="N258" s="10" t="n">
        <v>0.2</v>
      </c>
      <c r="O258" s="6">
        <f>1-(1-M258)*(1-N258)</f>
        <v/>
      </c>
      <c r="P258" s="7">
        <f>L258*O258</f>
        <v/>
      </c>
      <c r="Q258" s="2" t="inlineStr">
        <is>
          <t>Medium</t>
        </is>
      </c>
      <c r="R258" s="2" t="inlineStr">
        <is>
          <t>Moderate</t>
        </is>
      </c>
      <c r="S258" s="2" t="inlineStr">
        <is>
          <t>Yes</t>
        </is>
      </c>
      <c r="T258" s="2" t="inlineStr">
        <is>
          <t>Structured data must be available</t>
        </is>
      </c>
      <c r="U258" s="2" t="inlineStr">
        <is>
          <t>None</t>
        </is>
      </c>
      <c r="V258" s="2" t="inlineStr">
        <is>
          <t>Phase 1</t>
        </is>
      </c>
      <c r="W258" s="2" t="inlineStr"/>
    </row>
    <row r="259">
      <c r="A259" s="2" t="inlineStr">
        <is>
          <t>PRD</t>
        </is>
      </c>
      <c r="B259" s="2" t="inlineStr">
        <is>
          <t>PRD-02</t>
        </is>
      </c>
      <c r="C259" s="2" t="inlineStr">
        <is>
          <t>PRD-02.1.1</t>
        </is>
      </c>
      <c r="D259" s="3" t="inlineStr">
        <is>
          <t>High</t>
        </is>
      </c>
      <c r="E259" s="2" t="inlineStr">
        <is>
          <t>Produce quality/technical response section drafts — each writer follows their storyboard brief, integrates win themes, cites evidence, stays within page budget</t>
        </is>
      </c>
      <c r="F259" s="2" t="inlineStr">
        <is>
          <t>AI executes task autonomously from structured inputs. Human reviews.</t>
        </is>
      </c>
      <c r="G259" s="2" t="inlineStr">
        <is>
          <t>Upstream PRD-02 outputs</t>
        </is>
      </c>
      <c r="H259" s="2" t="inlineStr">
        <is>
          <t>Time reduction: Task largely automated from structured data</t>
        </is>
      </c>
      <c r="I259" s="2" t="inlineStr">
        <is>
          <t>Writers</t>
        </is>
      </c>
      <c r="J259" s="2" t="n">
        <v>60</v>
      </c>
      <c r="K259" s="2" t="n">
        <v>4</v>
      </c>
      <c r="L259" s="4">
        <f>J259/COUNTIF($B:$B,B259)</f>
        <v/>
      </c>
      <c r="M259" s="5" t="n">
        <v>0.6</v>
      </c>
      <c r="N259" s="10" t="n">
        <v>0.3</v>
      </c>
      <c r="O259" s="6">
        <f>1-(1-M259)*(1-N259)</f>
        <v/>
      </c>
      <c r="P259" s="7">
        <f>L259*O259</f>
        <v/>
      </c>
      <c r="Q259" s="2" t="inlineStr">
        <is>
          <t>Medium</t>
        </is>
      </c>
      <c r="R259" s="2" t="inlineStr">
        <is>
          <t>Moderate</t>
        </is>
      </c>
      <c r="S259" s="2" t="inlineStr">
        <is>
          <t>Yes</t>
        </is>
      </c>
      <c r="T259" s="2" t="inlineStr">
        <is>
          <t>Structured data must be available</t>
        </is>
      </c>
      <c r="U259" s="2" t="inlineStr">
        <is>
          <t>Evidence Library</t>
        </is>
      </c>
      <c r="V259" s="2" t="inlineStr">
        <is>
          <t>Phase 2</t>
        </is>
      </c>
      <c r="W259" s="2" t="inlineStr"/>
    </row>
    <row r="260">
      <c r="A260" s="2" t="inlineStr">
        <is>
          <t>PRD</t>
        </is>
      </c>
      <c r="B260" s="2" t="inlineStr">
        <is>
          <t>PRD-02</t>
        </is>
      </c>
      <c r="C260" s="2" t="inlineStr">
        <is>
          <t>PRD-02.1.2</t>
        </is>
      </c>
      <c r="D260" s="8" t="inlineStr">
        <is>
          <t>Medium</t>
        </is>
      </c>
      <c r="E260" s="2" t="inlineStr">
        <is>
          <t>Produce executive summary and overarching narrative — ties the response together, leads with win strategy</t>
        </is>
      </c>
      <c r="F260" s="2" t="inlineStr">
        <is>
          <t>AI produces first draft. Human refines with domain judgement.</t>
        </is>
      </c>
      <c r="G260" s="2" t="inlineStr">
        <is>
          <t>Upstream PRD-02 outputs</t>
        </is>
      </c>
      <c r="H260" s="2" t="inlineStr">
        <is>
          <t>Decision velocity: AI draft available immediately for human refinement</t>
        </is>
      </c>
      <c r="I260" s="2" t="inlineStr">
        <is>
          <t>Writers</t>
        </is>
      </c>
      <c r="J260" s="2" t="n">
        <v>60</v>
      </c>
      <c r="K260" s="2" t="n">
        <v>4</v>
      </c>
      <c r="L260" s="4">
        <f>J260/COUNTIF($B:$B,B260)</f>
        <v/>
      </c>
      <c r="M260" s="5" t="n">
        <v>0.35</v>
      </c>
      <c r="N260" s="10" t="n">
        <v>0.3</v>
      </c>
      <c r="O260" s="6">
        <f>1-(1-M260)*(1-N260)</f>
        <v/>
      </c>
      <c r="P260" s="7">
        <f>L260*O260</f>
        <v/>
      </c>
      <c r="Q260" s="2" t="inlineStr">
        <is>
          <t>Medium</t>
        </is>
      </c>
      <c r="R260" s="2" t="inlineStr">
        <is>
          <t>Moderate</t>
        </is>
      </c>
      <c r="S260" s="2" t="inlineStr">
        <is>
          <t>Moderate</t>
        </is>
      </c>
      <c r="T260" s="2" t="inlineStr">
        <is>
          <t>Domain judgement required for validation</t>
        </is>
      </c>
      <c r="U260" s="2" t="inlineStr">
        <is>
          <t>None</t>
        </is>
      </c>
      <c r="V260" s="2" t="inlineStr">
        <is>
          <t>Phase 2</t>
        </is>
      </c>
      <c r="W260" s="2" t="inlineStr"/>
    </row>
    <row r="261">
      <c r="A261" s="2" t="inlineStr">
        <is>
          <t>PRD</t>
        </is>
      </c>
      <c r="B261" s="2" t="inlineStr">
        <is>
          <t>PRD-02</t>
        </is>
      </c>
      <c r="C261" s="2" t="inlineStr">
        <is>
          <t>PRD-02.1.3</t>
        </is>
      </c>
      <c r="D261" s="8" t="inlineStr">
        <is>
          <t>Medium</t>
        </is>
      </c>
      <c r="E261" s="2" t="inlineStr">
        <is>
          <t>Bid Manager tracks drafting progress, manages writer issues, ensures programme adherence</t>
        </is>
      </c>
      <c r="F261" s="2" t="inlineStr">
        <is>
          <t>AI produces first draft. Human refines with domain judgement.</t>
        </is>
      </c>
      <c r="G261" s="2" t="inlineStr">
        <is>
          <t>Upstream PRD-02 outputs</t>
        </is>
      </c>
      <c r="H261" s="2" t="inlineStr">
        <is>
          <t>Decision velocity: AI draft available immediately for human refinement</t>
        </is>
      </c>
      <c r="I261" s="2" t="inlineStr">
        <is>
          <t>Writers</t>
        </is>
      </c>
      <c r="J261" s="2" t="n">
        <v>60</v>
      </c>
      <c r="K261" s="2" t="n">
        <v>4</v>
      </c>
      <c r="L261" s="4">
        <f>J261/COUNTIF($B:$B,B261)</f>
        <v/>
      </c>
      <c r="M261" s="5" t="n">
        <v>0.35</v>
      </c>
      <c r="N261" s="10" t="n">
        <v>0.3</v>
      </c>
      <c r="O261" s="6">
        <f>1-(1-M261)*(1-N261)</f>
        <v/>
      </c>
      <c r="P261" s="7">
        <f>L261*O261</f>
        <v/>
      </c>
      <c r="Q261" s="2" t="inlineStr">
        <is>
          <t>Medium</t>
        </is>
      </c>
      <c r="R261" s="2" t="inlineStr">
        <is>
          <t>Moderate</t>
        </is>
      </c>
      <c r="S261" s="2" t="inlineStr">
        <is>
          <t>Moderate</t>
        </is>
      </c>
      <c r="T261" s="2" t="inlineStr">
        <is>
          <t>Domain judgement required for validation</t>
        </is>
      </c>
      <c r="U261" s="2" t="inlineStr">
        <is>
          <t>None</t>
        </is>
      </c>
      <c r="V261" s="2" t="inlineStr">
        <is>
          <t>Phase 2</t>
        </is>
      </c>
      <c r="W261" s="2" t="inlineStr"/>
    </row>
    <row r="262">
      <c r="A262" s="2" t="inlineStr">
        <is>
          <t>PRD</t>
        </is>
      </c>
      <c r="B262" s="2" t="inlineStr">
        <is>
          <t>PRD-03</t>
        </is>
      </c>
      <c r="C262" s="2" t="inlineStr">
        <is>
          <t>PRD-03.1.1</t>
        </is>
      </c>
      <c r="D262" s="3" t="inlineStr">
        <is>
          <t>High</t>
        </is>
      </c>
      <c r="E262" s="2" t="inlineStr">
        <is>
          <t>Compile all evidence items — case studies, CVs, credentials, certifications, reference letters — from SOL-10 sourcing and SUP-05 partner evidence</t>
        </is>
      </c>
      <c r="F262" s="2" t="inlineStr">
        <is>
          <t>AI executes task autonomously from structured inputs. Human reviews.</t>
        </is>
      </c>
      <c r="G262" s="2" t="inlineStr">
        <is>
          <t>Upstream PRD-03 outputs</t>
        </is>
      </c>
      <c r="H262" s="2" t="inlineStr">
        <is>
          <t>Time reduction: Task largely automated from structured data</t>
        </is>
      </c>
      <c r="I262" s="2" t="inlineStr">
        <is>
          <t>Bid Coordinator</t>
        </is>
      </c>
      <c r="J262" s="2" t="n">
        <v>16</v>
      </c>
      <c r="K262" s="2" t="n">
        <v>2</v>
      </c>
      <c r="L262" s="4">
        <f>J262/COUNTIF($B:$B,B262)</f>
        <v/>
      </c>
      <c r="M262" s="5" t="n">
        <v>0.6</v>
      </c>
      <c r="N262" s="10" t="n">
        <v>0.25</v>
      </c>
      <c r="O262" s="6">
        <f>1-(1-M262)*(1-N262)</f>
        <v/>
      </c>
      <c r="P262" s="7">
        <f>L262*O262</f>
        <v/>
      </c>
      <c r="Q262" s="2" t="inlineStr">
        <is>
          <t>Medium</t>
        </is>
      </c>
      <c r="R262" s="2" t="inlineStr">
        <is>
          <t>Moderate</t>
        </is>
      </c>
      <c r="S262" s="2" t="inlineStr">
        <is>
          <t>Yes</t>
        </is>
      </c>
      <c r="T262" s="2" t="inlineStr">
        <is>
          <t>Structured data must be available</t>
        </is>
      </c>
      <c r="U262" s="2" t="inlineStr">
        <is>
          <t>Evidence Library</t>
        </is>
      </c>
      <c r="V262" s="2" t="inlineStr">
        <is>
          <t>N/A</t>
        </is>
      </c>
      <c r="W262" s="2" t="inlineStr"/>
    </row>
    <row r="263">
      <c r="A263" s="2" t="inlineStr">
        <is>
          <t>PRD</t>
        </is>
      </c>
      <c r="B263" s="2" t="inlineStr">
        <is>
          <t>PRD-03</t>
        </is>
      </c>
      <c r="C263" s="2" t="inlineStr">
        <is>
          <t>PRD-03.1.2</t>
        </is>
      </c>
      <c r="D263" s="8" t="inlineStr">
        <is>
          <t>Medium</t>
        </is>
      </c>
      <c r="E263" s="2" t="inlineStr">
        <is>
          <t>Format evidence to ITT requirements and quality-assure — consistent style, correct templates, word limits, anonymisation where required</t>
        </is>
      </c>
      <c r="F263" s="2" t="inlineStr">
        <is>
          <t>AI accelerates with draft/analysis. Human applies domain judgement.</t>
        </is>
      </c>
      <c r="G263" s="2" t="inlineStr">
        <is>
          <t>Upstream PRD-03 outputs</t>
        </is>
      </c>
      <c r="H263" s="2" t="inlineStr">
        <is>
          <t>Decision velocity: AI draft available immediately for human refinement</t>
        </is>
      </c>
      <c r="I263" s="2" t="inlineStr">
        <is>
          <t>Bid Coordinator</t>
        </is>
      </c>
      <c r="J263" s="2" t="n">
        <v>16</v>
      </c>
      <c r="K263" s="2" t="n">
        <v>2</v>
      </c>
      <c r="L263" s="4">
        <f>J263/COUNTIF($B:$B,B263)</f>
        <v/>
      </c>
      <c r="M263" s="5" t="n">
        <v>0.35</v>
      </c>
      <c r="N263" s="10" t="n">
        <v>0.25</v>
      </c>
      <c r="O263" s="6">
        <f>1-(1-M263)*(1-N263)</f>
        <v/>
      </c>
      <c r="P263" s="7">
        <f>L263*O263</f>
        <v/>
      </c>
      <c r="Q263" s="2" t="inlineStr">
        <is>
          <t>Medium</t>
        </is>
      </c>
      <c r="R263" s="2" t="inlineStr">
        <is>
          <t>Moderate</t>
        </is>
      </c>
      <c r="S263" s="2" t="inlineStr">
        <is>
          <t>Moderate</t>
        </is>
      </c>
      <c r="T263" s="2" t="inlineStr">
        <is>
          <t>Domain judgement required for validation</t>
        </is>
      </c>
      <c r="U263" s="2" t="inlineStr">
        <is>
          <t>ITT Document Pack</t>
        </is>
      </c>
      <c r="V263" s="2" t="inlineStr">
        <is>
          <t>N/A</t>
        </is>
      </c>
      <c r="W263" s="2" t="inlineStr"/>
    </row>
    <row r="264">
      <c r="A264" s="2" t="inlineStr">
        <is>
          <t>PRD</t>
        </is>
      </c>
      <c r="B264" s="2" t="inlineStr">
        <is>
          <t>PRD-04</t>
        </is>
      </c>
      <c r="C264" s="2" t="inlineStr">
        <is>
          <t>PRD-04.1.1</t>
        </is>
      </c>
      <c r="D264" s="3" t="inlineStr">
        <is>
          <t>High</t>
        </is>
      </c>
      <c r="E264" s="2" t="inlineStr">
        <is>
          <t>Produce commercial response narrative — explain the pricing approach, payment mechanism, value proposition in the format the ITT requires</t>
        </is>
      </c>
      <c r="F264" s="2" t="inlineStr">
        <is>
          <t>AI automates formatting, checking, and quality assurance</t>
        </is>
      </c>
      <c r="G264" s="2" t="inlineStr">
        <is>
          <t>Upstream PRD-04 outputs</t>
        </is>
      </c>
      <c r="H264" s="2" t="inlineStr">
        <is>
          <t>Time reduction: Task largely automated from structured data</t>
        </is>
      </c>
      <c r="I264" s="2" t="inlineStr">
        <is>
          <t>Commercial Lead</t>
        </is>
      </c>
      <c r="J264" s="2" t="n">
        <v>5</v>
      </c>
      <c r="K264" s="2" t="n">
        <v>1</v>
      </c>
      <c r="L264" s="4">
        <f>J264/COUNTIF($B:$B,B264)</f>
        <v/>
      </c>
      <c r="M264" s="5" t="n">
        <v>0.6</v>
      </c>
      <c r="N264" s="10" t="n">
        <v>0.2</v>
      </c>
      <c r="O264" s="6">
        <f>1-(1-M264)*(1-N264)</f>
        <v/>
      </c>
      <c r="P264" s="7">
        <f>L264*O264</f>
        <v/>
      </c>
      <c r="Q264" s="2" t="inlineStr">
        <is>
          <t>Medium</t>
        </is>
      </c>
      <c r="R264" s="2" t="inlineStr">
        <is>
          <t>Moderate</t>
        </is>
      </c>
      <c r="S264" s="2" t="inlineStr">
        <is>
          <t>Yes</t>
        </is>
      </c>
      <c r="T264" s="2" t="inlineStr">
        <is>
          <t>Structured data must be available</t>
        </is>
      </c>
      <c r="U264" s="2" t="inlineStr">
        <is>
          <t>ITT Document Pack</t>
        </is>
      </c>
      <c r="V264" s="2" t="inlineStr">
        <is>
          <t>N/A</t>
        </is>
      </c>
      <c r="W264" s="2" t="inlineStr"/>
    </row>
    <row r="265">
      <c r="A265" s="2" t="inlineStr">
        <is>
          <t>PRD</t>
        </is>
      </c>
      <c r="B265" s="2" t="inlineStr">
        <is>
          <t>PRD-04</t>
        </is>
      </c>
      <c r="C265" s="2" t="inlineStr">
        <is>
          <t>PRD-04.1.2</t>
        </is>
      </c>
      <c r="D265" s="8" t="inlineStr">
        <is>
          <t>Medium</t>
        </is>
      </c>
      <c r="E265" s="2" t="inlineStr">
        <is>
          <t>Assemble and format pricing response documents — schedules, narrative, supporting documents packaged for submission</t>
        </is>
      </c>
      <c r="F265" s="2" t="inlineStr">
        <is>
          <t>AI accelerates with draft/analysis. Human applies domain judgement.</t>
        </is>
      </c>
      <c r="G265" s="2" t="inlineStr">
        <is>
          <t>Upstream PRD-04 outputs</t>
        </is>
      </c>
      <c r="H265" s="2" t="inlineStr">
        <is>
          <t>Decision velocity: AI draft available immediately for human refinement</t>
        </is>
      </c>
      <c r="I265" s="2" t="inlineStr">
        <is>
          <t>Commercial Lead</t>
        </is>
      </c>
      <c r="J265" s="2" t="n">
        <v>5</v>
      </c>
      <c r="K265" s="2" t="n">
        <v>1</v>
      </c>
      <c r="L265" s="4">
        <f>J265/COUNTIF($B:$B,B265)</f>
        <v/>
      </c>
      <c r="M265" s="5" t="n">
        <v>0.35</v>
      </c>
      <c r="N265" s="10" t="n">
        <v>0.2</v>
      </c>
      <c r="O265" s="6">
        <f>1-(1-M265)*(1-N265)</f>
        <v/>
      </c>
      <c r="P265" s="7">
        <f>L265*O265</f>
        <v/>
      </c>
      <c r="Q265" s="2" t="inlineStr">
        <is>
          <t>Medium</t>
        </is>
      </c>
      <c r="R265" s="2" t="inlineStr">
        <is>
          <t>Moderate</t>
        </is>
      </c>
      <c r="S265" s="2" t="inlineStr">
        <is>
          <t>Moderate</t>
        </is>
      </c>
      <c r="T265" s="2" t="inlineStr">
        <is>
          <t>Domain judgement required for validation</t>
        </is>
      </c>
      <c r="U265" s="2" t="inlineStr">
        <is>
          <t>None</t>
        </is>
      </c>
      <c r="V265" s="2" t="inlineStr">
        <is>
          <t>N/A</t>
        </is>
      </c>
      <c r="W265" s="2" t="inlineStr"/>
    </row>
    <row r="266">
      <c r="A266" s="2" t="inlineStr">
        <is>
          <t>PRD</t>
        </is>
      </c>
      <c r="B266" s="2" t="inlineStr">
        <is>
          <t>PRD-05</t>
        </is>
      </c>
      <c r="C266" s="2" t="inlineStr">
        <is>
          <t>PRD-05.1.1</t>
        </is>
      </c>
      <c r="D266" s="8" t="inlineStr">
        <is>
          <t>Medium</t>
        </is>
      </c>
      <c r="E266" s="2" t="inlineStr">
        <is>
          <t>Conduct pink team review of storyboards — assess response structure, key messages, win theme integration, evidence placement, and scoring potential per section</t>
        </is>
      </c>
      <c r="F266" s="2" t="inlineStr">
        <is>
          <t>AI provides analysis and assessment. Human validates with judgement.</t>
        </is>
      </c>
      <c r="G266" s="2" t="inlineStr">
        <is>
          <t>Upstream PRD-05 outputs</t>
        </is>
      </c>
      <c r="H266" s="2" t="inlineStr">
        <is>
          <t>Decision velocity: AI draft available immediately for human refinement</t>
        </is>
      </c>
      <c r="I266" s="2" t="inlineStr">
        <is>
          <t>Reviewers</t>
        </is>
      </c>
      <c r="J266" s="2" t="n">
        <v>3</v>
      </c>
      <c r="K266" s="2" t="n">
        <v>1</v>
      </c>
      <c r="L266" s="4">
        <f>J266/COUNTIF($B:$B,B266)</f>
        <v/>
      </c>
      <c r="M266" s="5" t="n">
        <v>0.35</v>
      </c>
      <c r="N266" s="5" t="n">
        <v>0.15</v>
      </c>
      <c r="O266" s="6">
        <f>1-(1-M266)*(1-N266)</f>
        <v/>
      </c>
      <c r="P266" s="7">
        <f>L266*O266</f>
        <v/>
      </c>
      <c r="Q266" s="2" t="inlineStr">
        <is>
          <t>Medium</t>
        </is>
      </c>
      <c r="R266" s="2" t="inlineStr">
        <is>
          <t>Moderate</t>
        </is>
      </c>
      <c r="S266" s="2" t="inlineStr">
        <is>
          <t>Moderate</t>
        </is>
      </c>
      <c r="T266" s="2" t="inlineStr">
        <is>
          <t>Domain judgement required for validation</t>
        </is>
      </c>
      <c r="U266" s="2" t="inlineStr">
        <is>
          <t>Evidence Library</t>
        </is>
      </c>
      <c r="V266" s="2" t="inlineStr">
        <is>
          <t>N/A</t>
        </is>
      </c>
      <c r="W266" s="2" t="inlineStr"/>
    </row>
    <row r="267">
      <c r="A267" s="2" t="inlineStr">
        <is>
          <t>PRD</t>
        </is>
      </c>
      <c r="B267" s="2" t="inlineStr">
        <is>
          <t>PRD-05</t>
        </is>
      </c>
      <c r="C267" s="2" t="inlineStr">
        <is>
          <t>PRD-05.2.1</t>
        </is>
      </c>
      <c r="D267" s="9" t="inlineStr">
        <is>
          <t>Low</t>
        </is>
      </c>
      <c r="E267" s="2" t="inlineStr">
        <is>
          <t>Resolve pink review actions — update storyboards, adjust structure, reallocate evidence, brief writers on changes</t>
        </is>
      </c>
      <c r="F267" s="2" t="inlineStr">
        <is>
          <t>AI provides minimal preparation support. Task is fundamentally human.</t>
        </is>
      </c>
      <c r="G267" s="2" t="inlineStr">
        <is>
          <t>Upstream PRD-05 outputs</t>
        </is>
      </c>
      <c r="H267" s="2" t="inlineStr">
        <is>
          <t>Minimal: Preparation support only</t>
        </is>
      </c>
      <c r="I267" s="2" t="inlineStr">
        <is>
          <t>Reviewers</t>
        </is>
      </c>
      <c r="J267" s="2" t="n">
        <v>3</v>
      </c>
      <c r="K267" s="2" t="n">
        <v>1</v>
      </c>
      <c r="L267" s="4">
        <f>J267/COUNTIF($B:$B,B267)</f>
        <v/>
      </c>
      <c r="M267" s="5" t="n">
        <v>0.1</v>
      </c>
      <c r="N267" s="5" t="n">
        <v>0.15</v>
      </c>
      <c r="O267" s="6">
        <f>1-(1-M267)*(1-N267)</f>
        <v/>
      </c>
      <c r="P267" s="7">
        <f>L267*O267</f>
        <v/>
      </c>
      <c r="Q267" s="2" t="inlineStr">
        <is>
          <t>Low</t>
        </is>
      </c>
      <c r="R267" s="2" t="inlineStr">
        <is>
          <t>Low</t>
        </is>
      </c>
      <c r="S267" s="2" t="inlineStr">
        <is>
          <t>Low</t>
        </is>
      </c>
      <c r="T267" s="2" t="inlineStr">
        <is>
          <t>Human relationship/judgement required</t>
        </is>
      </c>
      <c r="U267" s="2" t="inlineStr">
        <is>
          <t>Evidence Library</t>
        </is>
      </c>
      <c r="V267" s="2" t="inlineStr">
        <is>
          <t>N/A</t>
        </is>
      </c>
      <c r="W267" s="2" t="inlineStr"/>
    </row>
    <row r="268">
      <c r="A268" s="2" t="inlineStr">
        <is>
          <t>PRD</t>
        </is>
      </c>
      <c r="B268" s="2" t="inlineStr">
        <is>
          <t>PRD-06</t>
        </is>
      </c>
      <c r="C268" s="2" t="inlineStr">
        <is>
          <t>PRD-06.1.1</t>
        </is>
      </c>
      <c r="D268" s="8" t="inlineStr">
        <is>
          <t>Medium</t>
        </is>
      </c>
      <c r="E268" s="2" t="inlineStr">
        <is>
          <t>Conduct red team review — evaluator simulation scoring each section against evaluation criteria, assessing win theme penetration, evidence strength, and compliance</t>
        </is>
      </c>
      <c r="F268" s="2" t="inlineStr">
        <is>
          <t>AI provides analysis and assessment. Human validates with judgement.</t>
        </is>
      </c>
      <c r="G268" s="2" t="inlineStr">
        <is>
          <t>Upstream PRD-06 outputs</t>
        </is>
      </c>
      <c r="H268" s="2" t="inlineStr">
        <is>
          <t>Decision velocity: AI draft available immediately for human refinement</t>
        </is>
      </c>
      <c r="I268" s="2" t="inlineStr">
        <is>
          <t>Reviewers</t>
        </is>
      </c>
      <c r="J268" s="2" t="n">
        <v>5</v>
      </c>
      <c r="K268" s="2" t="n">
        <v>1</v>
      </c>
      <c r="L268" s="4">
        <f>J268/COUNTIF($B:$B,B268)</f>
        <v/>
      </c>
      <c r="M268" s="5" t="n">
        <v>0.35</v>
      </c>
      <c r="N268" s="5" t="n">
        <v>0.15</v>
      </c>
      <c r="O268" s="6">
        <f>1-(1-M268)*(1-N268)</f>
        <v/>
      </c>
      <c r="P268" s="7">
        <f>L268*O268</f>
        <v/>
      </c>
      <c r="Q268" s="2" t="inlineStr">
        <is>
          <t>Medium</t>
        </is>
      </c>
      <c r="R268" s="2" t="inlineStr">
        <is>
          <t>Moderate</t>
        </is>
      </c>
      <c r="S268" s="2" t="inlineStr">
        <is>
          <t>Moderate</t>
        </is>
      </c>
      <c r="T268" s="2" t="inlineStr">
        <is>
          <t>Domain judgement required for validation</t>
        </is>
      </c>
      <c r="U268" s="2" t="inlineStr">
        <is>
          <t>Evidence Library</t>
        </is>
      </c>
      <c r="V268" s="2" t="inlineStr">
        <is>
          <t>N/A</t>
        </is>
      </c>
      <c r="W268" s="2" t="inlineStr"/>
    </row>
    <row r="269">
      <c r="A269" s="2" t="inlineStr">
        <is>
          <t>PRD</t>
        </is>
      </c>
      <c r="B269" s="2" t="inlineStr">
        <is>
          <t>PRD-06</t>
        </is>
      </c>
      <c r="C269" s="2" t="inlineStr">
        <is>
          <t>PRD-06.2.1</t>
        </is>
      </c>
      <c r="D269" s="9" t="inlineStr">
        <is>
          <t>Low</t>
        </is>
      </c>
      <c r="E269" s="2" t="inlineStr">
        <is>
          <t>Resolve red review actions — writers revise sections, bid manager tracks to closure, critical actions must be resolved before gold review</t>
        </is>
      </c>
      <c r="F269" s="2" t="inlineStr">
        <is>
          <t>AI provides minimal preparation support. Task is fundamentally human.</t>
        </is>
      </c>
      <c r="G269" s="2" t="inlineStr">
        <is>
          <t>Upstream PRD-06 outputs</t>
        </is>
      </c>
      <c r="H269" s="2" t="inlineStr">
        <is>
          <t>Minimal: Preparation support only</t>
        </is>
      </c>
      <c r="I269" s="2" t="inlineStr">
        <is>
          <t>Reviewers</t>
        </is>
      </c>
      <c r="J269" s="2" t="n">
        <v>5</v>
      </c>
      <c r="K269" s="2" t="n">
        <v>1</v>
      </c>
      <c r="L269" s="4">
        <f>J269/COUNTIF($B:$B,B269)</f>
        <v/>
      </c>
      <c r="M269" s="5" t="n">
        <v>0.1</v>
      </c>
      <c r="N269" s="5" t="n">
        <v>0.15</v>
      </c>
      <c r="O269" s="6">
        <f>1-(1-M269)*(1-N269)</f>
        <v/>
      </c>
      <c r="P269" s="7">
        <f>L269*O269</f>
        <v/>
      </c>
      <c r="Q269" s="2" t="inlineStr">
        <is>
          <t>Low</t>
        </is>
      </c>
      <c r="R269" s="2" t="inlineStr">
        <is>
          <t>Low</t>
        </is>
      </c>
      <c r="S269" s="2" t="inlineStr">
        <is>
          <t>Low</t>
        </is>
      </c>
      <c r="T269" s="2" t="inlineStr">
        <is>
          <t>Human relationship/judgement required</t>
        </is>
      </c>
      <c r="U269" s="2" t="inlineStr">
        <is>
          <t>None</t>
        </is>
      </c>
      <c r="V269" s="2" t="inlineStr">
        <is>
          <t>N/A</t>
        </is>
      </c>
      <c r="W269" s="2" t="inlineStr"/>
    </row>
    <row r="270">
      <c r="A270" s="2" t="inlineStr">
        <is>
          <t>PRD</t>
        </is>
      </c>
      <c r="B270" s="2" t="inlineStr">
        <is>
          <t>PRD-07</t>
        </is>
      </c>
      <c r="C270" s="2" t="inlineStr">
        <is>
          <t>PRD-07.1.1</t>
        </is>
      </c>
      <c r="D270" s="9" t="inlineStr">
        <is>
          <t>Low</t>
        </is>
      </c>
      <c r="E270" s="2" t="inlineStr">
        <is>
          <t>Conduct gold team review — executive quality check: compliance, completeness, tone, win strategy coherence, and final sign-off to proceed to submission</t>
        </is>
      </c>
      <c r="F270" s="2" t="inlineStr">
        <is>
          <t>AI provides minimal preparation support. Task is fundamentally human.</t>
        </is>
      </c>
      <c r="G270" s="2" t="inlineStr">
        <is>
          <t>Upstream PRD-07 outputs</t>
        </is>
      </c>
      <c r="H270" s="2" t="inlineStr">
        <is>
          <t>Minimal: Preparation support only</t>
        </is>
      </c>
      <c r="I270" s="2" t="inlineStr">
        <is>
          <t>Bid Director</t>
        </is>
      </c>
      <c r="J270" s="2" t="n">
        <v>3</v>
      </c>
      <c r="K270" s="2" t="n">
        <v>1</v>
      </c>
      <c r="L270" s="4">
        <f>J270/COUNTIF($B:$B,B270)</f>
        <v/>
      </c>
      <c r="M270" s="5" t="n">
        <v>0.1</v>
      </c>
      <c r="N270" s="5" t="n">
        <v>0.15</v>
      </c>
      <c r="O270" s="6">
        <f>1-(1-M270)*(1-N270)</f>
        <v/>
      </c>
      <c r="P270" s="7">
        <f>L270*O270</f>
        <v/>
      </c>
      <c r="Q270" s="2" t="inlineStr">
        <is>
          <t>Low</t>
        </is>
      </c>
      <c r="R270" s="2" t="inlineStr">
        <is>
          <t>Low</t>
        </is>
      </c>
      <c r="S270" s="2" t="inlineStr">
        <is>
          <t>Low</t>
        </is>
      </c>
      <c r="T270" s="2" t="inlineStr">
        <is>
          <t>Human relationship/judgement required</t>
        </is>
      </c>
      <c r="U270" s="2" t="inlineStr">
        <is>
          <t>None</t>
        </is>
      </c>
      <c r="V270" s="2" t="inlineStr">
        <is>
          <t>N/A</t>
        </is>
      </c>
      <c r="W270" s="2" t="inlineStr"/>
    </row>
    <row r="271">
      <c r="A271" s="2" t="inlineStr">
        <is>
          <t>PRD</t>
        </is>
      </c>
      <c r="B271" s="2" t="inlineStr">
        <is>
          <t>PRD-08</t>
        </is>
      </c>
      <c r="C271" s="2" t="inlineStr">
        <is>
          <t>PRD-08.1.1</t>
        </is>
      </c>
      <c r="D271" s="3" t="inlineStr">
        <is>
          <t>High</t>
        </is>
      </c>
      <c r="E271" s="2" t="inlineStr">
        <is>
          <t>Apply formatting, branding, and layout — corporate template, page limits, headers/footers, table of contents, cross-references, graphics</t>
        </is>
      </c>
      <c r="F271" s="2" t="inlineStr">
        <is>
          <t>AI automates formatting, checking, and quality assurance</t>
        </is>
      </c>
      <c r="G271" s="2" t="inlineStr">
        <is>
          <t>Upstream PRD-08 outputs</t>
        </is>
      </c>
      <c r="H271" s="2" t="inlineStr">
        <is>
          <t>Time reduction: Task largely automated from structured data</t>
        </is>
      </c>
      <c r="I271" s="2" t="inlineStr">
        <is>
          <t>Bid Coordinator</t>
        </is>
      </c>
      <c r="J271" s="2" t="n">
        <v>3</v>
      </c>
      <c r="K271" s="2" t="n">
        <v>1</v>
      </c>
      <c r="L271" s="4">
        <f>J271/COUNTIF($B:$B,B271)</f>
        <v/>
      </c>
      <c r="M271" s="5" t="n">
        <v>0.6</v>
      </c>
      <c r="N271" s="5" t="n">
        <v>0.1</v>
      </c>
      <c r="O271" s="6">
        <f>1-(1-M271)*(1-N271)</f>
        <v/>
      </c>
      <c r="P271" s="7">
        <f>L271*O271</f>
        <v/>
      </c>
      <c r="Q271" s="2" t="inlineStr">
        <is>
          <t>Medium</t>
        </is>
      </c>
      <c r="R271" s="2" t="inlineStr">
        <is>
          <t>Yes</t>
        </is>
      </c>
      <c r="S271" s="2" t="inlineStr">
        <is>
          <t>Yes</t>
        </is>
      </c>
      <c r="T271" s="2" t="inlineStr">
        <is>
          <t>Structured data must be available</t>
        </is>
      </c>
      <c r="U271" s="2" t="inlineStr">
        <is>
          <t>None</t>
        </is>
      </c>
      <c r="V271" s="2" t="inlineStr">
        <is>
          <t>Phase 2</t>
        </is>
      </c>
      <c r="W271" s="2" t="inlineStr"/>
    </row>
    <row r="272">
      <c r="A272" s="2" t="inlineStr">
        <is>
          <t>PRD</t>
        </is>
      </c>
      <c r="B272" s="2" t="inlineStr">
        <is>
          <t>PRD-08</t>
        </is>
      </c>
      <c r="C272" s="2" t="inlineStr">
        <is>
          <t>PRD-08.1.2</t>
        </is>
      </c>
      <c r="D272" s="8" t="inlineStr">
        <is>
          <t>Medium</t>
        </is>
      </c>
      <c r="E272" s="2" t="inlineStr">
        <is>
          <t>Proof-read, spell-check, and cross-reference — final quality assurance pass before submission</t>
        </is>
      </c>
      <c r="F272" s="2" t="inlineStr">
        <is>
          <t>AI accelerates with draft/analysis. Human applies domain judgement.</t>
        </is>
      </c>
      <c r="G272" s="2" t="inlineStr">
        <is>
          <t>Upstream PRD-08 outputs</t>
        </is>
      </c>
      <c r="H272" s="2" t="inlineStr">
        <is>
          <t>Decision velocity: AI draft available immediately for human refinement</t>
        </is>
      </c>
      <c r="I272" s="2" t="inlineStr">
        <is>
          <t>Bid Coordinator</t>
        </is>
      </c>
      <c r="J272" s="2" t="n">
        <v>3</v>
      </c>
      <c r="K272" s="2" t="n">
        <v>1</v>
      </c>
      <c r="L272" s="4">
        <f>J272/COUNTIF($B:$B,B272)</f>
        <v/>
      </c>
      <c r="M272" s="5" t="n">
        <v>0.35</v>
      </c>
      <c r="N272" s="5" t="n">
        <v>0.1</v>
      </c>
      <c r="O272" s="6">
        <f>1-(1-M272)*(1-N272)</f>
        <v/>
      </c>
      <c r="P272" s="7">
        <f>L272*O272</f>
        <v/>
      </c>
      <c r="Q272" s="2" t="inlineStr">
        <is>
          <t>Medium</t>
        </is>
      </c>
      <c r="R272" s="2" t="inlineStr">
        <is>
          <t>Moderate</t>
        </is>
      </c>
      <c r="S272" s="2" t="inlineStr">
        <is>
          <t>Moderate</t>
        </is>
      </c>
      <c r="T272" s="2" t="inlineStr">
        <is>
          <t>Domain judgement required for validation</t>
        </is>
      </c>
      <c r="U272" s="2" t="inlineStr">
        <is>
          <t>None</t>
        </is>
      </c>
      <c r="V272" s="2" t="inlineStr">
        <is>
          <t>Phase 2</t>
        </is>
      </c>
      <c r="W272" s="2" t="inlineStr"/>
    </row>
    <row r="273">
      <c r="A273" s="2" t="inlineStr">
        <is>
          <t>PRD</t>
        </is>
      </c>
      <c r="B273" s="2" t="inlineStr">
        <is>
          <t>PRD-09</t>
        </is>
      </c>
      <c r="C273" s="2" t="inlineStr">
        <is>
          <t>PRD-09.1.1</t>
        </is>
      </c>
      <c r="D273" s="8" t="inlineStr">
        <is>
          <t>Medium</t>
        </is>
      </c>
      <c r="E273" s="2" t="inlineStr">
        <is>
          <t>Conduct final compliance check — verify all mandatory requirements addressed, all documents present, all formats correct</t>
        </is>
      </c>
      <c r="F273" s="2" t="inlineStr">
        <is>
          <t>AI accelerates with draft/analysis. Human applies domain judgement.</t>
        </is>
      </c>
      <c r="G273" s="2" t="inlineStr">
        <is>
          <t>Upstream PRD-09 outputs</t>
        </is>
      </c>
      <c r="H273" s="2" t="inlineStr">
        <is>
          <t>Decision velocity: AI draft available immediately for human refinement</t>
        </is>
      </c>
      <c r="I273" s="2" t="inlineStr">
        <is>
          <t>Bid Manager</t>
        </is>
      </c>
      <c r="J273" s="2" t="n">
        <v>2</v>
      </c>
      <c r="K273" s="2" t="n">
        <v>1</v>
      </c>
      <c r="L273" s="4">
        <f>J273/COUNTIF($B:$B,B273)</f>
        <v/>
      </c>
      <c r="M273" s="5" t="n">
        <v>0.35</v>
      </c>
      <c r="N273" s="5" t="n">
        <v>0.1</v>
      </c>
      <c r="O273" s="6">
        <f>1-(1-M273)*(1-N273)</f>
        <v/>
      </c>
      <c r="P273" s="7">
        <f>L273*O273</f>
        <v/>
      </c>
      <c r="Q273" s="2" t="inlineStr">
        <is>
          <t>Medium</t>
        </is>
      </c>
      <c r="R273" s="2" t="inlineStr">
        <is>
          <t>Moderate</t>
        </is>
      </c>
      <c r="S273" s="2" t="inlineStr">
        <is>
          <t>Moderate</t>
        </is>
      </c>
      <c r="T273" s="2" t="inlineStr">
        <is>
          <t>Domain judgement required for validation</t>
        </is>
      </c>
      <c r="U273" s="2" t="inlineStr">
        <is>
          <t>None</t>
        </is>
      </c>
      <c r="V273" s="2" t="inlineStr">
        <is>
          <t>N/A</t>
        </is>
      </c>
      <c r="W273" s="2" t="inlineStr"/>
    </row>
    <row r="274">
      <c r="A274" s="2" t="inlineStr">
        <is>
          <t>PRD</t>
        </is>
      </c>
      <c r="B274" s="2" t="inlineStr">
        <is>
          <t>PRD-09</t>
        </is>
      </c>
      <c r="C274" s="2" t="inlineStr">
        <is>
          <t>PRD-09.1.2</t>
        </is>
      </c>
      <c r="D274" s="9" t="inlineStr">
        <is>
          <t>Low</t>
        </is>
      </c>
      <c r="E274" s="2" t="inlineStr">
        <is>
          <t>Package and upload submission — portal upload, confirmation receipt obtained, submission archived</t>
        </is>
      </c>
      <c r="F274" s="2" t="inlineStr">
        <is>
          <t>AI prepares pack/summary. Decision is human governance.</t>
        </is>
      </c>
      <c r="G274" s="2" t="inlineStr">
        <is>
          <t>Upstream PRD-09 outputs</t>
        </is>
      </c>
      <c r="H274" s="2" t="inlineStr">
        <is>
          <t>Minimal: Preparation support only</t>
        </is>
      </c>
      <c r="I274" s="2" t="inlineStr">
        <is>
          <t>Bid Manager</t>
        </is>
      </c>
      <c r="J274" s="2" t="n">
        <v>2</v>
      </c>
      <c r="K274" s="2" t="n">
        <v>1</v>
      </c>
      <c r="L274" s="4">
        <f>J274/COUNTIF($B:$B,B274)</f>
        <v/>
      </c>
      <c r="M274" s="5" t="n">
        <v>0.1</v>
      </c>
      <c r="N274" s="5" t="n">
        <v>0.1</v>
      </c>
      <c r="O274" s="6">
        <f>1-(1-M274)*(1-N274)</f>
        <v/>
      </c>
      <c r="P274" s="7">
        <f>L274*O274</f>
        <v/>
      </c>
      <c r="Q274" s="2" t="inlineStr">
        <is>
          <t>None</t>
        </is>
      </c>
      <c r="R274" s="2" t="inlineStr">
        <is>
          <t>Low</t>
        </is>
      </c>
      <c r="S274" s="2" t="inlineStr">
        <is>
          <t>Low</t>
        </is>
      </c>
      <c r="T274" s="2" t="inlineStr">
        <is>
          <t>Governance decision is human</t>
        </is>
      </c>
      <c r="U274" s="2" t="inlineStr">
        <is>
          <t>None</t>
        </is>
      </c>
      <c r="V274" s="2" t="inlineStr">
        <is>
          <t>N/A</t>
        </is>
      </c>
      <c r="W274" s="2" t="inlineStr"/>
    </row>
    <row r="275">
      <c r="A275" s="2" t="inlineStr">
        <is>
          <t>GOV</t>
        </is>
      </c>
      <c r="B275" s="2" t="inlineStr">
        <is>
          <t>GOV-01</t>
        </is>
      </c>
      <c r="C275" s="2" t="inlineStr">
        <is>
          <t>GOV-01.1.1</t>
        </is>
      </c>
      <c r="D275" s="3" t="inlineStr">
        <is>
          <t>High</t>
        </is>
      </c>
      <c r="E275" s="2" t="inlineStr">
        <is>
          <t>Prepare pursuit approval review pack — capture plan summary, bid mandate, PWIN score, resource ask, key risks, go/no-go recommendation</t>
        </is>
      </c>
      <c r="F275" s="2" t="inlineStr">
        <is>
          <t>AI executes task autonomously from structured inputs. Human reviews.</t>
        </is>
      </c>
      <c r="G275" s="2" t="inlineStr">
        <is>
          <t>Upstream GOV-01 outputs</t>
        </is>
      </c>
      <c r="H275" s="2" t="inlineStr">
        <is>
          <t>Time reduction: Task largely automated from structured data</t>
        </is>
      </c>
      <c r="I275" s="2" t="inlineStr">
        <is>
          <t>Bid Director</t>
        </is>
      </c>
      <c r="J275" s="2" t="n">
        <v>2</v>
      </c>
      <c r="K275" s="2" t="n">
        <v>1</v>
      </c>
      <c r="L275" s="4">
        <f>J275/COUNTIF($B:$B,B275)</f>
        <v/>
      </c>
      <c r="M275" s="5" t="n">
        <v>0.6</v>
      </c>
      <c r="N275" s="5" t="n">
        <v>0.1</v>
      </c>
      <c r="O275" s="6">
        <f>1-(1-M275)*(1-N275)</f>
        <v/>
      </c>
      <c r="P275" s="7">
        <f>L275*O275</f>
        <v/>
      </c>
      <c r="Q275" s="2" t="inlineStr">
        <is>
          <t>Medium</t>
        </is>
      </c>
      <c r="R275" s="2" t="inlineStr">
        <is>
          <t>Moderate</t>
        </is>
      </c>
      <c r="S275" s="2" t="inlineStr">
        <is>
          <t>Yes</t>
        </is>
      </c>
      <c r="T275" s="2" t="inlineStr">
        <is>
          <t>Structured data must be available</t>
        </is>
      </c>
      <c r="U275" s="2" t="inlineStr">
        <is>
          <t>None</t>
        </is>
      </c>
      <c r="V275" s="2" t="inlineStr">
        <is>
          <t>Phase 2</t>
        </is>
      </c>
      <c r="W275" s="2" t="inlineStr"/>
    </row>
    <row r="276">
      <c r="A276" s="2" t="inlineStr">
        <is>
          <t>GOV</t>
        </is>
      </c>
      <c r="B276" s="2" t="inlineStr">
        <is>
          <t>GOV-01</t>
        </is>
      </c>
      <c r="C276" s="2" t="inlineStr">
        <is>
          <t>GOV-01.1.2</t>
        </is>
      </c>
      <c r="D276" s="9" t="inlineStr">
        <is>
          <t>Low</t>
        </is>
      </c>
      <c r="E276" s="2" t="inlineStr">
        <is>
          <t>Conduct pursuit approval review — present to governance panel, debate, capture decision (approve / approve with conditions / reject)</t>
        </is>
      </c>
      <c r="F276" s="2" t="inlineStr">
        <is>
          <t>AI prepares materials. Delivery is human.</t>
        </is>
      </c>
      <c r="G276" s="2" t="inlineStr">
        <is>
          <t>Upstream GOV-01 outputs</t>
        </is>
      </c>
      <c r="H276" s="2" t="inlineStr">
        <is>
          <t>Minimal: Preparation support only</t>
        </is>
      </c>
      <c r="I276" s="2" t="inlineStr">
        <is>
          <t>Bid Director</t>
        </is>
      </c>
      <c r="J276" s="2" t="n">
        <v>2</v>
      </c>
      <c r="K276" s="2" t="n">
        <v>1</v>
      </c>
      <c r="L276" s="4">
        <f>J276/COUNTIF($B:$B,B276)</f>
        <v/>
      </c>
      <c r="M276" s="5" t="n">
        <v>0.1</v>
      </c>
      <c r="N276" s="5" t="n">
        <v>0.1</v>
      </c>
      <c r="O276" s="6">
        <f>1-(1-M276)*(1-N276)</f>
        <v/>
      </c>
      <c r="P276" s="7">
        <f>L276*O276</f>
        <v/>
      </c>
      <c r="Q276" s="2" t="inlineStr">
        <is>
          <t>None</t>
        </is>
      </c>
      <c r="R276" s="2" t="inlineStr">
        <is>
          <t>Low</t>
        </is>
      </c>
      <c r="S276" s="2" t="inlineStr">
        <is>
          <t>Low</t>
        </is>
      </c>
      <c r="T276" s="2" t="inlineStr">
        <is>
          <t>Client-facing interaction is human</t>
        </is>
      </c>
      <c r="U276" s="2" t="inlineStr">
        <is>
          <t>None</t>
        </is>
      </c>
      <c r="V276" s="2" t="inlineStr">
        <is>
          <t>N/A</t>
        </is>
      </c>
      <c r="W276" s="2" t="inlineStr"/>
    </row>
    <row r="277">
      <c r="A277" s="2" t="inlineStr">
        <is>
          <t>GOV</t>
        </is>
      </c>
      <c r="B277" s="2" t="inlineStr">
        <is>
          <t>GOV-02</t>
        </is>
      </c>
      <c r="C277" s="2" t="inlineStr">
        <is>
          <t>GOV-02.1.1</t>
        </is>
      </c>
      <c r="D277" s="3" t="inlineStr">
        <is>
          <t>High</t>
        </is>
      </c>
      <c r="E277" s="2" t="inlineStr">
        <is>
          <t>Prepare solution review pack — solution summary, risk position, win strategy alignment, partner strategy, delivery readiness</t>
        </is>
      </c>
      <c r="F277" s="2" t="inlineStr">
        <is>
          <t>AI executes task autonomously from structured inputs. Human reviews.</t>
        </is>
      </c>
      <c r="G277" s="2" t="inlineStr">
        <is>
          <t>Upstream GOV-02 outputs</t>
        </is>
      </c>
      <c r="H277" s="2" t="inlineStr">
        <is>
          <t>Time reduction: Task largely automated from structured data</t>
        </is>
      </c>
      <c r="I277" s="2" t="inlineStr">
        <is>
          <t>Bid Director</t>
        </is>
      </c>
      <c r="J277" s="2" t="n">
        <v>2</v>
      </c>
      <c r="K277" s="2" t="n">
        <v>1</v>
      </c>
      <c r="L277" s="4">
        <f>J277/COUNTIF($B:$B,B277)</f>
        <v/>
      </c>
      <c r="M277" s="5" t="n">
        <v>0.6</v>
      </c>
      <c r="N277" s="5" t="n">
        <v>0.1</v>
      </c>
      <c r="O277" s="6">
        <f>1-(1-M277)*(1-N277)</f>
        <v/>
      </c>
      <c r="P277" s="7">
        <f>L277*O277</f>
        <v/>
      </c>
      <c r="Q277" s="2" t="inlineStr">
        <is>
          <t>Medium</t>
        </is>
      </c>
      <c r="R277" s="2" t="inlineStr">
        <is>
          <t>Moderate</t>
        </is>
      </c>
      <c r="S277" s="2" t="inlineStr">
        <is>
          <t>Yes</t>
        </is>
      </c>
      <c r="T277" s="2" t="inlineStr">
        <is>
          <t>Structured data must be available</t>
        </is>
      </c>
      <c r="U277" s="2" t="inlineStr">
        <is>
          <t>None</t>
        </is>
      </c>
      <c r="V277" s="2" t="inlineStr">
        <is>
          <t>Phase 2</t>
        </is>
      </c>
      <c r="W277" s="2" t="inlineStr"/>
    </row>
    <row r="278">
      <c r="A278" s="2" t="inlineStr">
        <is>
          <t>GOV</t>
        </is>
      </c>
      <c r="B278" s="2" t="inlineStr">
        <is>
          <t>GOV-02</t>
        </is>
      </c>
      <c r="C278" s="2" t="inlineStr">
        <is>
          <t>GOV-02.1.2</t>
        </is>
      </c>
      <c r="D278" s="9" t="inlineStr">
        <is>
          <t>Low</t>
        </is>
      </c>
      <c r="E278" s="2" t="inlineStr">
        <is>
          <t>Conduct solution &amp; strategy review — present, debate, capture decision</t>
        </is>
      </c>
      <c r="F278" s="2" t="inlineStr">
        <is>
          <t>AI prepares materials. Delivery is human.</t>
        </is>
      </c>
      <c r="G278" s="2" t="inlineStr">
        <is>
          <t>Upstream GOV-02 outputs</t>
        </is>
      </c>
      <c r="H278" s="2" t="inlineStr">
        <is>
          <t>Minimal: Preparation support only</t>
        </is>
      </c>
      <c r="I278" s="2" t="inlineStr">
        <is>
          <t>Bid Director</t>
        </is>
      </c>
      <c r="J278" s="2" t="n">
        <v>2</v>
      </c>
      <c r="K278" s="2" t="n">
        <v>1</v>
      </c>
      <c r="L278" s="4">
        <f>J278/COUNTIF($B:$B,B278)</f>
        <v/>
      </c>
      <c r="M278" s="5" t="n">
        <v>0.1</v>
      </c>
      <c r="N278" s="5" t="n">
        <v>0.1</v>
      </c>
      <c r="O278" s="6">
        <f>1-(1-M278)*(1-N278)</f>
        <v/>
      </c>
      <c r="P278" s="7">
        <f>L278*O278</f>
        <v/>
      </c>
      <c r="Q278" s="2" t="inlineStr">
        <is>
          <t>Low</t>
        </is>
      </c>
      <c r="R278" s="2" t="inlineStr">
        <is>
          <t>Low</t>
        </is>
      </c>
      <c r="S278" s="2" t="inlineStr">
        <is>
          <t>Low</t>
        </is>
      </c>
      <c r="T278" s="2" t="inlineStr">
        <is>
          <t>Client-facing interaction is human</t>
        </is>
      </c>
      <c r="U278" s="2" t="inlineStr">
        <is>
          <t>None</t>
        </is>
      </c>
      <c r="V278" s="2" t="inlineStr">
        <is>
          <t>N/A</t>
        </is>
      </c>
      <c r="W278" s="2" t="inlineStr"/>
    </row>
    <row r="279">
      <c r="A279" s="2" t="inlineStr">
        <is>
          <t>GOV</t>
        </is>
      </c>
      <c r="B279" s="2" t="inlineStr">
        <is>
          <t>GOV-03</t>
        </is>
      </c>
      <c r="C279" s="2" t="inlineStr">
        <is>
          <t>GOV-03.1.1</t>
        </is>
      </c>
      <c r="D279" s="3" t="inlineStr">
        <is>
          <t>High</t>
        </is>
      </c>
      <c r="E279" s="2" t="inlineStr">
        <is>
          <t>Prepare pricing review pack — price position, margin, sensitivities, risk, partner terms, contract terms, recommendation</t>
        </is>
      </c>
      <c r="F279" s="2" t="inlineStr">
        <is>
          <t>AI executes task autonomously from structured inputs. Human reviews.</t>
        </is>
      </c>
      <c r="G279" s="2" t="inlineStr">
        <is>
          <t>Upstream GOV-03 outputs</t>
        </is>
      </c>
      <c r="H279" s="2" t="inlineStr">
        <is>
          <t>Time reduction: Task largely automated from structured data</t>
        </is>
      </c>
      <c r="I279" s="2" t="inlineStr">
        <is>
          <t>Bid Director</t>
        </is>
      </c>
      <c r="J279" s="2" t="n">
        <v>2</v>
      </c>
      <c r="K279" s="2" t="n">
        <v>1</v>
      </c>
      <c r="L279" s="4">
        <f>J279/COUNTIF($B:$B,B279)</f>
        <v/>
      </c>
      <c r="M279" s="5" t="n">
        <v>0.6</v>
      </c>
      <c r="N279" s="5" t="n">
        <v>0.1</v>
      </c>
      <c r="O279" s="6">
        <f>1-(1-M279)*(1-N279)</f>
        <v/>
      </c>
      <c r="P279" s="7">
        <f>L279*O279</f>
        <v/>
      </c>
      <c r="Q279" s="2" t="inlineStr">
        <is>
          <t>Medium</t>
        </is>
      </c>
      <c r="R279" s="2" t="inlineStr">
        <is>
          <t>Moderate</t>
        </is>
      </c>
      <c r="S279" s="2" t="inlineStr">
        <is>
          <t>Yes</t>
        </is>
      </c>
      <c r="T279" s="2" t="inlineStr">
        <is>
          <t>Structured data must be available</t>
        </is>
      </c>
      <c r="U279" s="2" t="inlineStr">
        <is>
          <t>Corporate Cost Data</t>
        </is>
      </c>
      <c r="V279" s="2" t="inlineStr">
        <is>
          <t>Phase 2</t>
        </is>
      </c>
      <c r="W279" s="2" t="inlineStr"/>
    </row>
    <row r="280">
      <c r="A280" s="2" t="inlineStr">
        <is>
          <t>GOV</t>
        </is>
      </c>
      <c r="B280" s="2" t="inlineStr">
        <is>
          <t>GOV-03</t>
        </is>
      </c>
      <c r="C280" s="2" t="inlineStr">
        <is>
          <t>GOV-03.1.2</t>
        </is>
      </c>
      <c r="D280" s="9" t="inlineStr">
        <is>
          <t>Low</t>
        </is>
      </c>
      <c r="E280" s="2" t="inlineStr">
        <is>
          <t>Conduct pricing &amp; risk review — present to governance panel, debate pricing position, capture pricing approval</t>
        </is>
      </c>
      <c r="F280" s="2" t="inlineStr">
        <is>
          <t>AI prepares materials. Delivery is human.</t>
        </is>
      </c>
      <c r="G280" s="2" t="inlineStr">
        <is>
          <t>Upstream GOV-03 outputs</t>
        </is>
      </c>
      <c r="H280" s="2" t="inlineStr">
        <is>
          <t>Minimal: Preparation support only</t>
        </is>
      </c>
      <c r="I280" s="2" t="inlineStr">
        <is>
          <t>Bid Director</t>
        </is>
      </c>
      <c r="J280" s="2" t="n">
        <v>2</v>
      </c>
      <c r="K280" s="2" t="n">
        <v>1</v>
      </c>
      <c r="L280" s="4">
        <f>J280/COUNTIF($B:$B,B280)</f>
        <v/>
      </c>
      <c r="M280" s="5" t="n">
        <v>0.1</v>
      </c>
      <c r="N280" s="5" t="n">
        <v>0.1</v>
      </c>
      <c r="O280" s="6">
        <f>1-(1-M280)*(1-N280)</f>
        <v/>
      </c>
      <c r="P280" s="7">
        <f>L280*O280</f>
        <v/>
      </c>
      <c r="Q280" s="2" t="inlineStr">
        <is>
          <t>Low</t>
        </is>
      </c>
      <c r="R280" s="2" t="inlineStr">
        <is>
          <t>Low</t>
        </is>
      </c>
      <c r="S280" s="2" t="inlineStr">
        <is>
          <t>Low</t>
        </is>
      </c>
      <c r="T280" s="2" t="inlineStr">
        <is>
          <t>Client-facing interaction is human</t>
        </is>
      </c>
      <c r="U280" s="2" t="inlineStr">
        <is>
          <t>None</t>
        </is>
      </c>
      <c r="V280" s="2" t="inlineStr">
        <is>
          <t>N/A</t>
        </is>
      </c>
      <c r="W280" s="2" t="inlineStr"/>
    </row>
    <row r="281">
      <c r="A281" s="2" t="inlineStr">
        <is>
          <t>GOV</t>
        </is>
      </c>
      <c r="B281" s="2" t="inlineStr">
        <is>
          <t>GOV-04</t>
        </is>
      </c>
      <c r="C281" s="2" t="inlineStr">
        <is>
          <t>GOV-04.1.1</t>
        </is>
      </c>
      <c r="D281" s="3" t="inlineStr">
        <is>
          <t>High</t>
        </is>
      </c>
      <c r="E281" s="2" t="inlineStr">
        <is>
          <t>Prepare executive approval pack — bid summary, price, margin, risk, quality assessment, recommendation to submit</t>
        </is>
      </c>
      <c r="F281" s="2" t="inlineStr">
        <is>
          <t>AI executes task autonomously from structured inputs. Human reviews.</t>
        </is>
      </c>
      <c r="G281" s="2" t="inlineStr">
        <is>
          <t>Upstream GOV-04 outputs</t>
        </is>
      </c>
      <c r="H281" s="2" t="inlineStr">
        <is>
          <t>Time reduction: Task largely automated from structured data</t>
        </is>
      </c>
      <c r="I281" s="2" t="inlineStr">
        <is>
          <t>Bid Director</t>
        </is>
      </c>
      <c r="J281" s="2" t="n">
        <v>2</v>
      </c>
      <c r="K281" s="2" t="n">
        <v>1</v>
      </c>
      <c r="L281" s="4">
        <f>J281/COUNTIF($B:$B,B281)</f>
        <v/>
      </c>
      <c r="M281" s="5" t="n">
        <v>0.6</v>
      </c>
      <c r="N281" s="5" t="n">
        <v>0.1</v>
      </c>
      <c r="O281" s="6">
        <f>1-(1-M281)*(1-N281)</f>
        <v/>
      </c>
      <c r="P281" s="7">
        <f>L281*O281</f>
        <v/>
      </c>
      <c r="Q281" s="2" t="inlineStr">
        <is>
          <t>Medium</t>
        </is>
      </c>
      <c r="R281" s="2" t="inlineStr">
        <is>
          <t>Moderate</t>
        </is>
      </c>
      <c r="S281" s="2" t="inlineStr">
        <is>
          <t>Yes</t>
        </is>
      </c>
      <c r="T281" s="2" t="inlineStr">
        <is>
          <t>Structured data must be available</t>
        </is>
      </c>
      <c r="U281" s="2" t="inlineStr">
        <is>
          <t>Corporate Cost Data</t>
        </is>
      </c>
      <c r="V281" s="2" t="inlineStr">
        <is>
          <t>Phase 2</t>
        </is>
      </c>
      <c r="W281" s="2" t="inlineStr"/>
    </row>
    <row r="282">
      <c r="A282" s="2" t="inlineStr">
        <is>
          <t>GOV</t>
        </is>
      </c>
      <c r="B282" s="2" t="inlineStr">
        <is>
          <t>GOV-04</t>
        </is>
      </c>
      <c r="C282" s="2" t="inlineStr">
        <is>
          <t>GOV-04.1.2</t>
        </is>
      </c>
      <c r="D282" s="9" t="inlineStr">
        <is>
          <t>Low</t>
        </is>
      </c>
      <c r="E282" s="2" t="inlineStr">
        <is>
          <t>Obtain executive approval — present at each required tier (BU / ExCo / Board), capture approval to submit</t>
        </is>
      </c>
      <c r="F282" s="2" t="inlineStr">
        <is>
          <t>AI prepares materials. Delivery is human.</t>
        </is>
      </c>
      <c r="G282" s="2" t="inlineStr">
        <is>
          <t>Upstream GOV-04 outputs</t>
        </is>
      </c>
      <c r="H282" s="2" t="inlineStr">
        <is>
          <t>Minimal: Preparation support only</t>
        </is>
      </c>
      <c r="I282" s="2" t="inlineStr">
        <is>
          <t>Bid Director</t>
        </is>
      </c>
      <c r="J282" s="2" t="n">
        <v>2</v>
      </c>
      <c r="K282" s="2" t="n">
        <v>1</v>
      </c>
      <c r="L282" s="4">
        <f>J282/COUNTIF($B:$B,B282)</f>
        <v/>
      </c>
      <c r="M282" s="5" t="n">
        <v>0.1</v>
      </c>
      <c r="N282" s="5" t="n">
        <v>0.1</v>
      </c>
      <c r="O282" s="6">
        <f>1-(1-M282)*(1-N282)</f>
        <v/>
      </c>
      <c r="P282" s="7">
        <f>L282*O282</f>
        <v/>
      </c>
      <c r="Q282" s="2" t="inlineStr">
        <is>
          <t>Low</t>
        </is>
      </c>
      <c r="R282" s="2" t="inlineStr">
        <is>
          <t>Low</t>
        </is>
      </c>
      <c r="S282" s="2" t="inlineStr">
        <is>
          <t>Low</t>
        </is>
      </c>
      <c r="T282" s="2" t="inlineStr">
        <is>
          <t>Client-facing interaction is human</t>
        </is>
      </c>
      <c r="U282" s="2" t="inlineStr">
        <is>
          <t>None</t>
        </is>
      </c>
      <c r="V282" s="2" t="inlineStr">
        <is>
          <t>N/A</t>
        </is>
      </c>
      <c r="W282" s="2" t="inlineStr"/>
    </row>
    <row r="283">
      <c r="A283" s="2" t="inlineStr">
        <is>
          <t>GOV</t>
        </is>
      </c>
      <c r="B283" s="2" t="inlineStr">
        <is>
          <t>GOV-05</t>
        </is>
      </c>
      <c r="C283" s="2" t="inlineStr">
        <is>
          <t>GOV-05.1.1</t>
        </is>
      </c>
      <c r="D283" s="9" t="inlineStr">
        <is>
          <t>Low</t>
        </is>
      </c>
      <c r="E283" s="2" t="inlineStr">
        <is>
          <t>Confirm final submission authority — all approvals obtained, documents QA-complete, compliance confirmed, authority to submit granted</t>
        </is>
      </c>
      <c r="F283" s="2" t="inlineStr">
        <is>
          <t>AI prepares pack/summary. Decision is human governance.</t>
        </is>
      </c>
      <c r="G283" s="2" t="inlineStr">
        <is>
          <t>Upstream GOV-05 outputs</t>
        </is>
      </c>
      <c r="H283" s="2" t="inlineStr">
        <is>
          <t>Minimal: Preparation support only</t>
        </is>
      </c>
      <c r="I283" s="2" t="inlineStr">
        <is>
          <t>Bid Director</t>
        </is>
      </c>
      <c r="J283" s="2" t="n">
        <v>1</v>
      </c>
      <c r="K283" s="2" t="n">
        <v>1</v>
      </c>
      <c r="L283" s="4">
        <f>J283/COUNTIF($B:$B,B283)</f>
        <v/>
      </c>
      <c r="M283" s="5" t="n">
        <v>0.1</v>
      </c>
      <c r="N283" s="5" t="n">
        <v>0.1</v>
      </c>
      <c r="O283" s="6">
        <f>1-(1-M283)*(1-N283)</f>
        <v/>
      </c>
      <c r="P283" s="7">
        <f>L283*O283</f>
        <v/>
      </c>
      <c r="Q283" s="2" t="inlineStr">
        <is>
          <t>None</t>
        </is>
      </c>
      <c r="R283" s="2" t="inlineStr">
        <is>
          <t>Low</t>
        </is>
      </c>
      <c r="S283" s="2" t="inlineStr">
        <is>
          <t>Low</t>
        </is>
      </c>
      <c r="T283" s="2" t="inlineStr">
        <is>
          <t>Governance decision is human</t>
        </is>
      </c>
      <c r="U283" s="2" t="inlineStr">
        <is>
          <t>None</t>
        </is>
      </c>
      <c r="V283" s="2" t="inlineStr">
        <is>
          <t>N/A</t>
        </is>
      </c>
      <c r="W283" s="2" t="inlineStr"/>
    </row>
    <row r="284">
      <c r="A284" s="2" t="inlineStr">
        <is>
          <t>GOV</t>
        </is>
      </c>
      <c r="B284" s="2" t="inlineStr">
        <is>
          <t>GOV-06</t>
        </is>
      </c>
      <c r="C284" s="2" t="inlineStr">
        <is>
          <t>GOV-06.1.1</t>
        </is>
      </c>
      <c r="D284" s="3" t="inlineStr">
        <is>
          <t>High</t>
        </is>
      </c>
      <c r="E284" s="2" t="inlineStr">
        <is>
          <t>Prepare legal review pack — contract positions, risk allocation, TUPE, data protection, subcontractor terms summary</t>
        </is>
      </c>
      <c r="F284" s="2" t="inlineStr">
        <is>
          <t>AI executes task autonomously from structured inputs. Human reviews.</t>
        </is>
      </c>
      <c r="G284" s="2" t="inlineStr">
        <is>
          <t>Upstream GOV-06 outputs</t>
        </is>
      </c>
      <c r="H284" s="2" t="inlineStr">
        <is>
          <t>Time reduction: Task largely automated from structured data</t>
        </is>
      </c>
      <c r="I284" s="2" t="inlineStr">
        <is>
          <t>Bid Director</t>
        </is>
      </c>
      <c r="J284" s="2" t="n">
        <v>2</v>
      </c>
      <c r="K284" s="2" t="n">
        <v>1</v>
      </c>
      <c r="L284" s="4">
        <f>J284/COUNTIF($B:$B,B284)</f>
        <v/>
      </c>
      <c r="M284" s="5" t="n">
        <v>0.6</v>
      </c>
      <c r="N284" s="5" t="n">
        <v>0.1</v>
      </c>
      <c r="O284" s="6">
        <f>1-(1-M284)*(1-N284)</f>
        <v/>
      </c>
      <c r="P284" s="7">
        <f>L284*O284</f>
        <v/>
      </c>
      <c r="Q284" s="2" t="inlineStr">
        <is>
          <t>Medium</t>
        </is>
      </c>
      <c r="R284" s="2" t="inlineStr">
        <is>
          <t>Moderate</t>
        </is>
      </c>
      <c r="S284" s="2" t="inlineStr">
        <is>
          <t>Yes</t>
        </is>
      </c>
      <c r="T284" s="2" t="inlineStr">
        <is>
          <t>Structured data must be available</t>
        </is>
      </c>
      <c r="U284" s="2" t="inlineStr">
        <is>
          <t>None</t>
        </is>
      </c>
      <c r="V284" s="2" t="inlineStr">
        <is>
          <t>Phase 2</t>
        </is>
      </c>
      <c r="W284" s="2" t="inlineStr"/>
    </row>
    <row r="285">
      <c r="A285" s="2" t="inlineStr">
        <is>
          <t>GOV</t>
        </is>
      </c>
      <c r="B285" s="2" t="inlineStr">
        <is>
          <t>GOV-06</t>
        </is>
      </c>
      <c r="C285" s="2" t="inlineStr">
        <is>
          <t>GOV-06.1.2</t>
        </is>
      </c>
      <c r="D285" s="9" t="inlineStr">
        <is>
          <t>Low</t>
        </is>
      </c>
      <c r="E285" s="2" t="inlineStr">
        <is>
          <t>Conduct legal &amp; contractual review — present to governance panel, capture decision on contract positions and risk acceptance</t>
        </is>
      </c>
      <c r="F285" s="2" t="inlineStr">
        <is>
          <t>AI prepares materials. Delivery is human.</t>
        </is>
      </c>
      <c r="G285" s="2" t="inlineStr">
        <is>
          <t>Upstream GOV-06 outputs</t>
        </is>
      </c>
      <c r="H285" s="2" t="inlineStr">
        <is>
          <t>Minimal: Preparation support only</t>
        </is>
      </c>
      <c r="I285" s="2" t="inlineStr">
        <is>
          <t>Bid Director</t>
        </is>
      </c>
      <c r="J285" s="2" t="n">
        <v>2</v>
      </c>
      <c r="K285" s="2" t="n">
        <v>1</v>
      </c>
      <c r="L285" s="4">
        <f>J285/COUNTIF($B:$B,B285)</f>
        <v/>
      </c>
      <c r="M285" s="5" t="n">
        <v>0.1</v>
      </c>
      <c r="N285" s="5" t="n">
        <v>0.1</v>
      </c>
      <c r="O285" s="6">
        <f>1-(1-M285)*(1-N285)</f>
        <v/>
      </c>
      <c r="P285" s="7">
        <f>L285*O285</f>
        <v/>
      </c>
      <c r="Q285" s="2" t="inlineStr">
        <is>
          <t>Low</t>
        </is>
      </c>
      <c r="R285" s="2" t="inlineStr">
        <is>
          <t>Low</t>
        </is>
      </c>
      <c r="S285" s="2" t="inlineStr">
        <is>
          <t>Low</t>
        </is>
      </c>
      <c r="T285" s="2" t="inlineStr">
        <is>
          <t>Client-facing interaction is human</t>
        </is>
      </c>
      <c r="U285" s="2" t="inlineStr">
        <is>
          <t>None</t>
        </is>
      </c>
      <c r="V285" s="2" t="inlineStr">
        <is>
          <t>N/A</t>
        </is>
      </c>
      <c r="W285" s="2" t="inlineStr"/>
    </row>
    <row r="286">
      <c r="A286" s="2" t="inlineStr">
        <is>
          <t>POST</t>
        </is>
      </c>
      <c r="B286" s="2" t="inlineStr">
        <is>
          <t>POST-01</t>
        </is>
      </c>
      <c r="C286" s="2" t="inlineStr">
        <is>
          <t>POST-01.1.1</t>
        </is>
      </c>
      <c r="D286" s="8" t="inlineStr">
        <is>
          <t>Medium</t>
        </is>
      </c>
      <c r="E286" s="2" t="inlineStr">
        <is>
          <t>Design presentation narrative and structure — aligned to win themes, tailored to evaluation panel, consistent with submitted proposal</t>
        </is>
      </c>
      <c r="F286" s="2" t="inlineStr">
        <is>
          <t>AI proposes options based on requirements. Human makes design decisions.</t>
        </is>
      </c>
      <c r="G286" s="2" t="inlineStr">
        <is>
          <t>Upstream POST-01 outputs</t>
        </is>
      </c>
      <c r="H286" s="2" t="inlineStr">
        <is>
          <t>Decision velocity: AI draft available immediately for human refinement</t>
        </is>
      </c>
      <c r="I286" s="2" t="inlineStr">
        <is>
          <t>Bid Director</t>
        </is>
      </c>
      <c r="J286" s="2" t="n">
        <v>10</v>
      </c>
      <c r="K286" s="2" t="n">
        <v>2</v>
      </c>
      <c r="L286" s="4">
        <f>J286/COUNTIF($B:$B,B286)</f>
        <v/>
      </c>
      <c r="M286" s="5" t="n">
        <v>0.35</v>
      </c>
      <c r="N286" s="5" t="n">
        <v>0.15</v>
      </c>
      <c r="O286" s="6">
        <f>1-(1-M286)*(1-N286)</f>
        <v/>
      </c>
      <c r="P286" s="7">
        <f>L286*O286</f>
        <v/>
      </c>
      <c r="Q286" s="2" t="inlineStr">
        <is>
          <t>Medium</t>
        </is>
      </c>
      <c r="R286" s="2" t="inlineStr">
        <is>
          <t>Moderate</t>
        </is>
      </c>
      <c r="S286" s="2" t="inlineStr">
        <is>
          <t>Moderate</t>
        </is>
      </c>
      <c r="T286" s="2" t="inlineStr">
        <is>
          <t>Domain judgement required for validation</t>
        </is>
      </c>
      <c r="U286" s="2" t="inlineStr">
        <is>
          <t>ITT Document Pack</t>
        </is>
      </c>
      <c r="V286" s="2" t="inlineStr">
        <is>
          <t>N/A</t>
        </is>
      </c>
      <c r="W286" s="2" t="inlineStr"/>
    </row>
    <row r="287">
      <c r="A287" s="2" t="inlineStr">
        <is>
          <t>POST</t>
        </is>
      </c>
      <c r="B287" s="2" t="inlineStr">
        <is>
          <t>POST-01</t>
        </is>
      </c>
      <c r="C287" s="2" t="inlineStr">
        <is>
          <t>POST-01.1.2</t>
        </is>
      </c>
      <c r="D287" s="9" t="inlineStr">
        <is>
          <t>Low</t>
        </is>
      </c>
      <c r="E287" s="2" t="inlineStr">
        <is>
          <t>Develop presentation materials — slides, speaker notes, Q&amp;A preparation, supporting visuals and demos</t>
        </is>
      </c>
      <c r="F287" s="2" t="inlineStr">
        <is>
          <t>AI prepares materials. Delivery is human.</t>
        </is>
      </c>
      <c r="G287" s="2" t="inlineStr">
        <is>
          <t>Upstream POST-01 outputs</t>
        </is>
      </c>
      <c r="H287" s="2" t="inlineStr">
        <is>
          <t>Minimal: Preparation support only</t>
        </is>
      </c>
      <c r="I287" s="2" t="inlineStr">
        <is>
          <t>Bid Director</t>
        </is>
      </c>
      <c r="J287" s="2" t="n">
        <v>10</v>
      </c>
      <c r="K287" s="2" t="n">
        <v>2</v>
      </c>
      <c r="L287" s="4">
        <f>J287/COUNTIF($B:$B,B287)</f>
        <v/>
      </c>
      <c r="M287" s="5" t="n">
        <v>0.1</v>
      </c>
      <c r="N287" s="5" t="n">
        <v>0.15</v>
      </c>
      <c r="O287" s="6">
        <f>1-(1-M287)*(1-N287)</f>
        <v/>
      </c>
      <c r="P287" s="7">
        <f>L287*O287</f>
        <v/>
      </c>
      <c r="Q287" s="2" t="inlineStr">
        <is>
          <t>Low</t>
        </is>
      </c>
      <c r="R287" s="2" t="inlineStr">
        <is>
          <t>Low</t>
        </is>
      </c>
      <c r="S287" s="2" t="inlineStr">
        <is>
          <t>Low</t>
        </is>
      </c>
      <c r="T287" s="2" t="inlineStr">
        <is>
          <t>Client-facing interaction is human</t>
        </is>
      </c>
      <c r="U287" s="2" t="inlineStr">
        <is>
          <t>None</t>
        </is>
      </c>
      <c r="V287" s="2" t="inlineStr">
        <is>
          <t>N/A</t>
        </is>
      </c>
      <c r="W287" s="2" t="inlineStr"/>
    </row>
    <row r="288">
      <c r="A288" s="2" t="inlineStr">
        <is>
          <t>POST</t>
        </is>
      </c>
      <c r="B288" s="2" t="inlineStr">
        <is>
          <t>POST-02</t>
        </is>
      </c>
      <c r="C288" s="2" t="inlineStr">
        <is>
          <t>POST-02.1.1</t>
        </is>
      </c>
      <c r="D288" s="9" t="inlineStr">
        <is>
          <t>Low</t>
        </is>
      </c>
      <c r="E288" s="2" t="inlineStr">
        <is>
          <t>Conduct structured presentation rehearsals — simulate the evaluation panel, provide feedback, iterate the presentation and Q&amp;A responses</t>
        </is>
      </c>
      <c r="F288" s="2" t="inlineStr">
        <is>
          <t>AI prepares materials. Delivery is human.</t>
        </is>
      </c>
      <c r="G288" s="2" t="inlineStr">
        <is>
          <t>Upstream POST-02 outputs</t>
        </is>
      </c>
      <c r="H288" s="2" t="inlineStr">
        <is>
          <t>Minimal: Preparation support only</t>
        </is>
      </c>
      <c r="I288" s="2" t="inlineStr">
        <is>
          <t>Bid Director</t>
        </is>
      </c>
      <c r="J288" s="2" t="n">
        <v>3</v>
      </c>
      <c r="K288" s="2" t="n">
        <v>1</v>
      </c>
      <c r="L288" s="4">
        <f>J288/COUNTIF($B:$B,B288)</f>
        <v/>
      </c>
      <c r="M288" s="5" t="n">
        <v>0.1</v>
      </c>
      <c r="N288" s="5" t="n">
        <v>0.05</v>
      </c>
      <c r="O288" s="6">
        <f>1-(1-M288)*(1-N288)</f>
        <v/>
      </c>
      <c r="P288" s="7">
        <f>L288*O288</f>
        <v/>
      </c>
      <c r="Q288" s="2" t="inlineStr">
        <is>
          <t>Low</t>
        </is>
      </c>
      <c r="R288" s="2" t="inlineStr">
        <is>
          <t>Low</t>
        </is>
      </c>
      <c r="S288" s="2" t="inlineStr">
        <is>
          <t>Low</t>
        </is>
      </c>
      <c r="T288" s="2" t="inlineStr">
        <is>
          <t>Client-facing interaction is human</t>
        </is>
      </c>
      <c r="U288" s="2" t="inlineStr">
        <is>
          <t>None</t>
        </is>
      </c>
      <c r="V288" s="2" t="inlineStr">
        <is>
          <t>N/A</t>
        </is>
      </c>
      <c r="W288" s="2" t="inlineStr"/>
    </row>
    <row r="289">
      <c r="A289" s="2" t="inlineStr">
        <is>
          <t>POST</t>
        </is>
      </c>
      <c r="B289" s="2" t="inlineStr">
        <is>
          <t>POST-03</t>
        </is>
      </c>
      <c r="C289" s="2" t="inlineStr">
        <is>
          <t>POST-03.1.1</t>
        </is>
      </c>
      <c r="D289" s="9" t="inlineStr">
        <is>
          <t>Low</t>
        </is>
      </c>
      <c r="E289" s="2" t="inlineStr">
        <is>
          <t>Deliver bid presentation to evaluation panel — present, manage Q&amp;A, capture panel reactions and follow-up questions</t>
        </is>
      </c>
      <c r="F289" s="2" t="inlineStr">
        <is>
          <t>AI prepares materials. Delivery is human.</t>
        </is>
      </c>
      <c r="G289" s="2" t="inlineStr">
        <is>
          <t>Upstream POST-03 outputs</t>
        </is>
      </c>
      <c r="H289" s="2" t="inlineStr">
        <is>
          <t>Minimal: Preparation support only</t>
        </is>
      </c>
      <c r="I289" s="2" t="inlineStr">
        <is>
          <t>Bid Director</t>
        </is>
      </c>
      <c r="J289" s="2" t="n">
        <v>1</v>
      </c>
      <c r="K289" s="2" t="n">
        <v>1</v>
      </c>
      <c r="L289" s="4">
        <f>J289/COUNTIF($B:$B,B289)</f>
        <v/>
      </c>
      <c r="M289" s="5" t="n">
        <v>0.1</v>
      </c>
      <c r="N289" s="5" t="n">
        <v>0.05</v>
      </c>
      <c r="O289" s="6">
        <f>1-(1-M289)*(1-N289)</f>
        <v/>
      </c>
      <c r="P289" s="7">
        <f>L289*O289</f>
        <v/>
      </c>
      <c r="Q289" s="2" t="inlineStr">
        <is>
          <t>Low</t>
        </is>
      </c>
      <c r="R289" s="2" t="inlineStr">
        <is>
          <t>Low</t>
        </is>
      </c>
      <c r="S289" s="2" t="inlineStr">
        <is>
          <t>Low</t>
        </is>
      </c>
      <c r="T289" s="2" t="inlineStr">
        <is>
          <t>Client-facing interaction is human</t>
        </is>
      </c>
      <c r="U289" s="2" t="inlineStr">
        <is>
          <t>None</t>
        </is>
      </c>
      <c r="V289" s="2" t="inlineStr">
        <is>
          <t>N/A</t>
        </is>
      </c>
      <c r="W289" s="2" t="inlineStr"/>
    </row>
    <row r="290">
      <c r="A290" s="2" t="inlineStr">
        <is>
          <t>POST</t>
        </is>
      </c>
      <c r="B290" s="2" t="inlineStr">
        <is>
          <t>POST-04</t>
        </is>
      </c>
      <c r="C290" s="2" t="inlineStr">
        <is>
          <t>POST-04.1.1</t>
        </is>
      </c>
      <c r="D290" s="3" t="inlineStr">
        <is>
          <t>High</t>
        </is>
      </c>
      <c r="E290" s="2" t="inlineStr">
        <is>
          <t>Receive, log, and triage post-submission clarification requests from client — assess impact and assign to workstream leads</t>
        </is>
      </c>
      <c r="F290" s="2" t="inlineStr">
        <is>
          <t>AI executes task autonomously from structured inputs. Human reviews.</t>
        </is>
      </c>
      <c r="G290" s="2" t="inlineStr">
        <is>
          <t>Upstream POST-04 outputs</t>
        </is>
      </c>
      <c r="H290" s="2" t="inlineStr">
        <is>
          <t>Time reduction: Task largely automated from structured data</t>
        </is>
      </c>
      <c r="I290" s="2" t="inlineStr">
        <is>
          <t>Bid Manager</t>
        </is>
      </c>
      <c r="J290" s="2" t="n">
        <v>5</v>
      </c>
      <c r="K290" s="2" t="n">
        <v>2</v>
      </c>
      <c r="L290" s="4">
        <f>J290/COUNTIF($B:$B,B290)</f>
        <v/>
      </c>
      <c r="M290" s="5" t="n">
        <v>0.6</v>
      </c>
      <c r="N290" s="5" t="n">
        <v>0.15</v>
      </c>
      <c r="O290" s="6">
        <f>1-(1-M290)*(1-N290)</f>
        <v/>
      </c>
      <c r="P290" s="7">
        <f>L290*O290</f>
        <v/>
      </c>
      <c r="Q290" s="2" t="inlineStr">
        <is>
          <t>Medium</t>
        </is>
      </c>
      <c r="R290" s="2" t="inlineStr">
        <is>
          <t>Moderate</t>
        </is>
      </c>
      <c r="S290" s="2" t="inlineStr">
        <is>
          <t>Yes</t>
        </is>
      </c>
      <c r="T290" s="2" t="inlineStr">
        <is>
          <t>Structured data must be available</t>
        </is>
      </c>
      <c r="U290" s="2" t="inlineStr">
        <is>
          <t>None</t>
        </is>
      </c>
      <c r="V290" s="2" t="inlineStr">
        <is>
          <t>N/A</t>
        </is>
      </c>
      <c r="W290" s="2" t="inlineStr"/>
    </row>
    <row r="291">
      <c r="A291" s="2" t="inlineStr">
        <is>
          <t>POST</t>
        </is>
      </c>
      <c r="B291" s="2" t="inlineStr">
        <is>
          <t>POST-04</t>
        </is>
      </c>
      <c r="C291" s="2" t="inlineStr">
        <is>
          <t>POST-04.1.2</t>
        </is>
      </c>
      <c r="D291" s="8" t="inlineStr">
        <is>
          <t>Medium</t>
        </is>
      </c>
      <c r="E291" s="2" t="inlineStr">
        <is>
          <t>Draft, review, and submit clarification responses within client deadlines — ensuring consistency with submitted proposal</t>
        </is>
      </c>
      <c r="F291" s="2" t="inlineStr">
        <is>
          <t>AI produces first draft. Human refines with domain judgement.</t>
        </is>
      </c>
      <c r="G291" s="2" t="inlineStr">
        <is>
          <t>Upstream POST-04 outputs</t>
        </is>
      </c>
      <c r="H291" s="2" t="inlineStr">
        <is>
          <t>Decision velocity: AI draft available immediately for human refinement</t>
        </is>
      </c>
      <c r="I291" s="2" t="inlineStr">
        <is>
          <t>Bid Manager</t>
        </is>
      </c>
      <c r="J291" s="2" t="n">
        <v>5</v>
      </c>
      <c r="K291" s="2" t="n">
        <v>2</v>
      </c>
      <c r="L291" s="4">
        <f>J291/COUNTIF($B:$B,B291)</f>
        <v/>
      </c>
      <c r="M291" s="5" t="n">
        <v>0.35</v>
      </c>
      <c r="N291" s="5" t="n">
        <v>0.15</v>
      </c>
      <c r="O291" s="6">
        <f>1-(1-M291)*(1-N291)</f>
        <v/>
      </c>
      <c r="P291" s="7">
        <f>L291*O291</f>
        <v/>
      </c>
      <c r="Q291" s="2" t="inlineStr">
        <is>
          <t>Medium</t>
        </is>
      </c>
      <c r="R291" s="2" t="inlineStr">
        <is>
          <t>Moderate</t>
        </is>
      </c>
      <c r="S291" s="2" t="inlineStr">
        <is>
          <t>Moderate</t>
        </is>
      </c>
      <c r="T291" s="2" t="inlineStr">
        <is>
          <t>Domain judgement required for validation</t>
        </is>
      </c>
      <c r="U291" s="2" t="inlineStr">
        <is>
          <t>ITT Document Pack</t>
        </is>
      </c>
      <c r="V291" s="2" t="inlineStr">
        <is>
          <t>N/A</t>
        </is>
      </c>
      <c r="W291" s="2" t="inlineStr"/>
    </row>
    <row r="292">
      <c r="A292" s="2" t="inlineStr">
        <is>
          <t>POST</t>
        </is>
      </c>
      <c r="B292" s="2" t="inlineStr">
        <is>
          <t>POST-05</t>
        </is>
      </c>
      <c r="C292" s="2" t="inlineStr">
        <is>
          <t>POST-05.1.1</t>
        </is>
      </c>
      <c r="D292" s="8" t="inlineStr">
        <is>
          <t>Medium</t>
        </is>
      </c>
      <c r="E292" s="2" t="inlineStr">
        <is>
          <t>Develop BAFO strategy — what to change, what to hold, how far to move on price, any solution adjustments</t>
        </is>
      </c>
      <c r="F292" s="2" t="inlineStr">
        <is>
          <t>AI produces first draft. Human refines with domain judgement.</t>
        </is>
      </c>
      <c r="G292" s="2" t="inlineStr">
        <is>
          <t>Upstream POST-05 outputs</t>
        </is>
      </c>
      <c r="H292" s="2" t="inlineStr">
        <is>
          <t>Decision velocity: AI draft available immediately for human refinement</t>
        </is>
      </c>
      <c r="I292" s="2" t="inlineStr">
        <is>
          <t>Bid Manager</t>
        </is>
      </c>
      <c r="J292" s="2" t="n">
        <v>10</v>
      </c>
      <c r="K292" s="2" t="n">
        <v>2</v>
      </c>
      <c r="L292" s="4">
        <f>J292/COUNTIF($B:$B,B292)</f>
        <v/>
      </c>
      <c r="M292" s="5" t="n">
        <v>0.35</v>
      </c>
      <c r="N292" s="5" t="n">
        <v>0.15</v>
      </c>
      <c r="O292" s="6">
        <f>1-(1-M292)*(1-N292)</f>
        <v/>
      </c>
      <c r="P292" s="7">
        <f>L292*O292</f>
        <v/>
      </c>
      <c r="Q292" s="2" t="inlineStr">
        <is>
          <t>Medium</t>
        </is>
      </c>
      <c r="R292" s="2" t="inlineStr">
        <is>
          <t>Moderate</t>
        </is>
      </c>
      <c r="S292" s="2" t="inlineStr">
        <is>
          <t>Moderate</t>
        </is>
      </c>
      <c r="T292" s="2" t="inlineStr">
        <is>
          <t>Domain judgement required for validation</t>
        </is>
      </c>
      <c r="U292" s="2" t="inlineStr">
        <is>
          <t>Corporate Cost Data</t>
        </is>
      </c>
      <c r="V292" s="2" t="inlineStr">
        <is>
          <t>N/A</t>
        </is>
      </c>
      <c r="W292" s="2" t="inlineStr"/>
    </row>
    <row r="293">
      <c r="A293" s="2" t="inlineStr">
        <is>
          <t>POST</t>
        </is>
      </c>
      <c r="B293" s="2" t="inlineStr">
        <is>
          <t>POST-05</t>
        </is>
      </c>
      <c r="C293" s="2" t="inlineStr">
        <is>
          <t>POST-05.1.2</t>
        </is>
      </c>
      <c r="D293" s="8" t="inlineStr">
        <is>
          <t>Medium</t>
        </is>
      </c>
      <c r="E293" s="2" t="inlineStr">
        <is>
          <t>Prepare revised pricing and any updated solution elements — ready for BAFO governance approval</t>
        </is>
      </c>
      <c r="F293" s="2" t="inlineStr">
        <is>
          <t>AI accelerates with draft/analysis. Human applies domain judgement.</t>
        </is>
      </c>
      <c r="G293" s="2" t="inlineStr">
        <is>
          <t>Upstream POST-05 outputs</t>
        </is>
      </c>
      <c r="H293" s="2" t="inlineStr">
        <is>
          <t>Decision velocity: AI draft available immediately for human refinement</t>
        </is>
      </c>
      <c r="I293" s="2" t="inlineStr">
        <is>
          <t>Bid Manager</t>
        </is>
      </c>
      <c r="J293" s="2" t="n">
        <v>10</v>
      </c>
      <c r="K293" s="2" t="n">
        <v>2</v>
      </c>
      <c r="L293" s="4">
        <f>J293/COUNTIF($B:$B,B293)</f>
        <v/>
      </c>
      <c r="M293" s="5" t="n">
        <v>0.35</v>
      </c>
      <c r="N293" s="5" t="n">
        <v>0.15</v>
      </c>
      <c r="O293" s="6">
        <f>1-(1-M293)*(1-N293)</f>
        <v/>
      </c>
      <c r="P293" s="7">
        <f>L293*O293</f>
        <v/>
      </c>
      <c r="Q293" s="2" t="inlineStr">
        <is>
          <t>Medium</t>
        </is>
      </c>
      <c r="R293" s="2" t="inlineStr">
        <is>
          <t>Moderate</t>
        </is>
      </c>
      <c r="S293" s="2" t="inlineStr">
        <is>
          <t>Moderate</t>
        </is>
      </c>
      <c r="T293" s="2" t="inlineStr">
        <is>
          <t>Domain judgement required for validation</t>
        </is>
      </c>
      <c r="U293" s="2" t="inlineStr">
        <is>
          <t>None</t>
        </is>
      </c>
      <c r="V293" s="2" t="inlineStr">
        <is>
          <t>N/A</t>
        </is>
      </c>
      <c r="W293" s="2" t="inlineStr"/>
    </row>
    <row r="294">
      <c r="A294" s="2" t="inlineStr">
        <is>
          <t>POST</t>
        </is>
      </c>
      <c r="B294" s="2" t="inlineStr">
        <is>
          <t>POST-06</t>
        </is>
      </c>
      <c r="C294" s="2" t="inlineStr">
        <is>
          <t>POST-06.1.1</t>
        </is>
      </c>
      <c r="D294" s="9" t="inlineStr">
        <is>
          <t>Low</t>
        </is>
      </c>
      <c r="E294" s="2" t="inlineStr">
        <is>
          <t>Obtain governance approval for BAFO — any material change to price or commercial position requires fresh executive approval</t>
        </is>
      </c>
      <c r="F294" s="2" t="inlineStr">
        <is>
          <t>AI provides minimal preparation support. Task is fundamentally human.</t>
        </is>
      </c>
      <c r="G294" s="2" t="inlineStr">
        <is>
          <t>Upstream POST-06 outputs</t>
        </is>
      </c>
      <c r="H294" s="2" t="inlineStr">
        <is>
          <t>Minimal: Preparation support only</t>
        </is>
      </c>
      <c r="I294" s="2" t="inlineStr">
        <is>
          <t>Bid Manager</t>
        </is>
      </c>
      <c r="J294" s="2" t="n">
        <v>2</v>
      </c>
      <c r="K294" s="2" t="n">
        <v>1</v>
      </c>
      <c r="L294" s="4">
        <f>J294/COUNTIF($B:$B,B294)</f>
        <v/>
      </c>
      <c r="M294" s="5" t="n">
        <v>0.1</v>
      </c>
      <c r="N294" s="5" t="n">
        <v>0.05</v>
      </c>
      <c r="O294" s="6">
        <f>1-(1-M294)*(1-N294)</f>
        <v/>
      </c>
      <c r="P294" s="7">
        <f>L294*O294</f>
        <v/>
      </c>
      <c r="Q294" s="2" t="inlineStr">
        <is>
          <t>Low</t>
        </is>
      </c>
      <c r="R294" s="2" t="inlineStr">
        <is>
          <t>Low</t>
        </is>
      </c>
      <c r="S294" s="2" t="inlineStr">
        <is>
          <t>Low</t>
        </is>
      </c>
      <c r="T294" s="2" t="inlineStr">
        <is>
          <t>Human relationship/judgement required</t>
        </is>
      </c>
      <c r="U294" s="2" t="inlineStr">
        <is>
          <t>Corporate Cost Data</t>
        </is>
      </c>
      <c r="V294" s="2" t="inlineStr">
        <is>
          <t>N/A</t>
        </is>
      </c>
      <c r="W294" s="2" t="inlineStr"/>
    </row>
    <row r="295">
      <c r="A295" s="2" t="inlineStr">
        <is>
          <t>POST</t>
        </is>
      </c>
      <c r="B295" s="2" t="inlineStr">
        <is>
          <t>POST-07</t>
        </is>
      </c>
      <c r="C295" s="2" t="inlineStr">
        <is>
          <t>POST-07.1.1</t>
        </is>
      </c>
      <c r="D295" s="9" t="inlineStr">
        <is>
          <t>Low</t>
        </is>
      </c>
      <c r="E295" s="2" t="inlineStr">
        <is>
          <t>Lead commercial and contractual negotiations with client — using approved positions, manage trade-offs, escalate when authority limits reached</t>
        </is>
      </c>
      <c r="F295" s="2" t="inlineStr">
        <is>
          <t>AI prepares pack/summary. Decision is human governance.</t>
        </is>
      </c>
      <c r="G295" s="2" t="inlineStr">
        <is>
          <t>Upstream POST-07 outputs</t>
        </is>
      </c>
      <c r="H295" s="2" t="inlineStr">
        <is>
          <t>Minimal: Preparation support only</t>
        </is>
      </c>
      <c r="I295" s="2" t="inlineStr">
        <is>
          <t>Bid Director</t>
        </is>
      </c>
      <c r="J295" s="2" t="n">
        <v>5</v>
      </c>
      <c r="K295" s="2" t="n">
        <v>1</v>
      </c>
      <c r="L295" s="4">
        <f>J295/COUNTIF($B:$B,B295)</f>
        <v/>
      </c>
      <c r="M295" s="5" t="n">
        <v>0.1</v>
      </c>
      <c r="N295" s="5" t="n">
        <v>0.05</v>
      </c>
      <c r="O295" s="6">
        <f>1-(1-M295)*(1-N295)</f>
        <v/>
      </c>
      <c r="P295" s="7">
        <f>L295*O295</f>
        <v/>
      </c>
      <c r="Q295" s="2" t="inlineStr">
        <is>
          <t>None</t>
        </is>
      </c>
      <c r="R295" s="2" t="inlineStr">
        <is>
          <t>Low</t>
        </is>
      </c>
      <c r="S295" s="2" t="inlineStr">
        <is>
          <t>Low</t>
        </is>
      </c>
      <c r="T295" s="2" t="inlineStr">
        <is>
          <t>Governance decision is human</t>
        </is>
      </c>
      <c r="U295" s="2" t="inlineStr">
        <is>
          <t>None</t>
        </is>
      </c>
      <c r="V295" s="2" t="inlineStr">
        <is>
          <t>N/A</t>
        </is>
      </c>
      <c r="W295" s="2" t="inlineStr"/>
    </row>
    <row r="296">
      <c r="A296" s="2" t="inlineStr">
        <is>
          <t>POST</t>
        </is>
      </c>
      <c r="B296" s="2" t="inlineStr">
        <is>
          <t>POST-08</t>
        </is>
      </c>
      <c r="C296" s="2" t="inlineStr">
        <is>
          <t>POST-08.1.1</t>
        </is>
      </c>
      <c r="D296" s="8" t="inlineStr">
        <is>
          <t>Medium</t>
        </is>
      </c>
      <c r="E296" s="2" t="inlineStr">
        <is>
          <t>Process contract award — receive confirmation, execute contract, establish commercial baseline</t>
        </is>
      </c>
      <c r="F296" s="2" t="inlineStr">
        <is>
          <t>AI accelerates with draft/analysis. Human applies domain judgement.</t>
        </is>
      </c>
      <c r="G296" s="2" t="inlineStr">
        <is>
          <t>Upstream POST-08 outputs</t>
        </is>
      </c>
      <c r="H296" s="2" t="inlineStr">
        <is>
          <t>Decision velocity: AI draft available immediately for human refinement</t>
        </is>
      </c>
      <c r="I296" s="2" t="inlineStr">
        <is>
          <t>Bid Manager</t>
        </is>
      </c>
      <c r="J296" s="2" t="n">
        <v>3</v>
      </c>
      <c r="K296" s="2" t="n">
        <v>1</v>
      </c>
      <c r="L296" s="4">
        <f>J296/COUNTIF($B:$B,B296)</f>
        <v/>
      </c>
      <c r="M296" s="5" t="n">
        <v>0.35</v>
      </c>
      <c r="N296" s="5" t="n">
        <v>0.05</v>
      </c>
      <c r="O296" s="6">
        <f>1-(1-M296)*(1-N296)</f>
        <v/>
      </c>
      <c r="P296" s="7">
        <f>L296*O296</f>
        <v/>
      </c>
      <c r="Q296" s="2" t="inlineStr">
        <is>
          <t>Medium</t>
        </is>
      </c>
      <c r="R296" s="2" t="inlineStr">
        <is>
          <t>Moderate</t>
        </is>
      </c>
      <c r="S296" s="2" t="inlineStr">
        <is>
          <t>Moderate</t>
        </is>
      </c>
      <c r="T296" s="2" t="inlineStr">
        <is>
          <t>Domain judgement required for validation</t>
        </is>
      </c>
      <c r="U296" s="2" t="inlineStr">
        <is>
          <t>None</t>
        </is>
      </c>
      <c r="V296" s="2" t="inlineStr">
        <is>
          <t>N/A</t>
        </is>
      </c>
      <c r="W296" s="2" t="inlineStr"/>
    </row>
    <row r="297">
      <c r="A297" s="2" t="inlineStr">
        <is>
          <t>POST</t>
        </is>
      </c>
      <c r="B297" s="2" t="inlineStr">
        <is>
          <t>POST-08</t>
        </is>
      </c>
      <c r="C297" s="2" t="inlineStr">
        <is>
          <t>POST-08.1.2</t>
        </is>
      </c>
      <c r="D297" s="9" t="inlineStr">
        <is>
          <t>Low</t>
        </is>
      </c>
      <c r="E297" s="2" t="inlineStr">
        <is>
          <t>Hand over from bid team to delivery team — solution, mobilisation plan, risk register, assumptions, key relationships, lessons learned</t>
        </is>
      </c>
      <c r="F297" s="2" t="inlineStr">
        <is>
          <t>AI prepares materials. Delivery is human.</t>
        </is>
      </c>
      <c r="G297" s="2" t="inlineStr">
        <is>
          <t>Upstream POST-08 outputs</t>
        </is>
      </c>
      <c r="H297" s="2" t="inlineStr">
        <is>
          <t>Minimal: Preparation support only</t>
        </is>
      </c>
      <c r="I297" s="2" t="inlineStr">
        <is>
          <t>Bid Manager</t>
        </is>
      </c>
      <c r="J297" s="2" t="n">
        <v>3</v>
      </c>
      <c r="K297" s="2" t="n">
        <v>1</v>
      </c>
      <c r="L297" s="4">
        <f>J297/COUNTIF($B:$B,B297)</f>
        <v/>
      </c>
      <c r="M297" s="5" t="n">
        <v>0.1</v>
      </c>
      <c r="N297" s="5" t="n">
        <v>0.05</v>
      </c>
      <c r="O297" s="6">
        <f>1-(1-M297)*(1-N297)</f>
        <v/>
      </c>
      <c r="P297" s="7">
        <f>L297*O297</f>
        <v/>
      </c>
      <c r="Q297" s="2" t="inlineStr">
        <is>
          <t>Low</t>
        </is>
      </c>
      <c r="R297" s="2" t="inlineStr">
        <is>
          <t>Low</t>
        </is>
      </c>
      <c r="S297" s="2" t="inlineStr">
        <is>
          <t>Low</t>
        </is>
      </c>
      <c r="T297" s="2" t="inlineStr">
        <is>
          <t>Client-facing interaction is human</t>
        </is>
      </c>
      <c r="U297" s="2" t="inlineStr">
        <is>
          <t>None</t>
        </is>
      </c>
      <c r="V297" s="2" t="inlineStr">
        <is>
          <t>N/A</t>
        </is>
      </c>
      <c r="W297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8" customWidth="1" min="4" max="4"/>
    <col width="10" customWidth="1" min="5" max="5"/>
    <col width="8" customWidth="1" min="6" max="6"/>
    <col width="16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Workstream</t>
        </is>
      </c>
      <c r="B1" s="1" t="inlineStr">
        <is>
          <t>Full Name</t>
        </is>
      </c>
      <c r="C1" s="1" t="inlineStr">
        <is>
          <t>Total Tasks</t>
        </is>
      </c>
      <c r="D1" s="1" t="inlineStr">
        <is>
          <t>High</t>
        </is>
      </c>
      <c r="E1" s="1" t="inlineStr">
        <is>
          <t>Medium</t>
        </is>
      </c>
      <c r="F1" s="1" t="inlineStr">
        <is>
          <t>Low</t>
        </is>
      </c>
      <c r="G1" s="1" t="inlineStr">
        <is>
          <t>Methodology Effort (days)</t>
        </is>
      </c>
      <c r="H1" s="1" t="inlineStr">
        <is>
          <t>Avg Effective Reduction %</t>
        </is>
      </c>
      <c r="I1" s="1" t="inlineStr">
        <is>
          <t>AI Days Saved</t>
        </is>
      </c>
      <c r="J1" s="1" t="inlineStr">
        <is>
          <t>Effort Reduction %</t>
        </is>
      </c>
    </row>
    <row r="2">
      <c r="A2" s="2" t="inlineStr">
        <is>
          <t>SAL</t>
        </is>
      </c>
      <c r="B2" s="2" t="inlineStr">
        <is>
          <t>Sales &amp; Capture</t>
        </is>
      </c>
      <c r="C2" s="2">
        <f>COUNTIF('All Tasks'!$A:$A,A2)</f>
        <v/>
      </c>
      <c r="D2" s="2">
        <f>COUNTIFS('All Tasks'!$A:$A,A2,'All Tasks'!$D:$D,"High")</f>
        <v/>
      </c>
      <c r="E2" s="2">
        <f>COUNTIFS('All Tasks'!$A:$A,A2,'All Tasks'!$D:$D,"Medium")</f>
        <v/>
      </c>
      <c r="F2" s="2">
        <f>COUNTIFS('All Tasks'!$A:$A,A2,'All Tasks'!$D:$D,"Low")</f>
        <v/>
      </c>
      <c r="G2" s="2" t="n">
        <v>39</v>
      </c>
      <c r="H2" s="11">
        <f>AVERAGEIF('All Tasks'!$A:$A,A2,'All Tasks'!$O:$O)</f>
        <v/>
      </c>
      <c r="I2" s="12">
        <f>SUMIF('All Tasks'!$A:$A,A2,'All Tasks'!$P:$P)</f>
        <v/>
      </c>
      <c r="J2" s="6">
        <f>IF(G2&gt;0,I2/G2,0)</f>
        <v/>
      </c>
    </row>
    <row r="3">
      <c r="A3" s="2" t="inlineStr">
        <is>
          <t>SOL</t>
        </is>
      </c>
      <c r="B3" s="2" t="inlineStr">
        <is>
          <t>Solution Design</t>
        </is>
      </c>
      <c r="C3" s="2">
        <f>COUNTIF('All Tasks'!$A:$A,A3)</f>
        <v/>
      </c>
      <c r="D3" s="2">
        <f>COUNTIFS('All Tasks'!$A:$A,A3,'All Tasks'!$D:$D,"High")</f>
        <v/>
      </c>
      <c r="E3" s="2">
        <f>COUNTIFS('All Tasks'!$A:$A,A3,'All Tasks'!$D:$D,"Medium")</f>
        <v/>
      </c>
      <c r="F3" s="2">
        <f>COUNTIFS('All Tasks'!$A:$A,A3,'All Tasks'!$D:$D,"Low")</f>
        <v/>
      </c>
      <c r="G3" s="2" t="n">
        <v>148</v>
      </c>
      <c r="H3" s="11">
        <f>AVERAGEIF('All Tasks'!$A:$A,A3,'All Tasks'!$O:$O)</f>
        <v/>
      </c>
      <c r="I3" s="12">
        <f>SUMIF('All Tasks'!$A:$A,A3,'All Tasks'!$P:$P)</f>
        <v/>
      </c>
      <c r="J3" s="6">
        <f>IF(G3&gt;0,I3/G3,0)</f>
        <v/>
      </c>
    </row>
    <row r="4">
      <c r="A4" s="2" t="inlineStr">
        <is>
          <t>COM</t>
        </is>
      </c>
      <c r="B4" s="2" t="inlineStr">
        <is>
          <t>Commercial &amp; Pricing</t>
        </is>
      </c>
      <c r="C4" s="2">
        <f>COUNTIF('All Tasks'!$A:$A,A4)</f>
        <v/>
      </c>
      <c r="D4" s="2">
        <f>COUNTIFS('All Tasks'!$A:$A,A4,'All Tasks'!$D:$D,"High")</f>
        <v/>
      </c>
      <c r="E4" s="2">
        <f>COUNTIFS('All Tasks'!$A:$A,A4,'All Tasks'!$D:$D,"Medium")</f>
        <v/>
      </c>
      <c r="F4" s="2">
        <f>COUNTIFS('All Tasks'!$A:$A,A4,'All Tasks'!$D:$D,"Low")</f>
        <v/>
      </c>
      <c r="G4" s="2" t="n">
        <v>32</v>
      </c>
      <c r="H4" s="11">
        <f>AVERAGEIF('All Tasks'!$A:$A,A4,'All Tasks'!$O:$O)</f>
        <v/>
      </c>
      <c r="I4" s="12">
        <f>SUMIF('All Tasks'!$A:$A,A4,'All Tasks'!$P:$P)</f>
        <v/>
      </c>
      <c r="J4" s="6">
        <f>IF(G4&gt;0,I4/G4,0)</f>
        <v/>
      </c>
    </row>
    <row r="5">
      <c r="A5" s="2" t="inlineStr">
        <is>
          <t>LEG</t>
        </is>
      </c>
      <c r="B5" s="2" t="inlineStr">
        <is>
          <t>Legal &amp; Contractual</t>
        </is>
      </c>
      <c r="C5" s="2">
        <f>COUNTIF('All Tasks'!$A:$A,A5)</f>
        <v/>
      </c>
      <c r="D5" s="2">
        <f>COUNTIFS('All Tasks'!$A:$A,A5,'All Tasks'!$D:$D,"High")</f>
        <v/>
      </c>
      <c r="E5" s="2">
        <f>COUNTIFS('All Tasks'!$A:$A,A5,'All Tasks'!$D:$D,"Medium")</f>
        <v/>
      </c>
      <c r="F5" s="2">
        <f>COUNTIFS('All Tasks'!$A:$A,A5,'All Tasks'!$D:$D,"Low")</f>
        <v/>
      </c>
      <c r="G5" s="2" t="n">
        <v>29</v>
      </c>
      <c r="H5" s="11">
        <f>AVERAGEIF('All Tasks'!$A:$A,A5,'All Tasks'!$O:$O)</f>
        <v/>
      </c>
      <c r="I5" s="12">
        <f>SUMIF('All Tasks'!$A:$A,A5,'All Tasks'!$P:$P)</f>
        <v/>
      </c>
      <c r="J5" s="6">
        <f>IF(G5&gt;0,I5/G5,0)</f>
        <v/>
      </c>
    </row>
    <row r="6">
      <c r="A6" s="2" t="inlineStr">
        <is>
          <t>DEL</t>
        </is>
      </c>
      <c r="B6" s="2" t="inlineStr">
        <is>
          <t>Programme &amp; Delivery</t>
        </is>
      </c>
      <c r="C6" s="2">
        <f>COUNTIF('All Tasks'!$A:$A,A6)</f>
        <v/>
      </c>
      <c r="D6" s="2">
        <f>COUNTIFS('All Tasks'!$A:$A,A6,'All Tasks'!$D:$D,"High")</f>
        <v/>
      </c>
      <c r="E6" s="2">
        <f>COUNTIFS('All Tasks'!$A:$A,A6,'All Tasks'!$D:$D,"Medium")</f>
        <v/>
      </c>
      <c r="F6" s="2">
        <f>COUNTIFS('All Tasks'!$A:$A,A6,'All Tasks'!$D:$D,"Low")</f>
        <v/>
      </c>
      <c r="G6" s="2" t="n">
        <v>29</v>
      </c>
      <c r="H6" s="11">
        <f>AVERAGEIF('All Tasks'!$A:$A,A6,'All Tasks'!$O:$O)</f>
        <v/>
      </c>
      <c r="I6" s="12">
        <f>SUMIF('All Tasks'!$A:$A,A6,'All Tasks'!$P:$P)</f>
        <v/>
      </c>
      <c r="J6" s="6">
        <f>IF(G6&gt;0,I6/G6,0)</f>
        <v/>
      </c>
    </row>
    <row r="7">
      <c r="A7" s="2" t="inlineStr">
        <is>
          <t>SUP</t>
        </is>
      </c>
      <c r="B7" s="2" t="inlineStr">
        <is>
          <t>Supply Chain &amp; Partners</t>
        </is>
      </c>
      <c r="C7" s="2">
        <f>COUNTIF('All Tasks'!$A:$A,A7)</f>
        <v/>
      </c>
      <c r="D7" s="2">
        <f>COUNTIFS('All Tasks'!$A:$A,A7,'All Tasks'!$D:$D,"High")</f>
        <v/>
      </c>
      <c r="E7" s="2">
        <f>COUNTIFS('All Tasks'!$A:$A,A7,'All Tasks'!$D:$D,"Medium")</f>
        <v/>
      </c>
      <c r="F7" s="2">
        <f>COUNTIFS('All Tasks'!$A:$A,A7,'All Tasks'!$D:$D,"Low")</f>
        <v/>
      </c>
      <c r="G7" s="2" t="n">
        <v>48</v>
      </c>
      <c r="H7" s="11">
        <f>AVERAGEIF('All Tasks'!$A:$A,A7,'All Tasks'!$O:$O)</f>
        <v/>
      </c>
      <c r="I7" s="12">
        <f>SUMIF('All Tasks'!$A:$A,A7,'All Tasks'!$P:$P)</f>
        <v/>
      </c>
      <c r="J7" s="6">
        <f>IF(G7&gt;0,I7/G7,0)</f>
        <v/>
      </c>
    </row>
    <row r="8">
      <c r="A8" s="2" t="inlineStr">
        <is>
          <t>BM</t>
        </is>
      </c>
      <c r="B8" s="2" t="inlineStr">
        <is>
          <t>Bid Management</t>
        </is>
      </c>
      <c r="C8" s="2">
        <f>COUNTIF('All Tasks'!$A:$A,A8)</f>
        <v/>
      </c>
      <c r="D8" s="2">
        <f>COUNTIFS('All Tasks'!$A:$A,A8,'All Tasks'!$D:$D,"High")</f>
        <v/>
      </c>
      <c r="E8" s="2">
        <f>COUNTIFS('All Tasks'!$A:$A,A8,'All Tasks'!$D:$D,"Medium")</f>
        <v/>
      </c>
      <c r="F8" s="2">
        <f>COUNTIFS('All Tasks'!$A:$A,A8,'All Tasks'!$D:$D,"Low")</f>
        <v/>
      </c>
      <c r="G8" s="2" t="n">
        <v>30</v>
      </c>
      <c r="H8" s="11">
        <f>AVERAGEIF('All Tasks'!$A:$A,A8,'All Tasks'!$O:$O)</f>
        <v/>
      </c>
      <c r="I8" s="12">
        <f>SUMIF('All Tasks'!$A:$A,A8,'All Tasks'!$P:$P)</f>
        <v/>
      </c>
      <c r="J8" s="6">
        <f>IF(G8&gt;0,I8/G8,0)</f>
        <v/>
      </c>
    </row>
    <row r="9">
      <c r="A9" s="2" t="inlineStr">
        <is>
          <t>PRD</t>
        </is>
      </c>
      <c r="B9" s="2" t="inlineStr">
        <is>
          <t>Proposal Production</t>
        </is>
      </c>
      <c r="C9" s="2">
        <f>COUNTIF('All Tasks'!$A:$A,A9)</f>
        <v/>
      </c>
      <c r="D9" s="2">
        <f>COUNTIFS('All Tasks'!$A:$A,A9,'All Tasks'!$D:$D,"High")</f>
        <v/>
      </c>
      <c r="E9" s="2">
        <f>COUNTIFS('All Tasks'!$A:$A,A9,'All Tasks'!$D:$D,"Medium")</f>
        <v/>
      </c>
      <c r="F9" s="2">
        <f>COUNTIFS('All Tasks'!$A:$A,A9,'All Tasks'!$D:$D,"Low")</f>
        <v/>
      </c>
      <c r="G9" s="2" t="n">
        <v>100</v>
      </c>
      <c r="H9" s="11">
        <f>AVERAGEIF('All Tasks'!$A:$A,A9,'All Tasks'!$O:$O)</f>
        <v/>
      </c>
      <c r="I9" s="12">
        <f>SUMIF('All Tasks'!$A:$A,A9,'All Tasks'!$P:$P)</f>
        <v/>
      </c>
      <c r="J9" s="6">
        <f>IF(G9&gt;0,I9/G9,0)</f>
        <v/>
      </c>
    </row>
    <row r="10">
      <c r="A10" s="2" t="inlineStr">
        <is>
          <t>GOV</t>
        </is>
      </c>
      <c r="B10" s="2" t="inlineStr">
        <is>
          <t>Internal Governance</t>
        </is>
      </c>
      <c r="C10" s="2">
        <f>COUNTIF('All Tasks'!$A:$A,A10)</f>
        <v/>
      </c>
      <c r="D10" s="2">
        <f>COUNTIFS('All Tasks'!$A:$A,A10,'All Tasks'!$D:$D,"High")</f>
        <v/>
      </c>
      <c r="E10" s="2">
        <f>COUNTIFS('All Tasks'!$A:$A,A10,'All Tasks'!$D:$D,"Medium")</f>
        <v/>
      </c>
      <c r="F10" s="2">
        <f>COUNTIFS('All Tasks'!$A:$A,A10,'All Tasks'!$D:$D,"Low")</f>
        <v/>
      </c>
      <c r="G10" s="2" t="n">
        <v>11</v>
      </c>
      <c r="H10" s="11">
        <f>AVERAGEIF('All Tasks'!$A:$A,A10,'All Tasks'!$O:$O)</f>
        <v/>
      </c>
      <c r="I10" s="12">
        <f>SUMIF('All Tasks'!$A:$A,A10,'All Tasks'!$P:$P)</f>
        <v/>
      </c>
      <c r="J10" s="6">
        <f>IF(G10&gt;0,I10/G10,0)</f>
        <v/>
      </c>
    </row>
    <row r="11">
      <c r="A11" s="2" t="inlineStr">
        <is>
          <t>POST</t>
        </is>
      </c>
      <c r="B11" s="2" t="inlineStr">
        <is>
          <t>Post-Submission</t>
        </is>
      </c>
      <c r="C11" s="2">
        <f>COUNTIF('All Tasks'!$A:$A,A11)</f>
        <v/>
      </c>
      <c r="D11" s="2">
        <f>COUNTIFS('All Tasks'!$A:$A,A11,'All Tasks'!$D:$D,"High")</f>
        <v/>
      </c>
      <c r="E11" s="2">
        <f>COUNTIFS('All Tasks'!$A:$A,A11,'All Tasks'!$D:$D,"Medium")</f>
        <v/>
      </c>
      <c r="F11" s="2">
        <f>COUNTIFS('All Tasks'!$A:$A,A11,'All Tasks'!$D:$D,"Low")</f>
        <v/>
      </c>
      <c r="G11" s="2" t="n">
        <v>39</v>
      </c>
      <c r="H11" s="11">
        <f>AVERAGEIF('All Tasks'!$A:$A,A11,'All Tasks'!$O:$O)</f>
        <v/>
      </c>
      <c r="I11" s="12">
        <f>SUMIF('All Tasks'!$A:$A,A11,'All Tasks'!$P:$P)</f>
        <v/>
      </c>
      <c r="J11" s="6">
        <f>IF(G11&gt;0,I11/G11,0)</f>
        <v/>
      </c>
    </row>
    <row r="12">
      <c r="A12" s="13" t="inlineStr">
        <is>
          <t>TOTAL</t>
        </is>
      </c>
      <c r="B12" s="13" t="inlineStr"/>
      <c r="C12" s="13">
        <f>SUM(C2:C11)</f>
        <v/>
      </c>
      <c r="D12" s="13">
        <f>SUM(D2:D11)</f>
        <v/>
      </c>
      <c r="E12" s="13">
        <f>SUM(E2:E11)</f>
        <v/>
      </c>
      <c r="F12" s="13">
        <f>SUM(F2:F11)</f>
        <v/>
      </c>
      <c r="G12" s="13">
        <f>SUM(G2:G11)</f>
        <v/>
      </c>
      <c r="H12" s="14">
        <f>AVERAGE('All Tasks'!$O:$O)</f>
        <v/>
      </c>
      <c r="I12" s="15">
        <f>SUM(I2:I11)</f>
        <v/>
      </c>
      <c r="J12" s="16">
        <f>IF(G12&gt;0,I12/G12,0)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5" customWidth="1" min="3" max="3"/>
    <col width="14" customWidth="1" min="4" max="4"/>
    <col width="10" customWidth="1" min="5" max="5"/>
    <col width="10" customWidth="1" min="6" max="6"/>
    <col width="16" customWidth="1" min="7" max="7"/>
    <col width="14" customWidth="1" min="8" max="8"/>
    <col width="16" customWidth="1" min="9" max="9"/>
    <col width="14" customWidth="1" min="10" max="10"/>
    <col width="50" customWidth="1" min="11" max="11"/>
  </cols>
  <sheetData>
    <row r="1">
      <c r="A1" s="1" t="inlineStr">
        <is>
          <t>Workstream</t>
        </is>
      </c>
      <c r="B1" s="1" t="inlineStr">
        <is>
          <t>Activity Code</t>
        </is>
      </c>
      <c r="C1" s="1" t="inlineStr">
        <is>
          <t>Activity Name</t>
        </is>
      </c>
      <c r="D1" s="1" t="inlineStr">
        <is>
          <t>Effort (person-days)</t>
        </is>
      </c>
      <c r="E1" s="1" t="inlineStr">
        <is>
          <t>Team Size</t>
        </is>
      </c>
      <c r="F1" s="1" t="inlineStr">
        <is>
          <t>L3 Tasks</t>
        </is>
      </c>
      <c r="G1" s="1" t="inlineStr">
        <is>
          <t>Avg Effective Reduction %</t>
        </is>
      </c>
      <c r="H1" s="1" t="inlineStr">
        <is>
          <t>AI Days Saved</t>
        </is>
      </c>
      <c r="I1" s="1" t="inlineStr">
        <is>
          <t>Remaining Effort (days)</t>
        </is>
      </c>
      <c r="J1" s="1" t="inlineStr">
        <is>
          <t>Effort Reduction %</t>
        </is>
      </c>
      <c r="K1" s="1" t="inlineStr">
        <is>
          <t>Methodology Note</t>
        </is>
      </c>
    </row>
    <row r="2">
      <c r="A2" s="17" t="inlineStr">
        <is>
          <t>SAL</t>
        </is>
      </c>
      <c r="B2" s="17" t="inlineStr">
        <is>
          <t>SAL-01</t>
        </is>
      </c>
      <c r="C2" s="17" t="inlineStr">
        <is>
          <t>Customer engagement &amp; intelligence gathering</t>
        </is>
      </c>
      <c r="D2" s="17" t="n">
        <v>10</v>
      </c>
      <c r="E2" s="17" t="n">
        <v>1</v>
      </c>
      <c r="F2" s="17">
        <f>COUNTIF('All Tasks'!$B:$B,B2)</f>
        <v/>
      </c>
      <c r="G2" s="18">
        <f>AVERAGEIF('All Tasks'!$B:$B,B2,'All Tasks'!$O:$O)</f>
        <v/>
      </c>
      <c r="H2" s="19">
        <f>SUMIF('All Tasks'!$B:$B,B2,'All Tasks'!$P:$P)</f>
        <v/>
      </c>
      <c r="I2" s="19">
        <f>D2-H2</f>
        <v/>
      </c>
      <c r="J2" s="20">
        <f>IF(D2&gt;0,H2/D2,0)</f>
        <v/>
      </c>
      <c r="K2" s="17" t="inlineStr"/>
    </row>
    <row r="3">
      <c r="A3" s="17" t="inlineStr">
        <is>
          <t>SAL</t>
        </is>
      </c>
      <c r="B3" s="17" t="inlineStr">
        <is>
          <t>SAL-02</t>
        </is>
      </c>
      <c r="C3" s="17" t="inlineStr">
        <is>
          <t>Incumbent performance review</t>
        </is>
      </c>
      <c r="D3" s="17" t="n">
        <v>5</v>
      </c>
      <c r="E3" s="17" t="n">
        <v>1</v>
      </c>
      <c r="F3" s="17">
        <f>COUNTIF('All Tasks'!$B:$B,B3)</f>
        <v/>
      </c>
      <c r="G3" s="18">
        <f>AVERAGEIF('All Tasks'!$B:$B,B3,'All Tasks'!$O:$O)</f>
        <v/>
      </c>
      <c r="H3" s="19">
        <f>SUMIF('All Tasks'!$B:$B,B3,'All Tasks'!$P:$P)</f>
        <v/>
      </c>
      <c r="I3" s="19">
        <f>D3-H3</f>
        <v/>
      </c>
      <c r="J3" s="20">
        <f>IF(D3&gt;0,H3/D3,0)</f>
        <v/>
      </c>
      <c r="K3" s="17" t="inlineStr"/>
    </row>
    <row r="4">
      <c r="A4" s="17" t="inlineStr">
        <is>
          <t>SAL</t>
        </is>
      </c>
      <c r="B4" s="17" t="inlineStr">
        <is>
          <t>SAL-03</t>
        </is>
      </c>
      <c r="C4" s="17" t="inlineStr">
        <is>
          <t>Competitor analysis &amp; positioning</t>
        </is>
      </c>
      <c r="D4" s="17" t="n">
        <v>5</v>
      </c>
      <c r="E4" s="17" t="n">
        <v>1</v>
      </c>
      <c r="F4" s="17">
        <f>COUNTIF('All Tasks'!$B:$B,B4)</f>
        <v/>
      </c>
      <c r="G4" s="18">
        <f>AVERAGEIF('All Tasks'!$B:$B,B4,'All Tasks'!$O:$O)</f>
        <v/>
      </c>
      <c r="H4" s="19">
        <f>SUMIF('All Tasks'!$B:$B,B4,'All Tasks'!$P:$P)</f>
        <v/>
      </c>
      <c r="I4" s="19">
        <f>D4-H4</f>
        <v/>
      </c>
      <c r="J4" s="20">
        <f>IF(D4&gt;0,H4/D4,0)</f>
        <v/>
      </c>
      <c r="K4" s="17" t="inlineStr"/>
    </row>
    <row r="5">
      <c r="A5" s="17" t="inlineStr">
        <is>
          <t>SAL</t>
        </is>
      </c>
      <c r="B5" s="17" t="inlineStr">
        <is>
          <t>SAL-04</t>
        </is>
      </c>
      <c r="C5" s="17" t="inlineStr">
        <is>
          <t>Win theme development &amp; refinement</t>
        </is>
      </c>
      <c r="D5" s="17" t="n">
        <v>5</v>
      </c>
      <c r="E5" s="17" t="n">
        <v>1</v>
      </c>
      <c r="F5" s="17">
        <f>COUNTIF('All Tasks'!$B:$B,B5)</f>
        <v/>
      </c>
      <c r="G5" s="18">
        <f>AVERAGEIF('All Tasks'!$B:$B,B5,'All Tasks'!$O:$O)</f>
        <v/>
      </c>
      <c r="H5" s="19">
        <f>SUMIF('All Tasks'!$B:$B,B5,'All Tasks'!$P:$P)</f>
        <v/>
      </c>
      <c r="I5" s="19">
        <f>D5-H5</f>
        <v/>
      </c>
      <c r="J5" s="20">
        <f>IF(D5&gt;0,H5/D5,0)</f>
        <v/>
      </c>
      <c r="K5" s="17" t="inlineStr"/>
    </row>
    <row r="6">
      <c r="A6" s="17" t="inlineStr">
        <is>
          <t>SAL</t>
        </is>
      </c>
      <c r="B6" s="17" t="inlineStr">
        <is>
          <t>SAL-05</t>
        </is>
      </c>
      <c r="C6" s="17" t="inlineStr">
        <is>
          <t>Evaluation criteria mapping &amp; scoring strategy</t>
        </is>
      </c>
      <c r="D6" s="17" t="n">
        <v>3</v>
      </c>
      <c r="E6" s="17" t="n">
        <v>1</v>
      </c>
      <c r="F6" s="17">
        <f>COUNTIF('All Tasks'!$B:$B,B6)</f>
        <v/>
      </c>
      <c r="G6" s="18">
        <f>AVERAGEIF('All Tasks'!$B:$B,B6,'All Tasks'!$O:$O)</f>
        <v/>
      </c>
      <c r="H6" s="19">
        <f>SUMIF('All Tasks'!$B:$B,B6,'All Tasks'!$P:$P)</f>
        <v/>
      </c>
      <c r="I6" s="19">
        <f>D6-H6</f>
        <v/>
      </c>
      <c r="J6" s="20">
        <f>IF(D6&gt;0,H6/D6,0)</f>
        <v/>
      </c>
      <c r="K6" s="17" t="inlineStr"/>
    </row>
    <row r="7">
      <c r="A7" s="17" t="inlineStr">
        <is>
          <t>SAL</t>
        </is>
      </c>
      <c r="B7" s="17" t="inlineStr">
        <is>
          <t>SAL-06</t>
        </is>
      </c>
      <c r="C7" s="17" t="inlineStr">
        <is>
          <t>Capture plan finalisation &amp; win strategy lock</t>
        </is>
      </c>
      <c r="D7" s="17" t="n">
        <v>3</v>
      </c>
      <c r="E7" s="17" t="n">
        <v>1</v>
      </c>
      <c r="F7" s="17">
        <f>COUNTIF('All Tasks'!$B:$B,B7)</f>
        <v/>
      </c>
      <c r="G7" s="18">
        <f>AVERAGEIF('All Tasks'!$B:$B,B7,'All Tasks'!$O:$O)</f>
        <v/>
      </c>
      <c r="H7" s="19">
        <f>SUMIF('All Tasks'!$B:$B,B7,'All Tasks'!$P:$P)</f>
        <v/>
      </c>
      <c r="I7" s="19">
        <f>D7-H7</f>
        <v/>
      </c>
      <c r="J7" s="20">
        <f>IF(D7&gt;0,H7/D7,0)</f>
        <v/>
      </c>
      <c r="K7" s="17" t="inlineStr"/>
    </row>
    <row r="8">
      <c r="A8" s="17" t="inlineStr">
        <is>
          <t>SAL</t>
        </is>
      </c>
      <c r="B8" s="17" t="inlineStr">
        <is>
          <t>SAL-07</t>
        </is>
      </c>
      <c r="C8" s="17" t="inlineStr">
        <is>
          <t>Pre-submission clarification strategy &amp; drafting</t>
        </is>
      </c>
      <c r="D8" s="17" t="n">
        <v>3</v>
      </c>
      <c r="E8" s="17" t="n">
        <v>2</v>
      </c>
      <c r="F8" s="17">
        <f>COUNTIF('All Tasks'!$B:$B,B8)</f>
        <v/>
      </c>
      <c r="G8" s="18">
        <f>AVERAGEIF('All Tasks'!$B:$B,B8,'All Tasks'!$O:$O)</f>
        <v/>
      </c>
      <c r="H8" s="19">
        <f>SUMIF('All Tasks'!$B:$B,B8,'All Tasks'!$P:$P)</f>
        <v/>
      </c>
      <c r="I8" s="19">
        <f>D8-H8</f>
        <v/>
      </c>
      <c r="J8" s="20">
        <f>IF(D8&gt;0,H8/D8,0)</f>
        <v/>
      </c>
      <c r="K8" s="17" t="inlineStr"/>
    </row>
    <row r="9">
      <c r="A9" s="17" t="inlineStr">
        <is>
          <t>SAL</t>
        </is>
      </c>
      <c r="B9" s="17" t="inlineStr">
        <is>
          <t>SAL-10</t>
        </is>
      </c>
      <c r="C9" s="17" t="inlineStr">
        <is>
          <t>Stakeholder relationship mapping &amp; engagement</t>
        </is>
      </c>
      <c r="D9" s="17" t="n">
        <v>5</v>
      </c>
      <c r="E9" s="17" t="n">
        <v>1</v>
      </c>
      <c r="F9" s="17">
        <f>COUNTIF('All Tasks'!$B:$B,B9)</f>
        <v/>
      </c>
      <c r="G9" s="18">
        <f>AVERAGEIF('All Tasks'!$B:$B,B9,'All Tasks'!$O:$O)</f>
        <v/>
      </c>
      <c r="H9" s="19">
        <f>SUMIF('All Tasks'!$B:$B,B9,'All Tasks'!$P:$P)</f>
        <v/>
      </c>
      <c r="I9" s="19">
        <f>D9-H9</f>
        <v/>
      </c>
      <c r="J9" s="20">
        <f>IF(D9&gt;0,H9/D9,0)</f>
        <v/>
      </c>
      <c r="K9" s="17" t="inlineStr"/>
    </row>
    <row r="10">
      <c r="A10" s="21" t="inlineStr"/>
      <c r="B10" s="21" t="inlineStr">
        <is>
          <t>SAL SUBTOTAL</t>
        </is>
      </c>
      <c r="C10" s="21" t="inlineStr">
        <is>
          <t>Sales &amp; Capture</t>
        </is>
      </c>
      <c r="D10" s="21">
        <f>SUM(D2:D9)</f>
        <v/>
      </c>
      <c r="E10" s="21" t="inlineStr"/>
      <c r="F10" s="21" t="inlineStr"/>
      <c r="G10" s="21" t="inlineStr"/>
      <c r="H10" s="22">
        <f>SUM(H2:H9)</f>
        <v/>
      </c>
      <c r="I10" s="22">
        <f>D10-H10</f>
        <v/>
      </c>
      <c r="J10" s="23">
        <f>IF(D10&gt;0,H10/D10,0)</f>
        <v/>
      </c>
      <c r="K10" s="21" t="inlineStr"/>
    </row>
    <row r="11">
      <c r="A11" s="17" t="inlineStr">
        <is>
          <t>SOL</t>
        </is>
      </c>
      <c r="B11" s="17" t="inlineStr">
        <is>
          <t>SOL-01</t>
        </is>
      </c>
      <c r="C11" s="17" t="inlineStr">
        <is>
          <t>Requirements analysis &amp; interpretation</t>
        </is>
      </c>
      <c r="D11" s="17" t="n">
        <v>5</v>
      </c>
      <c r="E11" s="17" t="n">
        <v>2</v>
      </c>
      <c r="F11" s="17">
        <f>COUNTIF('All Tasks'!$B:$B,B11)</f>
        <v/>
      </c>
      <c r="G11" s="18">
        <f>AVERAGEIF('All Tasks'!$B:$B,B11,'All Tasks'!$O:$O)</f>
        <v/>
      </c>
      <c r="H11" s="19">
        <f>SUMIF('All Tasks'!$B:$B,B11,'All Tasks'!$P:$P)</f>
        <v/>
      </c>
      <c r="I11" s="19">
        <f>D11-H11</f>
        <v/>
      </c>
      <c r="J11" s="20">
        <f>IF(D11&gt;0,H11/D11,0)</f>
        <v/>
      </c>
      <c r="K11" s="17" t="inlineStr"/>
    </row>
    <row r="12">
      <c r="A12" s="17" t="inlineStr">
        <is>
          <t>SOL</t>
        </is>
      </c>
      <c r="B12" s="17" t="inlineStr">
        <is>
          <t>SOL-02</t>
        </is>
      </c>
      <c r="C12" s="17" t="inlineStr">
        <is>
          <t>Current operating model assessment</t>
        </is>
      </c>
      <c r="D12" s="17" t="n">
        <v>5</v>
      </c>
      <c r="E12" s="17" t="n">
        <v>1</v>
      </c>
      <c r="F12" s="17">
        <f>COUNTIF('All Tasks'!$B:$B,B12)</f>
        <v/>
      </c>
      <c r="G12" s="18">
        <f>AVERAGEIF('All Tasks'!$B:$B,B12,'All Tasks'!$O:$O)</f>
        <v/>
      </c>
      <c r="H12" s="19">
        <f>SUMIF('All Tasks'!$B:$B,B12,'All Tasks'!$P:$P)</f>
        <v/>
      </c>
      <c r="I12" s="19">
        <f>D12-H12</f>
        <v/>
      </c>
      <c r="J12" s="20">
        <f>IF(D12&gt;0,H12/D12,0)</f>
        <v/>
      </c>
      <c r="K12" s="17" t="inlineStr"/>
    </row>
    <row r="13">
      <c r="A13" s="17" t="inlineStr">
        <is>
          <t>SOL</t>
        </is>
      </c>
      <c r="B13" s="17" t="inlineStr">
        <is>
          <t>SOL-03</t>
        </is>
      </c>
      <c r="C13" s="17" t="inlineStr">
        <is>
          <t>Target operating model design</t>
        </is>
      </c>
      <c r="D13" s="17" t="n">
        <v>45</v>
      </c>
      <c r="E13" s="17" t="n">
        <v>3</v>
      </c>
      <c r="F13" s="17">
        <f>COUNTIF('All Tasks'!$B:$B,B13)</f>
        <v/>
      </c>
      <c r="G13" s="18">
        <f>AVERAGEIF('All Tasks'!$B:$B,B13,'All Tasks'!$O:$O)</f>
        <v/>
      </c>
      <c r="H13" s="19">
        <f>SUMIF('All Tasks'!$B:$B,B13,'All Tasks'!$P:$P)</f>
        <v/>
      </c>
      <c r="I13" s="19">
        <f>D13-H13</f>
        <v/>
      </c>
      <c r="J13" s="20">
        <f>IF(D13&gt;0,H13/D13,0)</f>
        <v/>
      </c>
      <c r="K13" s="17" t="inlineStr"/>
    </row>
    <row r="14">
      <c r="A14" s="17" t="inlineStr">
        <is>
          <t>SOL</t>
        </is>
      </c>
      <c r="B14" s="17" t="inlineStr">
        <is>
          <t>SOL-04</t>
        </is>
      </c>
      <c r="C14" s="17" t="inlineStr">
        <is>
          <t>Service delivery model design</t>
        </is>
      </c>
      <c r="D14" s="17" t="n">
        <v>30</v>
      </c>
      <c r="E14" s="17" t="n">
        <v>3</v>
      </c>
      <c r="F14" s="17">
        <f>COUNTIF('All Tasks'!$B:$B,B14)</f>
        <v/>
      </c>
      <c r="G14" s="18">
        <f>AVERAGEIF('All Tasks'!$B:$B,B14,'All Tasks'!$O:$O)</f>
        <v/>
      </c>
      <c r="H14" s="19">
        <f>SUMIF('All Tasks'!$B:$B,B14,'All Tasks'!$P:$P)</f>
        <v/>
      </c>
      <c r="I14" s="19">
        <f>D14-H14</f>
        <v/>
      </c>
      <c r="J14" s="20">
        <f>IF(D14&gt;0,H14/D14,0)</f>
        <v/>
      </c>
      <c r="K14" s="17" t="inlineStr"/>
    </row>
    <row r="15">
      <c r="A15" s="17" t="inlineStr">
        <is>
          <t>SOL</t>
        </is>
      </c>
      <c r="B15" s="17" t="inlineStr">
        <is>
          <t>SOL-05</t>
        </is>
      </c>
      <c r="C15" s="17" t="inlineStr">
        <is>
          <t>Technology &amp; digital approach</t>
        </is>
      </c>
      <c r="D15" s="17" t="n">
        <v>20</v>
      </c>
      <c r="E15" s="17" t="n">
        <v>2</v>
      </c>
      <c r="F15" s="17">
        <f>COUNTIF('All Tasks'!$B:$B,B15)</f>
        <v/>
      </c>
      <c r="G15" s="18">
        <f>AVERAGEIF('All Tasks'!$B:$B,B15,'All Tasks'!$O:$O)</f>
        <v/>
      </c>
      <c r="H15" s="19">
        <f>SUMIF('All Tasks'!$B:$B,B15,'All Tasks'!$P:$P)</f>
        <v/>
      </c>
      <c r="I15" s="19">
        <f>D15-H15</f>
        <v/>
      </c>
      <c r="J15" s="20">
        <f>IF(D15&gt;0,H15/D15,0)</f>
        <v/>
      </c>
      <c r="K15" s="17" t="inlineStr"/>
    </row>
    <row r="16">
      <c r="A16" s="17" t="inlineStr">
        <is>
          <t>SOL</t>
        </is>
      </c>
      <c r="B16" s="17" t="inlineStr">
        <is>
          <t>SOL-06</t>
        </is>
      </c>
      <c r="C16" s="17" t="inlineStr">
        <is>
          <t>Staffing model &amp; TUPE analysis</t>
        </is>
      </c>
      <c r="D16" s="17" t="n">
        <v>8</v>
      </c>
      <c r="E16" s="17" t="n">
        <v>1</v>
      </c>
      <c r="F16" s="17">
        <f>COUNTIF('All Tasks'!$B:$B,B16)</f>
        <v/>
      </c>
      <c r="G16" s="18">
        <f>AVERAGEIF('All Tasks'!$B:$B,B16,'All Tasks'!$O:$O)</f>
        <v/>
      </c>
      <c r="H16" s="19">
        <f>SUMIF('All Tasks'!$B:$B,B16,'All Tasks'!$P:$P)</f>
        <v/>
      </c>
      <c r="I16" s="19">
        <f>D16-H16</f>
        <v/>
      </c>
      <c r="J16" s="20">
        <f>IF(D16&gt;0,H16/D16,0)</f>
        <v/>
      </c>
      <c r="K16" s="17" t="inlineStr"/>
    </row>
    <row r="17">
      <c r="A17" s="17" t="inlineStr">
        <is>
          <t>SOL</t>
        </is>
      </c>
      <c r="B17" s="17" t="inlineStr">
        <is>
          <t>SOL-07</t>
        </is>
      </c>
      <c r="C17" s="17" t="inlineStr">
        <is>
          <t>Transition &amp; mobilisation approach</t>
        </is>
      </c>
      <c r="D17" s="17" t="n">
        <v>16</v>
      </c>
      <c r="E17" s="17" t="n">
        <v>2</v>
      </c>
      <c r="F17" s="17">
        <f>COUNTIF('All Tasks'!$B:$B,B17)</f>
        <v/>
      </c>
      <c r="G17" s="18">
        <f>AVERAGEIF('All Tasks'!$B:$B,B17,'All Tasks'!$O:$O)</f>
        <v/>
      </c>
      <c r="H17" s="19">
        <f>SUMIF('All Tasks'!$B:$B,B17,'All Tasks'!$P:$P)</f>
        <v/>
      </c>
      <c r="I17" s="19">
        <f>D17-H17</f>
        <v/>
      </c>
      <c r="J17" s="20">
        <f>IF(D17&gt;0,H17/D17,0)</f>
        <v/>
      </c>
      <c r="K17" s="17" t="inlineStr"/>
    </row>
    <row r="18">
      <c r="A18" s="17" t="inlineStr">
        <is>
          <t>SOL</t>
        </is>
      </c>
      <c r="B18" s="17" t="inlineStr">
        <is>
          <t>SOL-08</t>
        </is>
      </c>
      <c r="C18" s="17" t="inlineStr">
        <is>
          <t>Innovation &amp; continuous improvement</t>
        </is>
      </c>
      <c r="D18" s="17" t="n">
        <v>5</v>
      </c>
      <c r="E18" s="17" t="n">
        <v>1</v>
      </c>
      <c r="F18" s="17">
        <f>COUNTIF('All Tasks'!$B:$B,B18)</f>
        <v/>
      </c>
      <c r="G18" s="18">
        <f>AVERAGEIF('All Tasks'!$B:$B,B18,'All Tasks'!$O:$O)</f>
        <v/>
      </c>
      <c r="H18" s="19">
        <f>SUMIF('All Tasks'!$B:$B,B18,'All Tasks'!$P:$P)</f>
        <v/>
      </c>
      <c r="I18" s="19">
        <f>D18-H18</f>
        <v/>
      </c>
      <c r="J18" s="20">
        <f>IF(D18&gt;0,H18/D18,0)</f>
        <v/>
      </c>
      <c r="K18" s="17" t="inlineStr"/>
    </row>
    <row r="19">
      <c r="A19" s="17" t="inlineStr">
        <is>
          <t>SOL</t>
        </is>
      </c>
      <c r="B19" s="17" t="inlineStr">
        <is>
          <t>SOL-09</t>
        </is>
      </c>
      <c r="C19" s="17" t="inlineStr">
        <is>
          <t>Social value proposition</t>
        </is>
      </c>
      <c r="D19" s="17" t="n">
        <v>5</v>
      </c>
      <c r="E19" s="17" t="n">
        <v>1</v>
      </c>
      <c r="F19" s="17">
        <f>COUNTIF('All Tasks'!$B:$B,B19)</f>
        <v/>
      </c>
      <c r="G19" s="18">
        <f>AVERAGEIF('All Tasks'!$B:$B,B19,'All Tasks'!$O:$O)</f>
        <v/>
      </c>
      <c r="H19" s="19">
        <f>SUMIF('All Tasks'!$B:$B,B19,'All Tasks'!$P:$P)</f>
        <v/>
      </c>
      <c r="I19" s="19">
        <f>D19-H19</f>
        <v/>
      </c>
      <c r="J19" s="20">
        <f>IF(D19&gt;0,H19/D19,0)</f>
        <v/>
      </c>
      <c r="K19" s="17" t="inlineStr"/>
    </row>
    <row r="20">
      <c r="A20" s="17" t="inlineStr">
        <is>
          <t>SOL</t>
        </is>
      </c>
      <c r="B20" s="17" t="inlineStr">
        <is>
          <t>SOL-10</t>
        </is>
      </c>
      <c r="C20" s="17" t="inlineStr">
        <is>
          <t>Evidence strategy &amp; case study identification</t>
        </is>
      </c>
      <c r="D20" s="17" t="n">
        <v>3</v>
      </c>
      <c r="E20" s="17" t="n">
        <v>1</v>
      </c>
      <c r="F20" s="17">
        <f>COUNTIF('All Tasks'!$B:$B,B20)</f>
        <v/>
      </c>
      <c r="G20" s="18">
        <f>AVERAGEIF('All Tasks'!$B:$B,B20,'All Tasks'!$O:$O)</f>
        <v/>
      </c>
      <c r="H20" s="19">
        <f>SUMIF('All Tasks'!$B:$B,B20,'All Tasks'!$P:$P)</f>
        <v/>
      </c>
      <c r="I20" s="19">
        <f>D20-H20</f>
        <v/>
      </c>
      <c r="J20" s="20">
        <f>IF(D20&gt;0,H20/D20,0)</f>
        <v/>
      </c>
      <c r="K20" s="17" t="inlineStr"/>
    </row>
    <row r="21">
      <c r="A21" s="17" t="inlineStr">
        <is>
          <t>SOL</t>
        </is>
      </c>
      <c r="B21" s="17" t="inlineStr">
        <is>
          <t>SOL-11</t>
        </is>
      </c>
      <c r="C21" s="17" t="inlineStr">
        <is>
          <t>Solution design lock</t>
        </is>
      </c>
      <c r="D21" s="17" t="n">
        <v>3</v>
      </c>
      <c r="E21" s="17" t="n">
        <v>1</v>
      </c>
      <c r="F21" s="17">
        <f>COUNTIF('All Tasks'!$B:$B,B21)</f>
        <v/>
      </c>
      <c r="G21" s="18">
        <f>AVERAGEIF('All Tasks'!$B:$B,B21,'All Tasks'!$O:$O)</f>
        <v/>
      </c>
      <c r="H21" s="19">
        <f>SUMIF('All Tasks'!$B:$B,B21,'All Tasks'!$P:$P)</f>
        <v/>
      </c>
      <c r="I21" s="19">
        <f>D21-H21</f>
        <v/>
      </c>
      <c r="J21" s="20">
        <f>IF(D21&gt;0,H21/D21,0)</f>
        <v/>
      </c>
      <c r="K21" s="17" t="inlineStr"/>
    </row>
    <row r="22">
      <c r="A22" s="17" t="inlineStr">
        <is>
          <t>SOL</t>
        </is>
      </c>
      <c r="B22" s="17" t="inlineStr">
        <is>
          <t>SOL-12</t>
        </is>
      </c>
      <c r="C22" s="17" t="inlineStr">
        <is>
          <t>Solution risk identification &amp; analysis</t>
        </is>
      </c>
      <c r="D22" s="17" t="n">
        <v>3</v>
      </c>
      <c r="E22" s="17" t="n">
        <v>1</v>
      </c>
      <c r="F22" s="17">
        <f>COUNTIF('All Tasks'!$B:$B,B22)</f>
        <v/>
      </c>
      <c r="G22" s="18">
        <f>AVERAGEIF('All Tasks'!$B:$B,B22,'All Tasks'!$O:$O)</f>
        <v/>
      </c>
      <c r="H22" s="19">
        <f>SUMIF('All Tasks'!$B:$B,B22,'All Tasks'!$P:$P)</f>
        <v/>
      </c>
      <c r="I22" s="19">
        <f>D22-H22</f>
        <v/>
      </c>
      <c r="J22" s="20">
        <f>IF(D22&gt;0,H22/D22,0)</f>
        <v/>
      </c>
      <c r="K22" s="17" t="inlineStr"/>
    </row>
    <row r="23">
      <c r="A23" s="21" t="inlineStr"/>
      <c r="B23" s="21" t="inlineStr">
        <is>
          <t>SOL SUBTOTAL</t>
        </is>
      </c>
      <c r="C23" s="21" t="inlineStr">
        <is>
          <t>Solution Design</t>
        </is>
      </c>
      <c r="D23" s="21">
        <f>SUM(D11:D22)</f>
        <v/>
      </c>
      <c r="E23" s="21" t="inlineStr"/>
      <c r="F23" s="21" t="inlineStr"/>
      <c r="G23" s="21" t="inlineStr"/>
      <c r="H23" s="22">
        <f>SUM(H11:H22)</f>
        <v/>
      </c>
      <c r="I23" s="22">
        <f>D23-H23</f>
        <v/>
      </c>
      <c r="J23" s="23">
        <f>IF(D23&gt;0,H23/D23,0)</f>
        <v/>
      </c>
      <c r="K23" s="21" t="inlineStr"/>
    </row>
    <row r="24">
      <c r="A24" s="17" t="inlineStr">
        <is>
          <t>COM</t>
        </is>
      </c>
      <c r="B24" s="17" t="inlineStr">
        <is>
          <t>COM-01</t>
        </is>
      </c>
      <c r="C24" s="17" t="inlineStr">
        <is>
          <t>Should-cost model development</t>
        </is>
      </c>
      <c r="D24" s="17" t="n">
        <v>8</v>
      </c>
      <c r="E24" s="17" t="n">
        <v>1</v>
      </c>
      <c r="F24" s="17">
        <f>COUNTIF('All Tasks'!$B:$B,B24)</f>
        <v/>
      </c>
      <c r="G24" s="18">
        <f>AVERAGEIF('All Tasks'!$B:$B,B24,'All Tasks'!$O:$O)</f>
        <v/>
      </c>
      <c r="H24" s="19">
        <f>SUMIF('All Tasks'!$B:$B,B24,'All Tasks'!$P:$P)</f>
        <v/>
      </c>
      <c r="I24" s="19">
        <f>D24-H24</f>
        <v/>
      </c>
      <c r="J24" s="20">
        <f>IF(D24&gt;0,H24/D24,0)</f>
        <v/>
      </c>
      <c r="K24" s="17" t="inlineStr"/>
    </row>
    <row r="25">
      <c r="A25" s="17" t="inlineStr">
        <is>
          <t>COM</t>
        </is>
      </c>
      <c r="B25" s="17" t="inlineStr">
        <is>
          <t>COM-02</t>
        </is>
      </c>
      <c r="C25" s="17" t="inlineStr">
        <is>
          <t>Price-to-win analysis</t>
        </is>
      </c>
      <c r="D25" s="17" t="n">
        <v>3</v>
      </c>
      <c r="E25" s="17" t="n">
        <v>1</v>
      </c>
      <c r="F25" s="17">
        <f>COUNTIF('All Tasks'!$B:$B,B25)</f>
        <v/>
      </c>
      <c r="G25" s="18">
        <f>AVERAGEIF('All Tasks'!$B:$B,B25,'All Tasks'!$O:$O)</f>
        <v/>
      </c>
      <c r="H25" s="19">
        <f>SUMIF('All Tasks'!$B:$B,B25,'All Tasks'!$P:$P)</f>
        <v/>
      </c>
      <c r="I25" s="19">
        <f>D25-H25</f>
        <v/>
      </c>
      <c r="J25" s="20">
        <f>IF(D25&gt;0,H25/D25,0)</f>
        <v/>
      </c>
      <c r="K25" s="17" t="inlineStr"/>
    </row>
    <row r="26">
      <c r="A26" s="17" t="inlineStr">
        <is>
          <t>COM</t>
        </is>
      </c>
      <c r="B26" s="17" t="inlineStr">
        <is>
          <t>COM-03</t>
        </is>
      </c>
      <c r="C26" s="17" t="inlineStr">
        <is>
          <t>Subcontractor &amp; supply chain pricing</t>
        </is>
      </c>
      <c r="D26" s="17" t="n">
        <v>5</v>
      </c>
      <c r="E26" s="17" t="n">
        <v>1</v>
      </c>
      <c r="F26" s="17">
        <f>COUNTIF('All Tasks'!$B:$B,B26)</f>
        <v/>
      </c>
      <c r="G26" s="18">
        <f>AVERAGEIF('All Tasks'!$B:$B,B26,'All Tasks'!$O:$O)</f>
        <v/>
      </c>
      <c r="H26" s="19">
        <f>SUMIF('All Tasks'!$B:$B,B26,'All Tasks'!$P:$P)</f>
        <v/>
      </c>
      <c r="I26" s="19">
        <f>D26-H26</f>
        <v/>
      </c>
      <c r="J26" s="20">
        <f>IF(D26&gt;0,H26/D26,0)</f>
        <v/>
      </c>
      <c r="K26" s="17" t="inlineStr"/>
    </row>
    <row r="27">
      <c r="A27" s="17" t="inlineStr">
        <is>
          <t>COM</t>
        </is>
      </c>
      <c r="B27" s="17" t="inlineStr">
        <is>
          <t>COM-04</t>
        </is>
      </c>
      <c r="C27" s="17" t="inlineStr">
        <is>
          <t>Commercial model &amp; payment mechanisms</t>
        </is>
      </c>
      <c r="D27" s="17" t="n">
        <v>5</v>
      </c>
      <c r="E27" s="17" t="n">
        <v>1</v>
      </c>
      <c r="F27" s="17">
        <f>COUNTIF('All Tasks'!$B:$B,B27)</f>
        <v/>
      </c>
      <c r="G27" s="18">
        <f>AVERAGEIF('All Tasks'!$B:$B,B27,'All Tasks'!$O:$O)</f>
        <v/>
      </c>
      <c r="H27" s="19">
        <f>SUMIF('All Tasks'!$B:$B,B27,'All Tasks'!$P:$P)</f>
        <v/>
      </c>
      <c r="I27" s="19">
        <f>D27-H27</f>
        <v/>
      </c>
      <c r="J27" s="20">
        <f>IF(D27&gt;0,H27/D27,0)</f>
        <v/>
      </c>
      <c r="K27" s="17" t="inlineStr"/>
    </row>
    <row r="28">
      <c r="A28" s="17" t="inlineStr">
        <is>
          <t>COM</t>
        </is>
      </c>
      <c r="B28" s="17" t="inlineStr">
        <is>
          <t>COM-05</t>
        </is>
      </c>
      <c r="C28" s="17" t="inlineStr">
        <is>
          <t>Margin structure &amp; sensitivity analysis</t>
        </is>
      </c>
      <c r="D28" s="17" t="n">
        <v>3</v>
      </c>
      <c r="E28" s="17" t="n">
        <v>1</v>
      </c>
      <c r="F28" s="17">
        <f>COUNTIF('All Tasks'!$B:$B,B28)</f>
        <v/>
      </c>
      <c r="G28" s="18">
        <f>AVERAGEIF('All Tasks'!$B:$B,B28,'All Tasks'!$O:$O)</f>
        <v/>
      </c>
      <c r="H28" s="19">
        <f>SUMIF('All Tasks'!$B:$B,B28,'All Tasks'!$P:$P)</f>
        <v/>
      </c>
      <c r="I28" s="19">
        <f>D28-H28</f>
        <v/>
      </c>
      <c r="J28" s="20">
        <f>IF(D28&gt;0,H28/D28,0)</f>
        <v/>
      </c>
      <c r="K28" s="17" t="inlineStr"/>
    </row>
    <row r="29">
      <c r="A29" s="17" t="inlineStr">
        <is>
          <t>COM</t>
        </is>
      </c>
      <c r="B29" s="17" t="inlineStr">
        <is>
          <t>COM-06</t>
        </is>
      </c>
      <c r="C29" s="17" t="inlineStr">
        <is>
          <t>Pricing model finalisation</t>
        </is>
      </c>
      <c r="D29" s="17" t="n">
        <v>5</v>
      </c>
      <c r="E29" s="17" t="n">
        <v>1</v>
      </c>
      <c r="F29" s="17">
        <f>COUNTIF('All Tasks'!$B:$B,B29)</f>
        <v/>
      </c>
      <c r="G29" s="18">
        <f>AVERAGEIF('All Tasks'!$B:$B,B29,'All Tasks'!$O:$O)</f>
        <v/>
      </c>
      <c r="H29" s="19">
        <f>SUMIF('All Tasks'!$B:$B,B29,'All Tasks'!$P:$P)</f>
        <v/>
      </c>
      <c r="I29" s="19">
        <f>D29-H29</f>
        <v/>
      </c>
      <c r="J29" s="20">
        <f>IF(D29&gt;0,H29/D29,0)</f>
        <v/>
      </c>
      <c r="K29" s="17" t="inlineStr"/>
    </row>
    <row r="30">
      <c r="A30" s="17" t="inlineStr">
        <is>
          <t>COM</t>
        </is>
      </c>
      <c r="B30" s="17" t="inlineStr">
        <is>
          <t>COM-07</t>
        </is>
      </c>
      <c r="C30" s="17" t="inlineStr">
        <is>
          <t>Commercial risk identification &amp; analysis</t>
        </is>
      </c>
      <c r="D30" s="17" t="n">
        <v>3</v>
      </c>
      <c r="E30" s="17" t="n">
        <v>1</v>
      </c>
      <c r="F30" s="17">
        <f>COUNTIF('All Tasks'!$B:$B,B30)</f>
        <v/>
      </c>
      <c r="G30" s="18">
        <f>AVERAGEIF('All Tasks'!$B:$B,B30,'All Tasks'!$O:$O)</f>
        <v/>
      </c>
      <c r="H30" s="19">
        <f>SUMIF('All Tasks'!$B:$B,B30,'All Tasks'!$P:$P)</f>
        <v/>
      </c>
      <c r="I30" s="19">
        <f>D30-H30</f>
        <v/>
      </c>
      <c r="J30" s="20">
        <f>IF(D30&gt;0,H30/D30,0)</f>
        <v/>
      </c>
      <c r="K30" s="17" t="inlineStr"/>
    </row>
    <row r="31">
      <c r="A31" s="21" t="inlineStr"/>
      <c r="B31" s="21" t="inlineStr">
        <is>
          <t>COM SUBTOTAL</t>
        </is>
      </c>
      <c r="C31" s="21" t="inlineStr">
        <is>
          <t>Commercial &amp; Pricing</t>
        </is>
      </c>
      <c r="D31" s="21">
        <f>SUM(D24:D30)</f>
        <v/>
      </c>
      <c r="E31" s="21" t="inlineStr"/>
      <c r="F31" s="21" t="inlineStr"/>
      <c r="G31" s="21" t="inlineStr"/>
      <c r="H31" s="22">
        <f>SUM(H24:H30)</f>
        <v/>
      </c>
      <c r="I31" s="22">
        <f>D31-H31</f>
        <v/>
      </c>
      <c r="J31" s="23">
        <f>IF(D31&gt;0,H31/D31,0)</f>
        <v/>
      </c>
      <c r="K31" s="21" t="inlineStr"/>
    </row>
    <row r="32">
      <c r="A32" s="17" t="inlineStr">
        <is>
          <t>LEG</t>
        </is>
      </c>
      <c r="B32" s="17" t="inlineStr">
        <is>
          <t>LEG-01</t>
        </is>
      </c>
      <c r="C32" s="17" t="inlineStr">
        <is>
          <t>Contract review &amp; markup</t>
        </is>
      </c>
      <c r="D32" s="17" t="n">
        <v>8</v>
      </c>
      <c r="E32" s="17" t="n">
        <v>1</v>
      </c>
      <c r="F32" s="17">
        <f>COUNTIF('All Tasks'!$B:$B,B32)</f>
        <v/>
      </c>
      <c r="G32" s="18">
        <f>AVERAGEIF('All Tasks'!$B:$B,B32,'All Tasks'!$O:$O)</f>
        <v/>
      </c>
      <c r="H32" s="19">
        <f>SUMIF('All Tasks'!$B:$B,B32,'All Tasks'!$P:$P)</f>
        <v/>
      </c>
      <c r="I32" s="19">
        <f>D32-H32</f>
        <v/>
      </c>
      <c r="J32" s="20">
        <f>IF(D32&gt;0,H32/D32,0)</f>
        <v/>
      </c>
      <c r="K32" s="17" t="inlineStr"/>
    </row>
    <row r="33">
      <c r="A33" s="17" t="inlineStr">
        <is>
          <t>LEG</t>
        </is>
      </c>
      <c r="B33" s="17" t="inlineStr">
        <is>
          <t>LEG-02</t>
        </is>
      </c>
      <c r="C33" s="17" t="inlineStr">
        <is>
          <t>Risk allocation analysis</t>
        </is>
      </c>
      <c r="D33" s="17" t="n">
        <v>3</v>
      </c>
      <c r="E33" s="17" t="n">
        <v>1</v>
      </c>
      <c r="F33" s="17">
        <f>COUNTIF('All Tasks'!$B:$B,B33)</f>
        <v/>
      </c>
      <c r="G33" s="18">
        <f>AVERAGEIF('All Tasks'!$B:$B,B33,'All Tasks'!$O:$O)</f>
        <v/>
      </c>
      <c r="H33" s="19">
        <f>SUMIF('All Tasks'!$B:$B,B33,'All Tasks'!$P:$P)</f>
        <v/>
      </c>
      <c r="I33" s="19">
        <f>D33-H33</f>
        <v/>
      </c>
      <c r="J33" s="20">
        <f>IF(D33&gt;0,H33/D33,0)</f>
        <v/>
      </c>
      <c r="K33" s="17" t="inlineStr"/>
    </row>
    <row r="34">
      <c r="A34" s="17" t="inlineStr">
        <is>
          <t>LEG</t>
        </is>
      </c>
      <c r="B34" s="17" t="inlineStr">
        <is>
          <t>LEG-03</t>
        </is>
      </c>
      <c r="C34" s="17" t="inlineStr">
        <is>
          <t>Insurance &amp; liability review</t>
        </is>
      </c>
      <c r="D34" s="17" t="n">
        <v>3</v>
      </c>
      <c r="E34" s="17" t="n">
        <v>1</v>
      </c>
      <c r="F34" s="17">
        <f>COUNTIF('All Tasks'!$B:$B,B34)</f>
        <v/>
      </c>
      <c r="G34" s="18">
        <f>AVERAGEIF('All Tasks'!$B:$B,B34,'All Tasks'!$O:$O)</f>
        <v/>
      </c>
      <c r="H34" s="19">
        <f>SUMIF('All Tasks'!$B:$B,B34,'All Tasks'!$P:$P)</f>
        <v/>
      </c>
      <c r="I34" s="19">
        <f>D34-H34</f>
        <v/>
      </c>
      <c r="J34" s="20">
        <f>IF(D34&gt;0,H34/D34,0)</f>
        <v/>
      </c>
      <c r="K34" s="17" t="inlineStr"/>
    </row>
    <row r="35">
      <c r="A35" s="17" t="inlineStr">
        <is>
          <t>LEG</t>
        </is>
      </c>
      <c r="B35" s="17" t="inlineStr">
        <is>
          <t>LEG-04</t>
        </is>
      </c>
      <c r="C35" s="17" t="inlineStr">
        <is>
          <t>TUPE obligations assessment</t>
        </is>
      </c>
      <c r="D35" s="17" t="n">
        <v>5</v>
      </c>
      <c r="E35" s="17" t="n">
        <v>1</v>
      </c>
      <c r="F35" s="17">
        <f>COUNTIF('All Tasks'!$B:$B,B35)</f>
        <v/>
      </c>
      <c r="G35" s="18">
        <f>AVERAGEIF('All Tasks'!$B:$B,B35,'All Tasks'!$O:$O)</f>
        <v/>
      </c>
      <c r="H35" s="19">
        <f>SUMIF('All Tasks'!$B:$B,B35,'All Tasks'!$P:$P)</f>
        <v/>
      </c>
      <c r="I35" s="19">
        <f>D35-H35</f>
        <v/>
      </c>
      <c r="J35" s="20">
        <f>IF(D35&gt;0,H35/D35,0)</f>
        <v/>
      </c>
      <c r="K35" s="17" t="inlineStr"/>
    </row>
    <row r="36">
      <c r="A36" s="17" t="inlineStr">
        <is>
          <t>LEG</t>
        </is>
      </c>
      <c r="B36" s="17" t="inlineStr">
        <is>
          <t>LEG-05</t>
        </is>
      </c>
      <c r="C36" s="17" t="inlineStr">
        <is>
          <t>Data protection &amp; security review</t>
        </is>
      </c>
      <c r="D36" s="17" t="n">
        <v>5</v>
      </c>
      <c r="E36" s="17" t="n">
        <v>1</v>
      </c>
      <c r="F36" s="17">
        <f>COUNTIF('All Tasks'!$B:$B,B36)</f>
        <v/>
      </c>
      <c r="G36" s="18">
        <f>AVERAGEIF('All Tasks'!$B:$B,B36,'All Tasks'!$O:$O)</f>
        <v/>
      </c>
      <c r="H36" s="19">
        <f>SUMIF('All Tasks'!$B:$B,B36,'All Tasks'!$P:$P)</f>
        <v/>
      </c>
      <c r="I36" s="19">
        <f>D36-H36</f>
        <v/>
      </c>
      <c r="J36" s="20">
        <f>IF(D36&gt;0,H36/D36,0)</f>
        <v/>
      </c>
      <c r="K36" s="17" t="inlineStr"/>
    </row>
    <row r="37">
      <c r="A37" s="17" t="inlineStr">
        <is>
          <t>LEG</t>
        </is>
      </c>
      <c r="B37" s="17" t="inlineStr">
        <is>
          <t>LEG-06</t>
        </is>
      </c>
      <c r="C37" s="17" t="inlineStr">
        <is>
          <t>Subcontractor terms review</t>
        </is>
      </c>
      <c r="D37" s="17" t="n">
        <v>5</v>
      </c>
      <c r="E37" s="17" t="n">
        <v>1</v>
      </c>
      <c r="F37" s="17">
        <f>COUNTIF('All Tasks'!$B:$B,B37)</f>
        <v/>
      </c>
      <c r="G37" s="18">
        <f>AVERAGEIF('All Tasks'!$B:$B,B37,'All Tasks'!$O:$O)</f>
        <v/>
      </c>
      <c r="H37" s="19">
        <f>SUMIF('All Tasks'!$B:$B,B37,'All Tasks'!$P:$P)</f>
        <v/>
      </c>
      <c r="I37" s="19">
        <f>D37-H37</f>
        <v/>
      </c>
      <c r="J37" s="20">
        <f>IF(D37&gt;0,H37/D37,0)</f>
        <v/>
      </c>
      <c r="K37" s="17" t="inlineStr"/>
    </row>
    <row r="38">
      <c r="A38" s="21" t="inlineStr"/>
      <c r="B38" s="21" t="inlineStr">
        <is>
          <t>LEG SUBTOTAL</t>
        </is>
      </c>
      <c r="C38" s="21" t="inlineStr">
        <is>
          <t>Legal &amp; Contractual</t>
        </is>
      </c>
      <c r="D38" s="21">
        <f>SUM(D32:D37)</f>
        <v/>
      </c>
      <c r="E38" s="21" t="inlineStr"/>
      <c r="F38" s="21" t="inlineStr"/>
      <c r="G38" s="21" t="inlineStr"/>
      <c r="H38" s="22">
        <f>SUM(H32:H37)</f>
        <v/>
      </c>
      <c r="I38" s="22">
        <f>D38-H38</f>
        <v/>
      </c>
      <c r="J38" s="23">
        <f>IF(D38&gt;0,H38/D38,0)</f>
        <v/>
      </c>
      <c r="K38" s="21" t="inlineStr"/>
    </row>
    <row r="39">
      <c r="A39" s="17" t="inlineStr">
        <is>
          <t>DEL</t>
        </is>
      </c>
      <c r="B39" s="17" t="inlineStr">
        <is>
          <t>DEL-01</t>
        </is>
      </c>
      <c r="C39" s="17" t="inlineStr">
        <is>
          <t>Delivery risk &amp; assumptions register</t>
        </is>
      </c>
      <c r="D39" s="17" t="n">
        <v>8</v>
      </c>
      <c r="E39" s="17" t="n">
        <v>1</v>
      </c>
      <c r="F39" s="17">
        <f>COUNTIF('All Tasks'!$B:$B,B39)</f>
        <v/>
      </c>
      <c r="G39" s="18">
        <f>AVERAGEIF('All Tasks'!$B:$B,B39,'All Tasks'!$O:$O)</f>
        <v/>
      </c>
      <c r="H39" s="19">
        <f>SUMIF('All Tasks'!$B:$B,B39,'All Tasks'!$P:$P)</f>
        <v/>
      </c>
      <c r="I39" s="19">
        <f>D39-H39</f>
        <v/>
      </c>
      <c r="J39" s="20">
        <f>IF(D39&gt;0,H39/D39,0)</f>
        <v/>
      </c>
      <c r="K39" s="17" t="inlineStr"/>
    </row>
    <row r="40">
      <c r="A40" s="17" t="inlineStr">
        <is>
          <t>DEL</t>
        </is>
      </c>
      <c r="B40" s="17" t="inlineStr">
        <is>
          <t>DEL-02</t>
        </is>
      </c>
      <c r="C40" s="17" t="inlineStr">
        <is>
          <t>Mobilisation &amp; implementation planning</t>
        </is>
      </c>
      <c r="D40" s="17" t="n">
        <v>5</v>
      </c>
      <c r="E40" s="17" t="n">
        <v>1</v>
      </c>
      <c r="F40" s="17">
        <f>COUNTIF('All Tasks'!$B:$B,B40)</f>
        <v/>
      </c>
      <c r="G40" s="18">
        <f>AVERAGEIF('All Tasks'!$B:$B,B40,'All Tasks'!$O:$O)</f>
        <v/>
      </c>
      <c r="H40" s="19">
        <f>SUMIF('All Tasks'!$B:$B,B40,'All Tasks'!$P:$P)</f>
        <v/>
      </c>
      <c r="I40" s="19">
        <f>D40-H40</f>
        <v/>
      </c>
      <c r="J40" s="20">
        <f>IF(D40&gt;0,H40/D40,0)</f>
        <v/>
      </c>
      <c r="K40" s="17" t="inlineStr"/>
    </row>
    <row r="41">
      <c r="A41" s="17" t="inlineStr">
        <is>
          <t>DEL</t>
        </is>
      </c>
      <c r="B41" s="17" t="inlineStr">
        <is>
          <t>DEL-03</t>
        </is>
      </c>
      <c r="C41" s="17" t="inlineStr">
        <is>
          <t>Performance framework &amp; KPIs/SLAs</t>
        </is>
      </c>
      <c r="D41" s="17" t="n">
        <v>5</v>
      </c>
      <c r="E41" s="17" t="n">
        <v>1</v>
      </c>
      <c r="F41" s="17">
        <f>COUNTIF('All Tasks'!$B:$B,B41)</f>
        <v/>
      </c>
      <c r="G41" s="18">
        <f>AVERAGEIF('All Tasks'!$B:$B,B41,'All Tasks'!$O:$O)</f>
        <v/>
      </c>
      <c r="H41" s="19">
        <f>SUMIF('All Tasks'!$B:$B,B41,'All Tasks'!$P:$P)</f>
        <v/>
      </c>
      <c r="I41" s="19">
        <f>D41-H41</f>
        <v/>
      </c>
      <c r="J41" s="20">
        <f>IF(D41&gt;0,H41/D41,0)</f>
        <v/>
      </c>
      <c r="K41" s="17" t="inlineStr"/>
    </row>
    <row r="42">
      <c r="A42" s="17" t="inlineStr">
        <is>
          <t>DEL</t>
        </is>
      </c>
      <c r="B42" s="17" t="inlineStr">
        <is>
          <t>DEL-04</t>
        </is>
      </c>
      <c r="C42" s="17" t="inlineStr">
        <is>
          <t>Resource &amp; capacity plan</t>
        </is>
      </c>
      <c r="D42" s="17" t="n">
        <v>3</v>
      </c>
      <c r="E42" s="17" t="n">
        <v>1</v>
      </c>
      <c r="F42" s="17">
        <f>COUNTIF('All Tasks'!$B:$B,B42)</f>
        <v/>
      </c>
      <c r="G42" s="18">
        <f>AVERAGEIF('All Tasks'!$B:$B,B42,'All Tasks'!$O:$O)</f>
        <v/>
      </c>
      <c r="H42" s="19">
        <f>SUMIF('All Tasks'!$B:$B,B42,'All Tasks'!$P:$P)</f>
        <v/>
      </c>
      <c r="I42" s="19">
        <f>D42-H42</f>
        <v/>
      </c>
      <c r="J42" s="20">
        <f>IF(D42&gt;0,H42/D42,0)</f>
        <v/>
      </c>
      <c r="K42" s="17" t="inlineStr"/>
    </row>
    <row r="43">
      <c r="A43" s="17" t="inlineStr">
        <is>
          <t>DEL</t>
        </is>
      </c>
      <c r="B43" s="17" t="inlineStr">
        <is>
          <t>DEL-05</t>
        </is>
      </c>
      <c r="C43" s="17" t="inlineStr">
        <is>
          <t>Business continuity &amp; exit planning</t>
        </is>
      </c>
      <c r="D43" s="17" t="n">
        <v>3</v>
      </c>
      <c r="E43" s="17" t="n">
        <v>1</v>
      </c>
      <c r="F43" s="17">
        <f>COUNTIF('All Tasks'!$B:$B,B43)</f>
        <v/>
      </c>
      <c r="G43" s="18">
        <f>AVERAGEIF('All Tasks'!$B:$B,B43,'All Tasks'!$O:$O)</f>
        <v/>
      </c>
      <c r="H43" s="19">
        <f>SUMIF('All Tasks'!$B:$B,B43,'All Tasks'!$P:$P)</f>
        <v/>
      </c>
      <c r="I43" s="19">
        <f>D43-H43</f>
        <v/>
      </c>
      <c r="J43" s="20">
        <f>IF(D43&gt;0,H43/D43,0)</f>
        <v/>
      </c>
      <c r="K43" s="17" t="inlineStr"/>
    </row>
    <row r="44">
      <c r="A44" s="17" t="inlineStr">
        <is>
          <t>DEL</t>
        </is>
      </c>
      <c r="B44" s="17" t="inlineStr">
        <is>
          <t>DEL-06</t>
        </is>
      </c>
      <c r="C44" s="17" t="inlineStr">
        <is>
          <t>Risk mitigation &amp; residual acceptance</t>
        </is>
      </c>
      <c r="D44" s="17" t="n">
        <v>5</v>
      </c>
      <c r="E44" s="17" t="n">
        <v>1</v>
      </c>
      <c r="F44" s="17">
        <f>COUNTIF('All Tasks'!$B:$B,B44)</f>
        <v/>
      </c>
      <c r="G44" s="18">
        <f>AVERAGEIF('All Tasks'!$B:$B,B44,'All Tasks'!$O:$O)</f>
        <v/>
      </c>
      <c r="H44" s="19">
        <f>SUMIF('All Tasks'!$B:$B,B44,'All Tasks'!$P:$P)</f>
        <v/>
      </c>
      <c r="I44" s="19">
        <f>D44-H44</f>
        <v/>
      </c>
      <c r="J44" s="20">
        <f>IF(D44&gt;0,H44/D44,0)</f>
        <v/>
      </c>
      <c r="K44" s="17" t="inlineStr"/>
    </row>
    <row r="45">
      <c r="A45" s="21" t="inlineStr"/>
      <c r="B45" s="21" t="inlineStr">
        <is>
          <t>DEL SUBTOTAL</t>
        </is>
      </c>
      <c r="C45" s="21" t="inlineStr">
        <is>
          <t>Programme &amp; Delivery</t>
        </is>
      </c>
      <c r="D45" s="21">
        <f>SUM(D39:D44)</f>
        <v/>
      </c>
      <c r="E45" s="21" t="inlineStr"/>
      <c r="F45" s="21" t="inlineStr"/>
      <c r="G45" s="21" t="inlineStr"/>
      <c r="H45" s="22">
        <f>SUM(H39:H44)</f>
        <v/>
      </c>
      <c r="I45" s="22">
        <f>D45-H45</f>
        <v/>
      </c>
      <c r="J45" s="23">
        <f>IF(D45&gt;0,H45/D45,0)</f>
        <v/>
      </c>
      <c r="K45" s="21" t="inlineStr"/>
    </row>
    <row r="46">
      <c r="A46" s="17" t="inlineStr">
        <is>
          <t>SUP</t>
        </is>
      </c>
      <c r="B46" s="17" t="inlineStr">
        <is>
          <t>SUP-01</t>
        </is>
      </c>
      <c r="C46" s="17" t="inlineStr">
        <is>
          <t>Partner identification &amp; selection</t>
        </is>
      </c>
      <c r="D46" s="17" t="n">
        <v>5</v>
      </c>
      <c r="E46" s="17" t="n">
        <v>1</v>
      </c>
      <c r="F46" s="17">
        <f>COUNTIF('All Tasks'!$B:$B,B46)</f>
        <v/>
      </c>
      <c r="G46" s="18">
        <f>AVERAGEIF('All Tasks'!$B:$B,B46,'All Tasks'!$O:$O)</f>
        <v/>
      </c>
      <c r="H46" s="19">
        <f>SUMIF('All Tasks'!$B:$B,B46,'All Tasks'!$P:$P)</f>
        <v/>
      </c>
      <c r="I46" s="19">
        <f>D46-H46</f>
        <v/>
      </c>
      <c r="J46" s="20">
        <f>IF(D46&gt;0,H46/D46,0)</f>
        <v/>
      </c>
      <c r="K46" s="17" t="inlineStr"/>
    </row>
    <row r="47">
      <c r="A47" s="17" t="inlineStr">
        <is>
          <t>SUP</t>
        </is>
      </c>
      <c r="B47" s="17" t="inlineStr">
        <is>
          <t>SUP-02</t>
        </is>
      </c>
      <c r="C47" s="17" t="inlineStr">
        <is>
          <t>Partner solution inputs &amp; design contribution</t>
        </is>
      </c>
      <c r="D47" s="17" t="n">
        <v>10</v>
      </c>
      <c r="E47" s="17" t="n">
        <v>2</v>
      </c>
      <c r="F47" s="17">
        <f>COUNTIF('All Tasks'!$B:$B,B47)</f>
        <v/>
      </c>
      <c r="G47" s="18">
        <f>AVERAGEIF('All Tasks'!$B:$B,B47,'All Tasks'!$O:$O)</f>
        <v/>
      </c>
      <c r="H47" s="19">
        <f>SUMIF('All Tasks'!$B:$B,B47,'All Tasks'!$P:$P)</f>
        <v/>
      </c>
      <c r="I47" s="19">
        <f>D47-H47</f>
        <v/>
      </c>
      <c r="J47" s="20">
        <f>IF(D47&gt;0,H47/D47,0)</f>
        <v/>
      </c>
      <c r="K47" s="17" t="inlineStr"/>
    </row>
    <row r="48">
      <c r="A48" s="17" t="inlineStr">
        <is>
          <t>SUP</t>
        </is>
      </c>
      <c r="B48" s="17" t="inlineStr">
        <is>
          <t>SUP-03</t>
        </is>
      </c>
      <c r="C48" s="17" t="inlineStr">
        <is>
          <t>Teaming agreement negotiation</t>
        </is>
      </c>
      <c r="D48" s="17" t="n">
        <v>15</v>
      </c>
      <c r="E48" s="17" t="n">
        <v>1</v>
      </c>
      <c r="F48" s="17">
        <f>COUNTIF('All Tasks'!$B:$B,B48)</f>
        <v/>
      </c>
      <c r="G48" s="18">
        <f>AVERAGEIF('All Tasks'!$B:$B,B48,'All Tasks'!$O:$O)</f>
        <v/>
      </c>
      <c r="H48" s="19">
        <f>SUMIF('All Tasks'!$B:$B,B48,'All Tasks'!$P:$P)</f>
        <v/>
      </c>
      <c r="I48" s="19">
        <f>D48-H48</f>
        <v/>
      </c>
      <c r="J48" s="20">
        <f>IF(D48&gt;0,H48/D48,0)</f>
        <v/>
      </c>
      <c r="K48" s="17" t="inlineStr"/>
    </row>
    <row r="49">
      <c r="A49" s="17" t="inlineStr">
        <is>
          <t>SUP</t>
        </is>
      </c>
      <c r="B49" s="17" t="inlineStr">
        <is>
          <t>SUP-04</t>
        </is>
      </c>
      <c r="C49" s="17" t="inlineStr">
        <is>
          <t>Partner pricing</t>
        </is>
      </c>
      <c r="D49" s="17" t="n">
        <v>8</v>
      </c>
      <c r="E49" s="17" t="n">
        <v>1</v>
      </c>
      <c r="F49" s="17">
        <f>COUNTIF('All Tasks'!$B:$B,B49)</f>
        <v/>
      </c>
      <c r="G49" s="18">
        <f>AVERAGEIF('All Tasks'!$B:$B,B49,'All Tasks'!$O:$O)</f>
        <v/>
      </c>
      <c r="H49" s="19">
        <f>SUMIF('All Tasks'!$B:$B,B49,'All Tasks'!$P:$P)</f>
        <v/>
      </c>
      <c r="I49" s="19">
        <f>D49-H49</f>
        <v/>
      </c>
      <c r="J49" s="20">
        <f>IF(D49&gt;0,H49/D49,0)</f>
        <v/>
      </c>
      <c r="K49" s="17" t="inlineStr"/>
    </row>
    <row r="50">
      <c r="A50" s="17" t="inlineStr">
        <is>
          <t>SUP</t>
        </is>
      </c>
      <c r="B50" s="17" t="inlineStr">
        <is>
          <t>SUP-05</t>
        </is>
      </c>
      <c r="C50" s="17" t="inlineStr">
        <is>
          <t>Partner credentials &amp; references</t>
        </is>
      </c>
      <c r="D50" s="17" t="n">
        <v>5</v>
      </c>
      <c r="E50" s="17" t="n">
        <v>2</v>
      </c>
      <c r="F50" s="17">
        <f>COUNTIF('All Tasks'!$B:$B,B50)</f>
        <v/>
      </c>
      <c r="G50" s="18">
        <f>AVERAGEIF('All Tasks'!$B:$B,B50,'All Tasks'!$O:$O)</f>
        <v/>
      </c>
      <c r="H50" s="19">
        <f>SUMIF('All Tasks'!$B:$B,B50,'All Tasks'!$P:$P)</f>
        <v/>
      </c>
      <c r="I50" s="19">
        <f>D50-H50</f>
        <v/>
      </c>
      <c r="J50" s="20">
        <f>IF(D50&gt;0,H50/D50,0)</f>
        <v/>
      </c>
      <c r="K50" s="17" t="inlineStr"/>
    </row>
    <row r="51">
      <c r="A51" s="17" t="inlineStr">
        <is>
          <t>SUP</t>
        </is>
      </c>
      <c r="B51" s="17" t="inlineStr">
        <is>
          <t>SUP-06</t>
        </is>
      </c>
      <c r="C51" s="17" t="inlineStr">
        <is>
          <t>Back-to-back commercial terms</t>
        </is>
      </c>
      <c r="D51" s="17" t="n">
        <v>5</v>
      </c>
      <c r="E51" s="17" t="n">
        <v>1</v>
      </c>
      <c r="F51" s="17">
        <f>COUNTIF('All Tasks'!$B:$B,B51)</f>
        <v/>
      </c>
      <c r="G51" s="18">
        <f>AVERAGEIF('All Tasks'!$B:$B,B51,'All Tasks'!$O:$O)</f>
        <v/>
      </c>
      <c r="H51" s="19">
        <f>SUMIF('All Tasks'!$B:$B,B51,'All Tasks'!$P:$P)</f>
        <v/>
      </c>
      <c r="I51" s="19">
        <f>D51-H51</f>
        <v/>
      </c>
      <c r="J51" s="20">
        <f>IF(D51&gt;0,H51/D51,0)</f>
        <v/>
      </c>
      <c r="K51" s="17" t="inlineStr"/>
    </row>
    <row r="52">
      <c r="A52" s="21" t="inlineStr"/>
      <c r="B52" s="21" t="inlineStr">
        <is>
          <t>SUP SUBTOTAL</t>
        </is>
      </c>
      <c r="C52" s="21" t="inlineStr">
        <is>
          <t>Supply Chain &amp; Partners</t>
        </is>
      </c>
      <c r="D52" s="21">
        <f>SUM(D46:D51)</f>
        <v/>
      </c>
      <c r="E52" s="21" t="inlineStr"/>
      <c r="F52" s="21" t="inlineStr"/>
      <c r="G52" s="21" t="inlineStr"/>
      <c r="H52" s="22">
        <f>SUM(H46:H51)</f>
        <v/>
      </c>
      <c r="I52" s="22">
        <f>D52-H52</f>
        <v/>
      </c>
      <c r="J52" s="23">
        <f>IF(D52&gt;0,H52/D52,0)</f>
        <v/>
      </c>
      <c r="K52" s="21" t="inlineStr"/>
    </row>
    <row r="53">
      <c r="A53" s="17" t="inlineStr">
        <is>
          <t>BM</t>
        </is>
      </c>
      <c r="B53" s="17" t="inlineStr">
        <is>
          <t>BM-01</t>
        </is>
      </c>
      <c r="C53" s="17" t="inlineStr">
        <is>
          <t>Kickoff planning &amp; execution</t>
        </is>
      </c>
      <c r="D53" s="17" t="n">
        <v>3</v>
      </c>
      <c r="E53" s="17" t="n">
        <v>1</v>
      </c>
      <c r="F53" s="17">
        <f>COUNTIF('All Tasks'!$B:$B,B53)</f>
        <v/>
      </c>
      <c r="G53" s="18">
        <f>AVERAGEIF('All Tasks'!$B:$B,B53,'All Tasks'!$O:$O)</f>
        <v/>
      </c>
      <c r="H53" s="19">
        <f>SUMIF('All Tasks'!$B:$B,B53,'All Tasks'!$P:$P)</f>
        <v/>
      </c>
      <c r="I53" s="19">
        <f>D53-H53</f>
        <v/>
      </c>
      <c r="J53" s="20">
        <f>IF(D53&gt;0,H53/D53,0)</f>
        <v/>
      </c>
      <c r="K53" s="17" t="inlineStr"/>
    </row>
    <row r="54">
      <c r="A54" s="17" t="inlineStr">
        <is>
          <t>BM</t>
        </is>
      </c>
      <c r="B54" s="17" t="inlineStr">
        <is>
          <t>BM-02</t>
        </is>
      </c>
      <c r="C54" s="17" t="inlineStr">
        <is>
          <t>Bid management plan production</t>
        </is>
      </c>
      <c r="D54" s="17" t="n">
        <v>2</v>
      </c>
      <c r="E54" s="17" t="n">
        <v>1</v>
      </c>
      <c r="F54" s="17">
        <f>COUNTIF('All Tasks'!$B:$B,B54)</f>
        <v/>
      </c>
      <c r="G54" s="18">
        <f>AVERAGEIF('All Tasks'!$B:$B,B54,'All Tasks'!$O:$O)</f>
        <v/>
      </c>
      <c r="H54" s="19">
        <f>SUMIF('All Tasks'!$B:$B,B54,'All Tasks'!$P:$P)</f>
        <v/>
      </c>
      <c r="I54" s="19">
        <f>D54-H54</f>
        <v/>
      </c>
      <c r="J54" s="20">
        <f>IF(D54&gt;0,H54/D54,0)</f>
        <v/>
      </c>
      <c r="K54" s="17" t="inlineStr"/>
    </row>
    <row r="55">
      <c r="A55" s="17" t="inlineStr">
        <is>
          <t>BM</t>
        </is>
      </c>
      <c r="B55" s="17" t="inlineStr">
        <is>
          <t>BM-03</t>
        </is>
      </c>
      <c r="C55" s="17" t="inlineStr">
        <is>
          <t>Document management &amp; version control setup</t>
        </is>
      </c>
      <c r="D55" s="17" t="n">
        <v>1</v>
      </c>
      <c r="E55" s="17" t="n">
        <v>1</v>
      </c>
      <c r="F55" s="17">
        <f>COUNTIF('All Tasks'!$B:$B,B55)</f>
        <v/>
      </c>
      <c r="G55" s="18">
        <f>AVERAGEIF('All Tasks'!$B:$B,B55,'All Tasks'!$O:$O)</f>
        <v/>
      </c>
      <c r="H55" s="19">
        <f>SUMIF('All Tasks'!$B:$B,B55,'All Tasks'!$P:$P)</f>
        <v/>
      </c>
      <c r="I55" s="19">
        <f>D55-H55</f>
        <v/>
      </c>
      <c r="J55" s="20">
        <f>IF(D55&gt;0,H55/D55,0)</f>
        <v/>
      </c>
      <c r="K55" s="17" t="inlineStr"/>
    </row>
    <row r="56">
      <c r="A56" s="17" t="inlineStr">
        <is>
          <t>BM</t>
        </is>
      </c>
      <c r="B56" s="17" t="inlineStr">
        <is>
          <t>BM-04</t>
        </is>
      </c>
      <c r="C56" s="17" t="inlineStr">
        <is>
          <t>Resource management &amp; tracking</t>
        </is>
      </c>
      <c r="D56" s="17" t="n">
        <v>0</v>
      </c>
      <c r="E56" s="17" t="n">
        <v>1</v>
      </c>
      <c r="F56" s="17">
        <f>COUNTIF('All Tasks'!$B:$B,B56)</f>
        <v/>
      </c>
      <c r="G56" s="18">
        <f>AVERAGEIF('All Tasks'!$B:$B,B56,'All Tasks'!$O:$O)</f>
        <v/>
      </c>
      <c r="H56" s="19">
        <f>SUMIF('All Tasks'!$B:$B,B56,'All Tasks'!$P:$P)</f>
        <v/>
      </c>
      <c r="I56" s="19">
        <f>D56-H56</f>
        <v/>
      </c>
      <c r="J56" s="20">
        <f>IF(D56&gt;0,H56/D56,0)</f>
        <v/>
      </c>
      <c r="K56" s="17" t="inlineStr">
        <is>
          <t>Continuous/tracking — effort embedded in bid management overhead</t>
        </is>
      </c>
    </row>
    <row r="57">
      <c r="A57" s="17" t="inlineStr">
        <is>
          <t>BM</t>
        </is>
      </c>
      <c r="B57" s="17" t="inlineStr">
        <is>
          <t>BM-05</t>
        </is>
      </c>
      <c r="C57" s="17" t="inlineStr">
        <is>
          <t>Bid cost management</t>
        </is>
      </c>
      <c r="D57" s="17" t="n">
        <v>0</v>
      </c>
      <c r="E57" s="17" t="n">
        <v>1</v>
      </c>
      <c r="F57" s="17">
        <f>COUNTIF('All Tasks'!$B:$B,B57)</f>
        <v/>
      </c>
      <c r="G57" s="18">
        <f>AVERAGEIF('All Tasks'!$B:$B,B57,'All Tasks'!$O:$O)</f>
        <v/>
      </c>
      <c r="H57" s="19">
        <f>SUMIF('All Tasks'!$B:$B,B57,'All Tasks'!$P:$P)</f>
        <v/>
      </c>
      <c r="I57" s="19">
        <f>D57-H57</f>
        <v/>
      </c>
      <c r="J57" s="20">
        <f>IF(D57&gt;0,H57/D57,0)</f>
        <v/>
      </c>
      <c r="K57" s="17" t="inlineStr">
        <is>
          <t>Continuous/tracking — effort embedded in bid management overhead</t>
        </is>
      </c>
    </row>
    <row r="58">
      <c r="A58" s="17" t="inlineStr">
        <is>
          <t>BM</t>
        </is>
      </c>
      <c r="B58" s="17" t="inlineStr">
        <is>
          <t>BM-06</t>
        </is>
      </c>
      <c r="C58" s="17" t="inlineStr">
        <is>
          <t>Progress reporting</t>
        </is>
      </c>
      <c r="D58" s="17" t="n">
        <v>0</v>
      </c>
      <c r="E58" s="17" t="n">
        <v>1</v>
      </c>
      <c r="F58" s="17">
        <f>COUNTIF('All Tasks'!$B:$B,B58)</f>
        <v/>
      </c>
      <c r="G58" s="18">
        <f>AVERAGEIF('All Tasks'!$B:$B,B58,'All Tasks'!$O:$O)</f>
        <v/>
      </c>
      <c r="H58" s="19">
        <f>SUMIF('All Tasks'!$B:$B,B58,'All Tasks'!$P:$P)</f>
        <v/>
      </c>
      <c r="I58" s="19">
        <f>D58-H58</f>
        <v/>
      </c>
      <c r="J58" s="20">
        <f>IF(D58&gt;0,H58/D58,0)</f>
        <v/>
      </c>
      <c r="K58" s="17" t="inlineStr">
        <is>
          <t>Continuous/tracking — effort embedded in bid management overhead</t>
        </is>
      </c>
    </row>
    <row r="59">
      <c r="A59" s="17" t="inlineStr">
        <is>
          <t>BM</t>
        </is>
      </c>
      <c r="B59" s="17" t="inlineStr">
        <is>
          <t>BM-07</t>
        </is>
      </c>
      <c r="C59" s="17" t="inlineStr">
        <is>
          <t>Quality management approach</t>
        </is>
      </c>
      <c r="D59" s="17" t="n">
        <v>3</v>
      </c>
      <c r="E59" s="17" t="n">
        <v>1</v>
      </c>
      <c r="F59" s="17">
        <f>COUNTIF('All Tasks'!$B:$B,B59)</f>
        <v/>
      </c>
      <c r="G59" s="18">
        <f>AVERAGEIF('All Tasks'!$B:$B,B59,'All Tasks'!$O:$O)</f>
        <v/>
      </c>
      <c r="H59" s="19">
        <f>SUMIF('All Tasks'!$B:$B,B59,'All Tasks'!$P:$P)</f>
        <v/>
      </c>
      <c r="I59" s="19">
        <f>D59-H59</f>
        <v/>
      </c>
      <c r="J59" s="20">
        <f>IF(D59&gt;0,H59/D59,0)</f>
        <v/>
      </c>
      <c r="K59" s="17" t="inlineStr"/>
    </row>
    <row r="60">
      <c r="A60" s="17" t="inlineStr">
        <is>
          <t>BM</t>
        </is>
      </c>
      <c r="B60" s="17" t="inlineStr">
        <is>
          <t>BM-08</t>
        </is>
      </c>
      <c r="C60" s="17" t="inlineStr">
        <is>
          <t>Stakeholder &amp; communications management</t>
        </is>
      </c>
      <c r="D60" s="17" t="n">
        <v>2</v>
      </c>
      <c r="E60" s="17" t="n">
        <v>1</v>
      </c>
      <c r="F60" s="17">
        <f>COUNTIF('All Tasks'!$B:$B,B60)</f>
        <v/>
      </c>
      <c r="G60" s="18">
        <f>AVERAGEIF('All Tasks'!$B:$B,B60,'All Tasks'!$O:$O)</f>
        <v/>
      </c>
      <c r="H60" s="19">
        <f>SUMIF('All Tasks'!$B:$B,B60,'All Tasks'!$P:$P)</f>
        <v/>
      </c>
      <c r="I60" s="19">
        <f>D60-H60</f>
        <v/>
      </c>
      <c r="J60" s="20">
        <f>IF(D60&gt;0,H60/D60,0)</f>
        <v/>
      </c>
      <c r="K60" s="17" t="inlineStr"/>
    </row>
    <row r="61">
      <c r="A61" s="17" t="inlineStr">
        <is>
          <t>BM</t>
        </is>
      </c>
      <c r="B61" s="17" t="inlineStr">
        <is>
          <t>BM-09</t>
        </is>
      </c>
      <c r="C61" s="17" t="inlineStr">
        <is>
          <t>Competitive dialogue management</t>
        </is>
      </c>
      <c r="D61" s="17" t="n">
        <v>0</v>
      </c>
      <c r="E61" s="17" t="n">
        <v>2</v>
      </c>
      <c r="F61" s="17">
        <f>COUNTIF('All Tasks'!$B:$B,B61)</f>
        <v/>
      </c>
      <c r="G61" s="18">
        <f>AVERAGEIF('All Tasks'!$B:$B,B61,'All Tasks'!$O:$O)</f>
        <v/>
      </c>
      <c r="H61" s="19">
        <f>SUMIF('All Tasks'!$B:$B,B61,'All Tasks'!$P:$P)</f>
        <v/>
      </c>
      <c r="I61" s="19">
        <f>D61-H61</f>
        <v/>
      </c>
      <c r="J61" s="20">
        <f>IF(D61&gt;0,H61/D61,0)</f>
        <v/>
      </c>
      <c r="K61" s="17" t="inlineStr">
        <is>
          <t>Continuous/tracking — effort embedded in bid management overhead</t>
        </is>
      </c>
    </row>
    <row r="62">
      <c r="A62" s="17" t="inlineStr">
        <is>
          <t>BM</t>
        </is>
      </c>
      <c r="B62" s="17" t="inlineStr">
        <is>
          <t>BM-10</t>
        </is>
      </c>
      <c r="C62" s="17" t="inlineStr">
        <is>
          <t>Storyboard development &amp; sign-off</t>
        </is>
      </c>
      <c r="D62" s="17" t="n">
        <v>5</v>
      </c>
      <c r="E62" s="17" t="n">
        <v>2</v>
      </c>
      <c r="F62" s="17">
        <f>COUNTIF('All Tasks'!$B:$B,B62)</f>
        <v/>
      </c>
      <c r="G62" s="18">
        <f>AVERAGEIF('All Tasks'!$B:$B,B62,'All Tasks'!$O:$O)</f>
        <v/>
      </c>
      <c r="H62" s="19">
        <f>SUMIF('All Tasks'!$B:$B,B62,'All Tasks'!$P:$P)</f>
        <v/>
      </c>
      <c r="I62" s="19">
        <f>D62-H62</f>
        <v/>
      </c>
      <c r="J62" s="20">
        <f>IF(D62&gt;0,H62/D62,0)</f>
        <v/>
      </c>
      <c r="K62" s="17" t="inlineStr"/>
    </row>
    <row r="63">
      <c r="A63" s="17" t="inlineStr">
        <is>
          <t>BM</t>
        </is>
      </c>
      <c r="B63" s="17" t="inlineStr">
        <is>
          <t>BM-11</t>
        </is>
      </c>
      <c r="C63" s="17" t="inlineStr">
        <is>
          <t>Hot debrief (post-submission)</t>
        </is>
      </c>
      <c r="D63" s="17" t="n">
        <v>1</v>
      </c>
      <c r="E63" s="17" t="n">
        <v>1</v>
      </c>
      <c r="F63" s="17">
        <f>COUNTIF('All Tasks'!$B:$B,B63)</f>
        <v/>
      </c>
      <c r="G63" s="18">
        <f>AVERAGEIF('All Tasks'!$B:$B,B63,'All Tasks'!$O:$O)</f>
        <v/>
      </c>
      <c r="H63" s="19">
        <f>SUMIF('All Tasks'!$B:$B,B63,'All Tasks'!$P:$P)</f>
        <v/>
      </c>
      <c r="I63" s="19">
        <f>D63-H63</f>
        <v/>
      </c>
      <c r="J63" s="20">
        <f>IF(D63&gt;0,H63/D63,0)</f>
        <v/>
      </c>
      <c r="K63" s="17" t="inlineStr"/>
    </row>
    <row r="64">
      <c r="A64" s="17" t="inlineStr">
        <is>
          <t>BM</t>
        </is>
      </c>
      <c r="B64" s="17" t="inlineStr">
        <is>
          <t>BM-12</t>
        </is>
      </c>
      <c r="C64" s="17" t="inlineStr">
        <is>
          <t>Lessons learned &amp; knowledge capture</t>
        </is>
      </c>
      <c r="D64" s="17" t="n">
        <v>3</v>
      </c>
      <c r="E64" s="17" t="n">
        <v>1</v>
      </c>
      <c r="F64" s="17">
        <f>COUNTIF('All Tasks'!$B:$B,B64)</f>
        <v/>
      </c>
      <c r="G64" s="18">
        <f>AVERAGEIF('All Tasks'!$B:$B,B64,'All Tasks'!$O:$O)</f>
        <v/>
      </c>
      <c r="H64" s="19">
        <f>SUMIF('All Tasks'!$B:$B,B64,'All Tasks'!$P:$P)</f>
        <v/>
      </c>
      <c r="I64" s="19">
        <f>D64-H64</f>
        <v/>
      </c>
      <c r="J64" s="20">
        <f>IF(D64&gt;0,H64/D64,0)</f>
        <v/>
      </c>
      <c r="K64" s="17" t="inlineStr"/>
    </row>
    <row r="65">
      <c r="A65" s="17" t="inlineStr">
        <is>
          <t>BM</t>
        </is>
      </c>
      <c r="B65" s="17" t="inlineStr">
        <is>
          <t>BM-13</t>
        </is>
      </c>
      <c r="C65" s="17" t="inlineStr">
        <is>
          <t>Bid risk &amp; assumptions register</t>
        </is>
      </c>
      <c r="D65" s="17" t="n">
        <v>0</v>
      </c>
      <c r="E65" s="17" t="n">
        <v>1</v>
      </c>
      <c r="F65" s="17">
        <f>COUNTIF('All Tasks'!$B:$B,B65)</f>
        <v/>
      </c>
      <c r="G65" s="18">
        <f>AVERAGEIF('All Tasks'!$B:$B,B65,'All Tasks'!$O:$O)</f>
        <v/>
      </c>
      <c r="H65" s="19">
        <f>SUMIF('All Tasks'!$B:$B,B65,'All Tasks'!$P:$P)</f>
        <v/>
      </c>
      <c r="I65" s="19">
        <f>D65-H65</f>
        <v/>
      </c>
      <c r="J65" s="20">
        <f>IF(D65&gt;0,H65/D65,0)</f>
        <v/>
      </c>
      <c r="K65" s="17" t="inlineStr">
        <is>
          <t>Continuous/tracking — effort embedded in bid management overhead</t>
        </is>
      </c>
    </row>
    <row r="66">
      <c r="A66" s="17" t="inlineStr">
        <is>
          <t>BM</t>
        </is>
      </c>
      <c r="B66" s="17" t="inlineStr">
        <is>
          <t>BM-14</t>
        </is>
      </c>
      <c r="C66" s="17" t="inlineStr">
        <is>
          <t>Clarification submission &amp; response management</t>
        </is>
      </c>
      <c r="D66" s="17" t="n">
        <v>5</v>
      </c>
      <c r="E66" s="17" t="n">
        <v>1</v>
      </c>
      <c r="F66" s="17">
        <f>COUNTIF('All Tasks'!$B:$B,B66)</f>
        <v/>
      </c>
      <c r="G66" s="18">
        <f>AVERAGEIF('All Tasks'!$B:$B,B66,'All Tasks'!$O:$O)</f>
        <v/>
      </c>
      <c r="H66" s="19">
        <f>SUMIF('All Tasks'!$B:$B,B66,'All Tasks'!$P:$P)</f>
        <v/>
      </c>
      <c r="I66" s="19">
        <f>D66-H66</f>
        <v/>
      </c>
      <c r="J66" s="20">
        <f>IF(D66&gt;0,H66/D66,0)</f>
        <v/>
      </c>
      <c r="K66" s="17" t="inlineStr"/>
    </row>
    <row r="67">
      <c r="A67" s="17" t="inlineStr">
        <is>
          <t>BM</t>
        </is>
      </c>
      <c r="B67" s="17" t="inlineStr">
        <is>
          <t>BM-15</t>
        </is>
      </c>
      <c r="C67" s="17" t="inlineStr">
        <is>
          <t>Clarification impact analysis &amp; workstream updates</t>
        </is>
      </c>
      <c r="D67" s="17" t="n">
        <v>3</v>
      </c>
      <c r="E67" s="17" t="n">
        <v>2</v>
      </c>
      <c r="F67" s="17">
        <f>COUNTIF('All Tasks'!$B:$B,B67)</f>
        <v/>
      </c>
      <c r="G67" s="18">
        <f>AVERAGEIF('All Tasks'!$B:$B,B67,'All Tasks'!$O:$O)</f>
        <v/>
      </c>
      <c r="H67" s="19">
        <f>SUMIF('All Tasks'!$B:$B,B67,'All Tasks'!$P:$P)</f>
        <v/>
      </c>
      <c r="I67" s="19">
        <f>D67-H67</f>
        <v/>
      </c>
      <c r="J67" s="20">
        <f>IF(D67&gt;0,H67/D67,0)</f>
        <v/>
      </c>
      <c r="K67" s="17" t="inlineStr"/>
    </row>
    <row r="68">
      <c r="A68" s="17" t="inlineStr">
        <is>
          <t>BM</t>
        </is>
      </c>
      <c r="B68" s="17" t="inlineStr">
        <is>
          <t>BM-16</t>
        </is>
      </c>
      <c r="C68" s="17" t="inlineStr">
        <is>
          <t>Win strategy refresh (post-ITT)</t>
        </is>
      </c>
      <c r="D68" s="17" t="n">
        <v>2</v>
      </c>
      <c r="E68" s="17" t="n">
        <v>1</v>
      </c>
      <c r="F68" s="17">
        <f>COUNTIF('All Tasks'!$B:$B,B68)</f>
        <v/>
      </c>
      <c r="G68" s="18">
        <f>AVERAGEIF('All Tasks'!$B:$B,B68,'All Tasks'!$O:$O)</f>
        <v/>
      </c>
      <c r="H68" s="19">
        <f>SUMIF('All Tasks'!$B:$B,B68,'All Tasks'!$P:$P)</f>
        <v/>
      </c>
      <c r="I68" s="19">
        <f>D68-H68</f>
        <v/>
      </c>
      <c r="J68" s="20">
        <f>IF(D68&gt;0,H68/D68,0)</f>
        <v/>
      </c>
      <c r="K68" s="17" t="inlineStr"/>
    </row>
    <row r="69">
      <c r="A69" s="21" t="inlineStr"/>
      <c r="B69" s="21" t="inlineStr">
        <is>
          <t>BM SUBTOTAL</t>
        </is>
      </c>
      <c r="C69" s="21" t="inlineStr">
        <is>
          <t>Bid Management</t>
        </is>
      </c>
      <c r="D69" s="21">
        <f>SUM(D53:D68)</f>
        <v/>
      </c>
      <c r="E69" s="21" t="inlineStr"/>
      <c r="F69" s="21" t="inlineStr"/>
      <c r="G69" s="21" t="inlineStr"/>
      <c r="H69" s="22">
        <f>SUM(H53:H68)</f>
        <v/>
      </c>
      <c r="I69" s="22">
        <f>D69-H69</f>
        <v/>
      </c>
      <c r="J69" s="23">
        <f>IF(D69&gt;0,H69/D69,0)</f>
        <v/>
      </c>
      <c r="K69" s="21" t="inlineStr"/>
    </row>
    <row r="70">
      <c r="A70" s="17" t="inlineStr">
        <is>
          <t>PRD</t>
        </is>
      </c>
      <c r="B70" s="17" t="inlineStr">
        <is>
          <t>PRD-01</t>
        </is>
      </c>
      <c r="C70" s="17" t="inlineStr">
        <is>
          <t>Compliance matrix &amp; requirements mapping</t>
        </is>
      </c>
      <c r="D70" s="17" t="n">
        <v>3</v>
      </c>
      <c r="E70" s="17" t="n">
        <v>1</v>
      </c>
      <c r="F70" s="17">
        <f>COUNTIF('All Tasks'!$B:$B,B70)</f>
        <v/>
      </c>
      <c r="G70" s="18">
        <f>AVERAGEIF('All Tasks'!$B:$B,B70,'All Tasks'!$O:$O)</f>
        <v/>
      </c>
      <c r="H70" s="19">
        <f>SUMIF('All Tasks'!$B:$B,B70,'All Tasks'!$P:$P)</f>
        <v/>
      </c>
      <c r="I70" s="19">
        <f>D70-H70</f>
        <v/>
      </c>
      <c r="J70" s="20">
        <f>IF(D70&gt;0,H70/D70,0)</f>
        <v/>
      </c>
      <c r="K70" s="17" t="inlineStr"/>
    </row>
    <row r="71">
      <c r="A71" s="17" t="inlineStr">
        <is>
          <t>PRD</t>
        </is>
      </c>
      <c r="B71" s="17" t="inlineStr">
        <is>
          <t>PRD-02</t>
        </is>
      </c>
      <c r="C71" s="17" t="inlineStr">
        <is>
          <t>Section drafting &amp; content assembly</t>
        </is>
      </c>
      <c r="D71" s="17" t="n">
        <v>60</v>
      </c>
      <c r="E71" s="17" t="n">
        <v>4</v>
      </c>
      <c r="F71" s="17">
        <f>COUNTIF('All Tasks'!$B:$B,B71)</f>
        <v/>
      </c>
      <c r="G71" s="18">
        <f>AVERAGEIF('All Tasks'!$B:$B,B71,'All Tasks'!$O:$O)</f>
        <v/>
      </c>
      <c r="H71" s="19">
        <f>SUMIF('All Tasks'!$B:$B,B71,'All Tasks'!$P:$P)</f>
        <v/>
      </c>
      <c r="I71" s="19">
        <f>D71-H71</f>
        <v/>
      </c>
      <c r="J71" s="20">
        <f>IF(D71&gt;0,H71/D71,0)</f>
        <v/>
      </c>
      <c r="K71" s="17" t="inlineStr"/>
    </row>
    <row r="72">
      <c r="A72" s="17" t="inlineStr">
        <is>
          <t>PRD</t>
        </is>
      </c>
      <c r="B72" s="17" t="inlineStr">
        <is>
          <t>PRD-03</t>
        </is>
      </c>
      <c r="C72" s="17" t="inlineStr">
        <is>
          <t>Evidence, case studies &amp; CV assembly</t>
        </is>
      </c>
      <c r="D72" s="17" t="n">
        <v>16</v>
      </c>
      <c r="E72" s="17" t="n">
        <v>2</v>
      </c>
      <c r="F72" s="17">
        <f>COUNTIF('All Tasks'!$B:$B,B72)</f>
        <v/>
      </c>
      <c r="G72" s="18">
        <f>AVERAGEIF('All Tasks'!$B:$B,B72,'All Tasks'!$O:$O)</f>
        <v/>
      </c>
      <c r="H72" s="19">
        <f>SUMIF('All Tasks'!$B:$B,B72,'All Tasks'!$P:$P)</f>
        <v/>
      </c>
      <c r="I72" s="19">
        <f>D72-H72</f>
        <v/>
      </c>
      <c r="J72" s="20">
        <f>IF(D72&gt;0,H72/D72,0)</f>
        <v/>
      </c>
      <c r="K72" s="17" t="inlineStr"/>
    </row>
    <row r="73">
      <c r="A73" s="17" t="inlineStr">
        <is>
          <t>PRD</t>
        </is>
      </c>
      <c r="B73" s="17" t="inlineStr">
        <is>
          <t>PRD-04</t>
        </is>
      </c>
      <c r="C73" s="17" t="inlineStr">
        <is>
          <t>Pricing schedules &amp; commercial response</t>
        </is>
      </c>
      <c r="D73" s="17" t="n">
        <v>5</v>
      </c>
      <c r="E73" s="17" t="n">
        <v>1</v>
      </c>
      <c r="F73" s="17">
        <f>COUNTIF('All Tasks'!$B:$B,B73)</f>
        <v/>
      </c>
      <c r="G73" s="18">
        <f>AVERAGEIF('All Tasks'!$B:$B,B73,'All Tasks'!$O:$O)</f>
        <v/>
      </c>
      <c r="H73" s="19">
        <f>SUMIF('All Tasks'!$B:$B,B73,'All Tasks'!$P:$P)</f>
        <v/>
      </c>
      <c r="I73" s="19">
        <f>D73-H73</f>
        <v/>
      </c>
      <c r="J73" s="20">
        <f>IF(D73&gt;0,H73/D73,0)</f>
        <v/>
      </c>
      <c r="K73" s="17" t="inlineStr"/>
    </row>
    <row r="74">
      <c r="A74" s="17" t="inlineStr">
        <is>
          <t>PRD</t>
        </is>
      </c>
      <c r="B74" s="17" t="inlineStr">
        <is>
          <t>PRD-05</t>
        </is>
      </c>
      <c r="C74" s="17" t="inlineStr">
        <is>
          <t>Pink review (storyboard/outline)</t>
        </is>
      </c>
      <c r="D74" s="17" t="n">
        <v>3</v>
      </c>
      <c r="E74" s="17" t="n">
        <v>1</v>
      </c>
      <c r="F74" s="17">
        <f>COUNTIF('All Tasks'!$B:$B,B74)</f>
        <v/>
      </c>
      <c r="G74" s="18">
        <f>AVERAGEIF('All Tasks'!$B:$B,B74,'All Tasks'!$O:$O)</f>
        <v/>
      </c>
      <c r="H74" s="19">
        <f>SUMIF('All Tasks'!$B:$B,B74,'All Tasks'!$P:$P)</f>
        <v/>
      </c>
      <c r="I74" s="19">
        <f>D74-H74</f>
        <v/>
      </c>
      <c r="J74" s="20">
        <f>IF(D74&gt;0,H74/D74,0)</f>
        <v/>
      </c>
      <c r="K74" s="17" t="inlineStr"/>
    </row>
    <row r="75">
      <c r="A75" s="17" t="inlineStr">
        <is>
          <t>PRD</t>
        </is>
      </c>
      <c r="B75" s="17" t="inlineStr">
        <is>
          <t>PRD-06</t>
        </is>
      </c>
      <c r="C75" s="17" t="inlineStr">
        <is>
          <t>Red review (full draft)</t>
        </is>
      </c>
      <c r="D75" s="17" t="n">
        <v>5</v>
      </c>
      <c r="E75" s="17" t="n">
        <v>1</v>
      </c>
      <c r="F75" s="17">
        <f>COUNTIF('All Tasks'!$B:$B,B75)</f>
        <v/>
      </c>
      <c r="G75" s="18">
        <f>AVERAGEIF('All Tasks'!$B:$B,B75,'All Tasks'!$O:$O)</f>
        <v/>
      </c>
      <c r="H75" s="19">
        <f>SUMIF('All Tasks'!$B:$B,B75,'All Tasks'!$P:$P)</f>
        <v/>
      </c>
      <c r="I75" s="19">
        <f>D75-H75</f>
        <v/>
      </c>
      <c r="J75" s="20">
        <f>IF(D75&gt;0,H75/D75,0)</f>
        <v/>
      </c>
      <c r="K75" s="17" t="inlineStr"/>
    </row>
    <row r="76">
      <c r="A76" s="17" t="inlineStr">
        <is>
          <t>PRD</t>
        </is>
      </c>
      <c r="B76" s="17" t="inlineStr">
        <is>
          <t>PRD-07</t>
        </is>
      </c>
      <c r="C76" s="17" t="inlineStr">
        <is>
          <t>Gold review (final/executive)</t>
        </is>
      </c>
      <c r="D76" s="17" t="n">
        <v>3</v>
      </c>
      <c r="E76" s="17" t="n">
        <v>1</v>
      </c>
      <c r="F76" s="17">
        <f>COUNTIF('All Tasks'!$B:$B,B76)</f>
        <v/>
      </c>
      <c r="G76" s="18">
        <f>AVERAGEIF('All Tasks'!$B:$B,B76,'All Tasks'!$O:$O)</f>
        <v/>
      </c>
      <c r="H76" s="19">
        <f>SUMIF('All Tasks'!$B:$B,B76,'All Tasks'!$P:$P)</f>
        <v/>
      </c>
      <c r="I76" s="19">
        <f>D76-H76</f>
        <v/>
      </c>
      <c r="J76" s="20">
        <f>IF(D76&gt;0,H76/D76,0)</f>
        <v/>
      </c>
      <c r="K76" s="17" t="inlineStr"/>
    </row>
    <row r="77">
      <c r="A77" s="17" t="inlineStr">
        <is>
          <t>PRD</t>
        </is>
      </c>
      <c r="B77" s="17" t="inlineStr">
        <is>
          <t>PRD-08</t>
        </is>
      </c>
      <c r="C77" s="17" t="inlineStr">
        <is>
          <t>Final QA &amp; formatting</t>
        </is>
      </c>
      <c r="D77" s="17" t="n">
        <v>3</v>
      </c>
      <c r="E77" s="17" t="n">
        <v>1</v>
      </c>
      <c r="F77" s="17">
        <f>COUNTIF('All Tasks'!$B:$B,B77)</f>
        <v/>
      </c>
      <c r="G77" s="18">
        <f>AVERAGEIF('All Tasks'!$B:$B,B77,'All Tasks'!$O:$O)</f>
        <v/>
      </c>
      <c r="H77" s="19">
        <f>SUMIF('All Tasks'!$B:$B,B77,'All Tasks'!$P:$P)</f>
        <v/>
      </c>
      <c r="I77" s="19">
        <f>D77-H77</f>
        <v/>
      </c>
      <c r="J77" s="20">
        <f>IF(D77&gt;0,H77/D77,0)</f>
        <v/>
      </c>
      <c r="K77" s="17" t="inlineStr"/>
    </row>
    <row r="78">
      <c r="A78" s="17" t="inlineStr">
        <is>
          <t>PRD</t>
        </is>
      </c>
      <c r="B78" s="17" t="inlineStr">
        <is>
          <t>PRD-09</t>
        </is>
      </c>
      <c r="C78" s="17" t="inlineStr">
        <is>
          <t>Submission packaging &amp; upload</t>
        </is>
      </c>
      <c r="D78" s="17" t="n">
        <v>2</v>
      </c>
      <c r="E78" s="17" t="n">
        <v>1</v>
      </c>
      <c r="F78" s="17">
        <f>COUNTIF('All Tasks'!$B:$B,B78)</f>
        <v/>
      </c>
      <c r="G78" s="18">
        <f>AVERAGEIF('All Tasks'!$B:$B,B78,'All Tasks'!$O:$O)</f>
        <v/>
      </c>
      <c r="H78" s="19">
        <f>SUMIF('All Tasks'!$B:$B,B78,'All Tasks'!$P:$P)</f>
        <v/>
      </c>
      <c r="I78" s="19">
        <f>D78-H78</f>
        <v/>
      </c>
      <c r="J78" s="20">
        <f>IF(D78&gt;0,H78/D78,0)</f>
        <v/>
      </c>
      <c r="K78" s="17" t="inlineStr"/>
    </row>
    <row r="79">
      <c r="A79" s="21" t="inlineStr"/>
      <c r="B79" s="21" t="inlineStr">
        <is>
          <t>PRD SUBTOTAL</t>
        </is>
      </c>
      <c r="C79" s="21" t="inlineStr">
        <is>
          <t>Proposal Production</t>
        </is>
      </c>
      <c r="D79" s="21">
        <f>SUM(D70:D78)</f>
        <v/>
      </c>
      <c r="E79" s="21" t="inlineStr"/>
      <c r="F79" s="21" t="inlineStr"/>
      <c r="G79" s="21" t="inlineStr"/>
      <c r="H79" s="22">
        <f>SUM(H70:H78)</f>
        <v/>
      </c>
      <c r="I79" s="22">
        <f>D79-H79</f>
        <v/>
      </c>
      <c r="J79" s="23">
        <f>IF(D79&gt;0,H79/D79,0)</f>
        <v/>
      </c>
      <c r="K79" s="21" t="inlineStr"/>
    </row>
    <row r="80">
      <c r="A80" s="17" t="inlineStr">
        <is>
          <t>GOV</t>
        </is>
      </c>
      <c r="B80" s="17" t="inlineStr">
        <is>
          <t>GOV-01</t>
        </is>
      </c>
      <c r="C80" s="17" t="inlineStr">
        <is>
          <t>Pursuit approval</t>
        </is>
      </c>
      <c r="D80" s="17" t="n">
        <v>2</v>
      </c>
      <c r="E80" s="17" t="n">
        <v>1</v>
      </c>
      <c r="F80" s="17">
        <f>COUNTIF('All Tasks'!$B:$B,B80)</f>
        <v/>
      </c>
      <c r="G80" s="18">
        <f>AVERAGEIF('All Tasks'!$B:$B,B80,'All Tasks'!$O:$O)</f>
        <v/>
      </c>
      <c r="H80" s="19">
        <f>SUMIF('All Tasks'!$B:$B,B80,'All Tasks'!$P:$P)</f>
        <v/>
      </c>
      <c r="I80" s="19">
        <f>D80-H80</f>
        <v/>
      </c>
      <c r="J80" s="20">
        <f>IF(D80&gt;0,H80/D80,0)</f>
        <v/>
      </c>
      <c r="K80" s="17" t="inlineStr"/>
    </row>
    <row r="81">
      <c r="A81" s="17" t="inlineStr">
        <is>
          <t>GOV</t>
        </is>
      </c>
      <c r="B81" s="17" t="inlineStr">
        <is>
          <t>GOV-02</t>
        </is>
      </c>
      <c r="C81" s="17" t="inlineStr">
        <is>
          <t>Solution &amp; strategy review</t>
        </is>
      </c>
      <c r="D81" s="17" t="n">
        <v>2</v>
      </c>
      <c r="E81" s="17" t="n">
        <v>1</v>
      </c>
      <c r="F81" s="17">
        <f>COUNTIF('All Tasks'!$B:$B,B81)</f>
        <v/>
      </c>
      <c r="G81" s="18">
        <f>AVERAGEIF('All Tasks'!$B:$B,B81,'All Tasks'!$O:$O)</f>
        <v/>
      </c>
      <c r="H81" s="19">
        <f>SUMIF('All Tasks'!$B:$B,B81,'All Tasks'!$P:$P)</f>
        <v/>
      </c>
      <c r="I81" s="19">
        <f>D81-H81</f>
        <v/>
      </c>
      <c r="J81" s="20">
        <f>IF(D81&gt;0,H81/D81,0)</f>
        <v/>
      </c>
      <c r="K81" s="17" t="inlineStr"/>
    </row>
    <row r="82">
      <c r="A82" s="17" t="inlineStr">
        <is>
          <t>GOV</t>
        </is>
      </c>
      <c r="B82" s="17" t="inlineStr">
        <is>
          <t>GOV-03</t>
        </is>
      </c>
      <c r="C82" s="17" t="inlineStr">
        <is>
          <t>Pricing &amp; risk review</t>
        </is>
      </c>
      <c r="D82" s="17" t="n">
        <v>2</v>
      </c>
      <c r="E82" s="17" t="n">
        <v>1</v>
      </c>
      <c r="F82" s="17">
        <f>COUNTIF('All Tasks'!$B:$B,B82)</f>
        <v/>
      </c>
      <c r="G82" s="18">
        <f>AVERAGEIF('All Tasks'!$B:$B,B82,'All Tasks'!$O:$O)</f>
        <v/>
      </c>
      <c r="H82" s="19">
        <f>SUMIF('All Tasks'!$B:$B,B82,'All Tasks'!$P:$P)</f>
        <v/>
      </c>
      <c r="I82" s="19">
        <f>D82-H82</f>
        <v/>
      </c>
      <c r="J82" s="20">
        <f>IF(D82&gt;0,H82/D82,0)</f>
        <v/>
      </c>
      <c r="K82" s="17" t="inlineStr"/>
    </row>
    <row r="83">
      <c r="A83" s="17" t="inlineStr">
        <is>
          <t>GOV</t>
        </is>
      </c>
      <c r="B83" s="17" t="inlineStr">
        <is>
          <t>GOV-04</t>
        </is>
      </c>
      <c r="C83" s="17" t="inlineStr">
        <is>
          <t>Executive approval</t>
        </is>
      </c>
      <c r="D83" s="17" t="n">
        <v>2</v>
      </c>
      <c r="E83" s="17" t="n">
        <v>1</v>
      </c>
      <c r="F83" s="17">
        <f>COUNTIF('All Tasks'!$B:$B,B83)</f>
        <v/>
      </c>
      <c r="G83" s="18">
        <f>AVERAGEIF('All Tasks'!$B:$B,B83,'All Tasks'!$O:$O)</f>
        <v/>
      </c>
      <c r="H83" s="19">
        <f>SUMIF('All Tasks'!$B:$B,B83,'All Tasks'!$P:$P)</f>
        <v/>
      </c>
      <c r="I83" s="19">
        <f>D83-H83</f>
        <v/>
      </c>
      <c r="J83" s="20">
        <f>IF(D83&gt;0,H83/D83,0)</f>
        <v/>
      </c>
      <c r="K83" s="17" t="inlineStr"/>
    </row>
    <row r="84">
      <c r="A84" s="17" t="inlineStr">
        <is>
          <t>GOV</t>
        </is>
      </c>
      <c r="B84" s="17" t="inlineStr">
        <is>
          <t>GOV-05</t>
        </is>
      </c>
      <c r="C84" s="17" t="inlineStr">
        <is>
          <t>Final submission authority</t>
        </is>
      </c>
      <c r="D84" s="17" t="n">
        <v>1</v>
      </c>
      <c r="E84" s="17" t="n">
        <v>1</v>
      </c>
      <c r="F84" s="17">
        <f>COUNTIF('All Tasks'!$B:$B,B84)</f>
        <v/>
      </c>
      <c r="G84" s="18">
        <f>AVERAGEIF('All Tasks'!$B:$B,B84,'All Tasks'!$O:$O)</f>
        <v/>
      </c>
      <c r="H84" s="19">
        <f>SUMIF('All Tasks'!$B:$B,B84,'All Tasks'!$P:$P)</f>
        <v/>
      </c>
      <c r="I84" s="19">
        <f>D84-H84</f>
        <v/>
      </c>
      <c r="J84" s="20">
        <f>IF(D84&gt;0,H84/D84,0)</f>
        <v/>
      </c>
      <c r="K84" s="17" t="inlineStr"/>
    </row>
    <row r="85">
      <c r="A85" s="17" t="inlineStr">
        <is>
          <t>GOV</t>
        </is>
      </c>
      <c r="B85" s="17" t="inlineStr">
        <is>
          <t>GOV-06</t>
        </is>
      </c>
      <c r="C85" s="17" t="inlineStr">
        <is>
          <t>Legal &amp; contractual review</t>
        </is>
      </c>
      <c r="D85" s="17" t="n">
        <v>2</v>
      </c>
      <c r="E85" s="17" t="n">
        <v>1</v>
      </c>
      <c r="F85" s="17">
        <f>COUNTIF('All Tasks'!$B:$B,B85)</f>
        <v/>
      </c>
      <c r="G85" s="18">
        <f>AVERAGEIF('All Tasks'!$B:$B,B85,'All Tasks'!$O:$O)</f>
        <v/>
      </c>
      <c r="H85" s="19">
        <f>SUMIF('All Tasks'!$B:$B,B85,'All Tasks'!$P:$P)</f>
        <v/>
      </c>
      <c r="I85" s="19">
        <f>D85-H85</f>
        <v/>
      </c>
      <c r="J85" s="20">
        <f>IF(D85&gt;0,H85/D85,0)</f>
        <v/>
      </c>
      <c r="K85" s="17" t="inlineStr"/>
    </row>
    <row r="86">
      <c r="A86" s="21" t="inlineStr"/>
      <c r="B86" s="21" t="inlineStr">
        <is>
          <t>GOV SUBTOTAL</t>
        </is>
      </c>
      <c r="C86" s="21" t="inlineStr">
        <is>
          <t>Internal Governance</t>
        </is>
      </c>
      <c r="D86" s="21">
        <f>SUM(D80:D85)</f>
        <v/>
      </c>
      <c r="E86" s="21" t="inlineStr"/>
      <c r="F86" s="21" t="inlineStr"/>
      <c r="G86" s="21" t="inlineStr"/>
      <c r="H86" s="22">
        <f>SUM(H80:H85)</f>
        <v/>
      </c>
      <c r="I86" s="22">
        <f>D86-H86</f>
        <v/>
      </c>
      <c r="J86" s="23">
        <f>IF(D86&gt;0,H86/D86,0)</f>
        <v/>
      </c>
      <c r="K86" s="21" t="inlineStr"/>
    </row>
    <row r="87">
      <c r="A87" s="17" t="inlineStr">
        <is>
          <t>POST</t>
        </is>
      </c>
      <c r="B87" s="17" t="inlineStr">
        <is>
          <t>POST-01</t>
        </is>
      </c>
      <c r="C87" s="17" t="inlineStr">
        <is>
          <t>Presentation design &amp; development</t>
        </is>
      </c>
      <c r="D87" s="17" t="n">
        <v>10</v>
      </c>
      <c r="E87" s="17" t="n">
        <v>2</v>
      </c>
      <c r="F87" s="17">
        <f>COUNTIF('All Tasks'!$B:$B,B87)</f>
        <v/>
      </c>
      <c r="G87" s="18">
        <f>AVERAGEIF('All Tasks'!$B:$B,B87,'All Tasks'!$O:$O)</f>
        <v/>
      </c>
      <c r="H87" s="19">
        <f>SUMIF('All Tasks'!$B:$B,B87,'All Tasks'!$P:$P)</f>
        <v/>
      </c>
      <c r="I87" s="19">
        <f>D87-H87</f>
        <v/>
      </c>
      <c r="J87" s="20">
        <f>IF(D87&gt;0,H87/D87,0)</f>
        <v/>
      </c>
      <c r="K87" s="17" t="inlineStr"/>
    </row>
    <row r="88">
      <c r="A88" s="17" t="inlineStr">
        <is>
          <t>POST</t>
        </is>
      </c>
      <c r="B88" s="17" t="inlineStr">
        <is>
          <t>POST-02</t>
        </is>
      </c>
      <c r="C88" s="17" t="inlineStr">
        <is>
          <t>Presentation rehearsals &amp; coaching</t>
        </is>
      </c>
      <c r="D88" s="17" t="n">
        <v>3</v>
      </c>
      <c r="E88" s="17" t="n">
        <v>1</v>
      </c>
      <c r="F88" s="17">
        <f>COUNTIF('All Tasks'!$B:$B,B88)</f>
        <v/>
      </c>
      <c r="G88" s="18">
        <f>AVERAGEIF('All Tasks'!$B:$B,B88,'All Tasks'!$O:$O)</f>
        <v/>
      </c>
      <c r="H88" s="19">
        <f>SUMIF('All Tasks'!$B:$B,B88,'All Tasks'!$P:$P)</f>
        <v/>
      </c>
      <c r="I88" s="19">
        <f>D88-H88</f>
        <v/>
      </c>
      <c r="J88" s="20">
        <f>IF(D88&gt;0,H88/D88,0)</f>
        <v/>
      </c>
      <c r="K88" s="17" t="inlineStr"/>
    </row>
    <row r="89">
      <c r="A89" s="17" t="inlineStr">
        <is>
          <t>POST</t>
        </is>
      </c>
      <c r="B89" s="17" t="inlineStr">
        <is>
          <t>POST-03</t>
        </is>
      </c>
      <c r="C89" s="17" t="inlineStr">
        <is>
          <t>Presentation delivery</t>
        </is>
      </c>
      <c r="D89" s="17" t="n">
        <v>1</v>
      </c>
      <c r="E89" s="17" t="n">
        <v>1</v>
      </c>
      <c r="F89" s="17">
        <f>COUNTIF('All Tasks'!$B:$B,B89)</f>
        <v/>
      </c>
      <c r="G89" s="18">
        <f>AVERAGEIF('All Tasks'!$B:$B,B89,'All Tasks'!$O:$O)</f>
        <v/>
      </c>
      <c r="H89" s="19">
        <f>SUMIF('All Tasks'!$B:$B,B89,'All Tasks'!$P:$P)</f>
        <v/>
      </c>
      <c r="I89" s="19">
        <f>D89-H89</f>
        <v/>
      </c>
      <c r="J89" s="20">
        <f>IF(D89&gt;0,H89/D89,0)</f>
        <v/>
      </c>
      <c r="K89" s="17" t="inlineStr"/>
    </row>
    <row r="90">
      <c r="A90" s="17" t="inlineStr">
        <is>
          <t>POST</t>
        </is>
      </c>
      <c r="B90" s="17" t="inlineStr">
        <is>
          <t>POST-04</t>
        </is>
      </c>
      <c r="C90" s="17" t="inlineStr">
        <is>
          <t>Post-submission clarification management</t>
        </is>
      </c>
      <c r="D90" s="17" t="n">
        <v>5</v>
      </c>
      <c r="E90" s="17" t="n">
        <v>2</v>
      </c>
      <c r="F90" s="17">
        <f>COUNTIF('All Tasks'!$B:$B,B90)</f>
        <v/>
      </c>
      <c r="G90" s="18">
        <f>AVERAGEIF('All Tasks'!$B:$B,B90,'All Tasks'!$O:$O)</f>
        <v/>
      </c>
      <c r="H90" s="19">
        <f>SUMIF('All Tasks'!$B:$B,B90,'All Tasks'!$P:$P)</f>
        <v/>
      </c>
      <c r="I90" s="19">
        <f>D90-H90</f>
        <v/>
      </c>
      <c r="J90" s="20">
        <f>IF(D90&gt;0,H90/D90,0)</f>
        <v/>
      </c>
      <c r="K90" s="17" t="inlineStr"/>
    </row>
    <row r="91">
      <c r="A91" s="17" t="inlineStr">
        <is>
          <t>POST</t>
        </is>
      </c>
      <c r="B91" s="17" t="inlineStr">
        <is>
          <t>POST-05</t>
        </is>
      </c>
      <c r="C91" s="17" t="inlineStr">
        <is>
          <t>BAFO preparation &amp; revised pricing</t>
        </is>
      </c>
      <c r="D91" s="17" t="n">
        <v>10</v>
      </c>
      <c r="E91" s="17" t="n">
        <v>2</v>
      </c>
      <c r="F91" s="17">
        <f>COUNTIF('All Tasks'!$B:$B,B91)</f>
        <v/>
      </c>
      <c r="G91" s="18">
        <f>AVERAGEIF('All Tasks'!$B:$B,B91,'All Tasks'!$O:$O)</f>
        <v/>
      </c>
      <c r="H91" s="19">
        <f>SUMIF('All Tasks'!$B:$B,B91,'All Tasks'!$P:$P)</f>
        <v/>
      </c>
      <c r="I91" s="19">
        <f>D91-H91</f>
        <v/>
      </c>
      <c r="J91" s="20">
        <f>IF(D91&gt;0,H91/D91,0)</f>
        <v/>
      </c>
      <c r="K91" s="17" t="inlineStr"/>
    </row>
    <row r="92">
      <c r="A92" s="17" t="inlineStr">
        <is>
          <t>POST</t>
        </is>
      </c>
      <c r="B92" s="17" t="inlineStr">
        <is>
          <t>POST-06</t>
        </is>
      </c>
      <c r="C92" s="17" t="inlineStr">
        <is>
          <t>BAFO governance approval</t>
        </is>
      </c>
      <c r="D92" s="17" t="n">
        <v>2</v>
      </c>
      <c r="E92" s="17" t="n">
        <v>1</v>
      </c>
      <c r="F92" s="17">
        <f>COUNTIF('All Tasks'!$B:$B,B92)</f>
        <v/>
      </c>
      <c r="G92" s="18">
        <f>AVERAGEIF('All Tasks'!$B:$B,B92,'All Tasks'!$O:$O)</f>
        <v/>
      </c>
      <c r="H92" s="19">
        <f>SUMIF('All Tasks'!$B:$B,B92,'All Tasks'!$P:$P)</f>
        <v/>
      </c>
      <c r="I92" s="19">
        <f>D92-H92</f>
        <v/>
      </c>
      <c r="J92" s="20">
        <f>IF(D92&gt;0,H92/D92,0)</f>
        <v/>
      </c>
      <c r="K92" s="17" t="inlineStr"/>
    </row>
    <row r="93">
      <c r="A93" s="17" t="inlineStr">
        <is>
          <t>POST</t>
        </is>
      </c>
      <c r="B93" s="17" t="inlineStr">
        <is>
          <t>POST-07</t>
        </is>
      </c>
      <c r="C93" s="17" t="inlineStr">
        <is>
          <t>Contract negotiation support</t>
        </is>
      </c>
      <c r="D93" s="17" t="n">
        <v>5</v>
      </c>
      <c r="E93" s="17" t="n">
        <v>1</v>
      </c>
      <c r="F93" s="17">
        <f>COUNTIF('All Tasks'!$B:$B,B93)</f>
        <v/>
      </c>
      <c r="G93" s="18">
        <f>AVERAGEIF('All Tasks'!$B:$B,B93,'All Tasks'!$O:$O)</f>
        <v/>
      </c>
      <c r="H93" s="19">
        <f>SUMIF('All Tasks'!$B:$B,B93,'All Tasks'!$P:$P)</f>
        <v/>
      </c>
      <c r="I93" s="19">
        <f>D93-H93</f>
        <v/>
      </c>
      <c r="J93" s="20">
        <f>IF(D93&gt;0,H93/D93,0)</f>
        <v/>
      </c>
      <c r="K93" s="17" t="inlineStr"/>
    </row>
    <row r="94">
      <c r="A94" s="17" t="inlineStr">
        <is>
          <t>POST</t>
        </is>
      </c>
      <c r="B94" s="17" t="inlineStr">
        <is>
          <t>POST-08</t>
        </is>
      </c>
      <c r="C94" s="17" t="inlineStr">
        <is>
          <t>Award processing &amp; mobilisation handover</t>
        </is>
      </c>
      <c r="D94" s="17" t="n">
        <v>3</v>
      </c>
      <c r="E94" s="17" t="n">
        <v>1</v>
      </c>
      <c r="F94" s="17">
        <f>COUNTIF('All Tasks'!$B:$B,B94)</f>
        <v/>
      </c>
      <c r="G94" s="18">
        <f>AVERAGEIF('All Tasks'!$B:$B,B94,'All Tasks'!$O:$O)</f>
        <v/>
      </c>
      <c r="H94" s="19">
        <f>SUMIF('All Tasks'!$B:$B,B94,'All Tasks'!$P:$P)</f>
        <v/>
      </c>
      <c r="I94" s="19">
        <f>D94-H94</f>
        <v/>
      </c>
      <c r="J94" s="20">
        <f>IF(D94&gt;0,H94/D94,0)</f>
        <v/>
      </c>
      <c r="K94" s="17" t="inlineStr"/>
    </row>
    <row r="95">
      <c r="A95" s="21" t="inlineStr"/>
      <c r="B95" s="21" t="inlineStr">
        <is>
          <t>POST SUBTOTAL</t>
        </is>
      </c>
      <c r="C95" s="21" t="inlineStr">
        <is>
          <t>Post-Submission</t>
        </is>
      </c>
      <c r="D95" s="21">
        <f>SUM(D87:D94)</f>
        <v/>
      </c>
      <c r="E95" s="21" t="inlineStr"/>
      <c r="F95" s="21" t="inlineStr"/>
      <c r="G95" s="21" t="inlineStr"/>
      <c r="H95" s="22">
        <f>SUM(H87:H94)</f>
        <v/>
      </c>
      <c r="I95" s="22">
        <f>D95-H95</f>
        <v/>
      </c>
      <c r="J95" s="23">
        <f>IF(D95&gt;0,H95/D95,0)</f>
        <v/>
      </c>
      <c r="K95" s="21" t="inlineStr"/>
    </row>
    <row r="96">
      <c r="A96" s="24" t="inlineStr"/>
      <c r="B96" s="24" t="inlineStr">
        <is>
          <t>TOTAL</t>
        </is>
      </c>
      <c r="C96" s="24" t="inlineStr">
        <is>
          <t>All 84 Activities</t>
        </is>
      </c>
      <c r="D96" s="24" t="n">
        <v>505</v>
      </c>
      <c r="E96" s="24" t="inlineStr"/>
      <c r="F96" s="24" t="n">
        <v>296</v>
      </c>
      <c r="G96" s="24" t="inlineStr"/>
      <c r="H96" s="25">
        <f>SUM('All Tasks'!$P:$P)</f>
        <v/>
      </c>
      <c r="I96" s="25">
        <f>D96-H96</f>
        <v/>
      </c>
      <c r="J96" s="26">
        <f>IF(D96&gt;0,H96/D96,0)</f>
        <v/>
      </c>
      <c r="K96" s="2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49438"/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58" customWidth="1" min="8" max="8"/>
    <col width="8" customWidth="1" min="9" max="9"/>
    <col width="8" customWidth="1" min="10" max="10"/>
  </cols>
  <sheetData>
    <row r="1">
      <c r="A1" s="27" t="inlineStr">
        <is>
          <t>REAL-WORLD AI IMPACT — COMPLEX SERVICES BID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</row>
    <row r="2" ht="40" customHeight="1">
      <c r="A2" s="29" t="inlineStr">
        <is>
          <t>Assumptions: (1) Five phases: Capture → Qualification → Proposal Development → Submission/Review → Contract Award/Handover. (2) Full team across all workstreams (12 roles). (3) Base cost only (excl. 1.4x company uplift). (4) 18-month pursuit timeline. (5) Resource plan days are authoritative (2,050 person-days). (6) AI reduction % from bottom-up assessment of 295 L3 methodology tasks.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</row>
    <row r="4">
      <c r="A4" s="31" t="inlineStr">
        <is>
          <t>RESOURCE PROFILE — PER ROLE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</row>
    <row r="5">
      <c r="A5" s="27" t="inlineStr">
        <is>
          <t>Role</t>
        </is>
      </c>
      <c r="B5" s="27" t="inlineStr">
        <is>
          <t>Base Day Rate</t>
        </is>
      </c>
      <c r="C5" s="27" t="inlineStr">
        <is>
          <t>Total Days</t>
        </is>
      </c>
      <c r="D5" s="27" t="inlineStr">
        <is>
          <t>Base Cost</t>
        </is>
      </c>
      <c r="E5" s="27" t="inlineStr">
        <is>
          <t>% of Total</t>
        </is>
      </c>
      <c r="F5" s="27" t="inlineStr">
        <is>
          <t>Primary Workstream(s)</t>
        </is>
      </c>
      <c r="G5" s="27" t="inlineStr"/>
      <c r="H5" s="27" t="inlineStr"/>
      <c r="I5" s="27" t="inlineStr"/>
      <c r="J5" s="27" t="inlineStr"/>
    </row>
    <row r="6">
      <c r="A6" s="30" t="inlineStr">
        <is>
          <t>SRIE / Bid Sponsor</t>
        </is>
      </c>
      <c r="B6" s="33" t="n">
        <v>1600</v>
      </c>
      <c r="C6" s="34" t="n">
        <v>55</v>
      </c>
      <c r="D6" s="33" t="n">
        <v>88000</v>
      </c>
      <c r="E6" s="35" t="n">
        <v>0.02682926829268293</v>
      </c>
      <c r="F6" s="30" t="inlineStr">
        <is>
          <t>GOV, SAL, BM</t>
        </is>
      </c>
      <c r="G6" s="30" t="inlineStr"/>
      <c r="H6" s="30" t="inlineStr"/>
      <c r="I6" s="30" t="inlineStr"/>
      <c r="J6" s="30" t="inlineStr"/>
    </row>
    <row r="7">
      <c r="A7" s="30" t="inlineStr">
        <is>
          <t>Bid Director</t>
        </is>
      </c>
      <c r="B7" s="33" t="n">
        <v>850</v>
      </c>
      <c r="C7" s="34" t="n">
        <v>204</v>
      </c>
      <c r="D7" s="33" t="n">
        <v>173400</v>
      </c>
      <c r="E7" s="35" t="n">
        <v>0.09951219512195122</v>
      </c>
      <c r="F7" s="30" t="inlineStr">
        <is>
          <t>GOV, SAL, BM</t>
        </is>
      </c>
      <c r="G7" s="30" t="inlineStr"/>
      <c r="H7" s="30" t="inlineStr"/>
      <c r="I7" s="30" t="inlineStr"/>
      <c r="J7" s="30" t="inlineStr"/>
    </row>
    <row r="8">
      <c r="A8" s="30" t="inlineStr">
        <is>
          <t>Bid / Pursuit Lead</t>
        </is>
      </c>
      <c r="B8" s="33" t="n">
        <v>850</v>
      </c>
      <c r="C8" s="34" t="n">
        <v>126</v>
      </c>
      <c r="D8" s="33" t="n">
        <v>107100</v>
      </c>
      <c r="E8" s="35" t="n">
        <v>0.06146341463414634</v>
      </c>
      <c r="F8" s="30" t="inlineStr">
        <is>
          <t>SAL, BM</t>
        </is>
      </c>
      <c r="G8" s="30" t="inlineStr"/>
      <c r="H8" s="30" t="inlineStr"/>
      <c r="I8" s="30" t="inlineStr"/>
      <c r="J8" s="30" t="inlineStr"/>
    </row>
    <row r="9">
      <c r="A9" s="30" t="inlineStr">
        <is>
          <t>Bid Manager</t>
        </is>
      </c>
      <c r="B9" s="33" t="n">
        <v>650</v>
      </c>
      <c r="C9" s="34" t="n">
        <v>187.5</v>
      </c>
      <c r="D9" s="33" t="n">
        <v>121875</v>
      </c>
      <c r="E9" s="35" t="n">
        <v>0.09146341463414634</v>
      </c>
      <c r="F9" s="30" t="inlineStr">
        <is>
          <t>BM, PRD, GOV, POST</t>
        </is>
      </c>
      <c r="G9" s="30" t="inlineStr"/>
      <c r="H9" s="30" t="inlineStr"/>
      <c r="I9" s="30" t="inlineStr"/>
      <c r="J9" s="30" t="inlineStr"/>
    </row>
    <row r="10">
      <c r="A10" s="30" t="inlineStr">
        <is>
          <t>Technical / Solution Owner</t>
        </is>
      </c>
      <c r="B10" s="33" t="n">
        <v>850</v>
      </c>
      <c r="C10" s="34" t="n">
        <v>201</v>
      </c>
      <c r="D10" s="33" t="n">
        <v>170850</v>
      </c>
      <c r="E10" s="35" t="n">
        <v>0.09804878048780488</v>
      </c>
      <c r="F10" s="30" t="inlineStr">
        <is>
          <t>SOL, DEL</t>
        </is>
      </c>
      <c r="G10" s="30" t="inlineStr"/>
      <c r="H10" s="30" t="inlineStr"/>
      <c r="I10" s="30" t="inlineStr"/>
      <c r="J10" s="30" t="inlineStr"/>
    </row>
    <row r="11">
      <c r="A11" s="30" t="inlineStr">
        <is>
          <t>Delivery / Transformation Dir</t>
        </is>
      </c>
      <c r="B11" s="33" t="n">
        <v>850</v>
      </c>
      <c r="C11" s="34" t="n">
        <v>231</v>
      </c>
      <c r="D11" s="33" t="n">
        <v>196350</v>
      </c>
      <c r="E11" s="35" t="n">
        <v>0.1126829268292683</v>
      </c>
      <c r="F11" s="30" t="inlineStr">
        <is>
          <t>DEL, SOL, POST</t>
        </is>
      </c>
      <c r="G11" s="30" t="inlineStr"/>
      <c r="H11" s="30" t="inlineStr"/>
      <c r="I11" s="30" t="inlineStr"/>
      <c r="J11" s="30" t="inlineStr"/>
    </row>
    <row r="12">
      <c r="A12" s="30" t="inlineStr">
        <is>
          <t>Commercial Lead</t>
        </is>
      </c>
      <c r="B12" s="33" t="n">
        <v>850</v>
      </c>
      <c r="C12" s="34" t="n">
        <v>123</v>
      </c>
      <c r="D12" s="33" t="n">
        <v>104550</v>
      </c>
      <c r="E12" s="35" t="n">
        <v>0.06</v>
      </c>
      <c r="F12" s="30" t="inlineStr">
        <is>
          <t>COM, SOL, POST</t>
        </is>
      </c>
      <c r="G12" s="30" t="inlineStr"/>
      <c r="H12" s="30" t="inlineStr"/>
      <c r="I12" s="30" t="inlineStr"/>
      <c r="J12" s="30" t="inlineStr"/>
    </row>
    <row r="13">
      <c r="A13" s="30" t="inlineStr">
        <is>
          <t>Solution Architect</t>
        </is>
      </c>
      <c r="B13" s="33" t="n">
        <v>850</v>
      </c>
      <c r="C13" s="34" t="n">
        <v>165</v>
      </c>
      <c r="D13" s="33" t="n">
        <v>140250</v>
      </c>
      <c r="E13" s="35" t="n">
        <v>0.08048780487804878</v>
      </c>
      <c r="F13" s="30" t="inlineStr">
        <is>
          <t>SOL, PRD</t>
        </is>
      </c>
      <c r="G13" s="30" t="inlineStr"/>
      <c r="H13" s="30" t="inlineStr"/>
      <c r="I13" s="30" t="inlineStr"/>
      <c r="J13" s="30" t="inlineStr"/>
    </row>
    <row r="14">
      <c r="A14" s="30" t="inlineStr">
        <is>
          <t>SME</t>
        </is>
      </c>
      <c r="B14" s="33" t="n">
        <v>850</v>
      </c>
      <c r="C14" s="34" t="n">
        <v>464</v>
      </c>
      <c r="D14" s="33" t="n">
        <v>394400</v>
      </c>
      <c r="E14" s="35" t="n">
        <v>0.2263414634146342</v>
      </c>
      <c r="F14" s="30" t="inlineStr">
        <is>
          <t>SOL, PRD, SUP</t>
        </is>
      </c>
      <c r="G14" s="30" t="inlineStr"/>
      <c r="H14" s="30" t="inlineStr"/>
      <c r="I14" s="30" t="inlineStr"/>
      <c r="J14" s="30" t="inlineStr"/>
    </row>
    <row r="15">
      <c r="A15" s="30" t="inlineStr">
        <is>
          <t>Bid Writer / Senior Bid Writer</t>
        </is>
      </c>
      <c r="B15" s="33" t="n">
        <v>550</v>
      </c>
      <c r="C15" s="34" t="n">
        <v>160</v>
      </c>
      <c r="D15" s="33" t="n">
        <v>88000</v>
      </c>
      <c r="E15" s="35" t="n">
        <v>0.07804878048780488</v>
      </c>
      <c r="F15" s="30" t="inlineStr">
        <is>
          <t>PRD</t>
        </is>
      </c>
      <c r="G15" s="30" t="inlineStr"/>
      <c r="H15" s="30" t="inlineStr"/>
      <c r="I15" s="30" t="inlineStr"/>
      <c r="J15" s="30" t="inlineStr"/>
    </row>
    <row r="16">
      <c r="A16" s="30" t="inlineStr">
        <is>
          <t>Bid Coordinator</t>
        </is>
      </c>
      <c r="B16" s="33" t="n">
        <v>350</v>
      </c>
      <c r="C16" s="34" t="n">
        <v>91.5</v>
      </c>
      <c r="D16" s="33" t="n">
        <v>32025</v>
      </c>
      <c r="E16" s="35" t="n">
        <v>0.04463414634146341</v>
      </c>
      <c r="F16" s="30" t="inlineStr">
        <is>
          <t>PRD, BM, SUP</t>
        </is>
      </c>
      <c r="G16" s="30" t="inlineStr"/>
      <c r="H16" s="30" t="inlineStr"/>
      <c r="I16" s="30" t="inlineStr"/>
      <c r="J16" s="30" t="inlineStr"/>
    </row>
    <row r="17">
      <c r="A17" s="30" t="inlineStr">
        <is>
          <t>Legal</t>
        </is>
      </c>
      <c r="B17" s="33" t="n">
        <v>650</v>
      </c>
      <c r="C17" s="34" t="n">
        <v>42</v>
      </c>
      <c r="D17" s="33" t="n">
        <v>27300</v>
      </c>
      <c r="E17" s="35" t="n">
        <v>0.02048780487804878</v>
      </c>
      <c r="F17" s="30" t="inlineStr">
        <is>
          <t>LEG, COM, POST</t>
        </is>
      </c>
      <c r="G17" s="30" t="inlineStr"/>
      <c r="H17" s="30" t="inlineStr"/>
      <c r="I17" s="30" t="inlineStr"/>
      <c r="J17" s="30" t="inlineStr"/>
    </row>
    <row r="18">
      <c r="A18" s="36" t="inlineStr">
        <is>
          <t>TOTAL</t>
        </is>
      </c>
      <c r="B18" s="36" t="inlineStr"/>
      <c r="C18" s="37" t="n">
        <v>2050</v>
      </c>
      <c r="D18" s="38" t="n">
        <v>1644100</v>
      </c>
      <c r="E18" s="39" t="n">
        <v>1</v>
      </c>
      <c r="F18" s="36" t="inlineStr"/>
      <c r="G18" s="36" t="inlineStr"/>
      <c r="H18" s="36" t="inlineStr"/>
      <c r="I18" s="36" t="inlineStr"/>
      <c r="J18" s="36" t="inlineStr"/>
    </row>
    <row r="20">
      <c r="A20" s="31" t="inlineStr">
        <is>
          <t>EFFORT BY PHASE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</row>
    <row r="21">
      <c r="A21" s="27" t="inlineStr">
        <is>
          <t>Phase</t>
        </is>
      </c>
      <c r="B21" s="27" t="inlineStr">
        <is>
          <t>Months</t>
        </is>
      </c>
      <c r="C21" s="27" t="inlineStr">
        <is>
          <t>Days</t>
        </is>
      </c>
      <c r="D21" s="27" t="inlineStr">
        <is>
          <t>Base Cost</t>
        </is>
      </c>
      <c r="E21" s="27" t="inlineStr">
        <is>
          <t>% of Total</t>
        </is>
      </c>
      <c r="F21" s="27" t="inlineStr"/>
      <c r="G21" s="27" t="inlineStr"/>
      <c r="H21" s="27" t="inlineStr"/>
      <c r="I21" s="27" t="inlineStr"/>
      <c r="J21" s="27" t="inlineStr"/>
    </row>
    <row r="22">
      <c r="A22" s="30" t="inlineStr">
        <is>
          <t>Capture</t>
        </is>
      </c>
      <c r="B22" s="30" t="n">
        <v>3</v>
      </c>
      <c r="C22" s="34" t="n">
        <v>43.5</v>
      </c>
      <c r="D22" s="33" t="n">
        <v>38925</v>
      </c>
      <c r="E22" s="35" t="n">
        <v>0.02121951219512195</v>
      </c>
      <c r="F22" s="30" t="inlineStr"/>
      <c r="G22" s="30" t="inlineStr"/>
      <c r="H22" s="30" t="inlineStr"/>
      <c r="I22" s="30" t="inlineStr"/>
      <c r="J22" s="30" t="inlineStr"/>
    </row>
    <row r="23">
      <c r="A23" s="30" t="inlineStr">
        <is>
          <t>Qualification</t>
        </is>
      </c>
      <c r="B23" s="30" t="n">
        <v>2</v>
      </c>
      <c r="C23" s="34" t="n">
        <v>188</v>
      </c>
      <c r="D23" s="33" t="n">
        <v>142100</v>
      </c>
      <c r="E23" s="35" t="n">
        <v>0.09170731707317073</v>
      </c>
      <c r="F23" s="30" t="inlineStr"/>
      <c r="G23" s="30" t="inlineStr"/>
      <c r="H23" s="30" t="inlineStr"/>
      <c r="I23" s="30" t="inlineStr"/>
      <c r="J23" s="30" t="inlineStr"/>
    </row>
    <row r="24">
      <c r="A24" s="30" t="inlineStr">
        <is>
          <t>Proposal Development</t>
        </is>
      </c>
      <c r="B24" s="30" t="n">
        <v>6</v>
      </c>
      <c r="C24" s="34" t="n">
        <v>1278</v>
      </c>
      <c r="D24" s="33" t="n">
        <v>1004100</v>
      </c>
      <c r="E24" s="35" t="n">
        <v>0.6234146341463415</v>
      </c>
      <c r="F24" s="30" t="inlineStr"/>
      <c r="G24" s="30" t="inlineStr"/>
      <c r="H24" s="30" t="inlineStr"/>
      <c r="I24" s="30" t="inlineStr"/>
      <c r="J24" s="30" t="inlineStr"/>
    </row>
    <row r="25">
      <c r="A25" s="30" t="inlineStr">
        <is>
          <t>Submission/Review</t>
        </is>
      </c>
      <c r="B25" s="30" t="n">
        <v>1</v>
      </c>
      <c r="C25" s="34" t="n">
        <v>233</v>
      </c>
      <c r="D25" s="33" t="n">
        <v>178350</v>
      </c>
      <c r="E25" s="35" t="n">
        <v>0.1136585365853659</v>
      </c>
      <c r="F25" s="30" t="inlineStr"/>
      <c r="G25" s="30" t="inlineStr"/>
      <c r="H25" s="30" t="inlineStr"/>
      <c r="I25" s="30" t="inlineStr"/>
      <c r="J25" s="30" t="inlineStr"/>
    </row>
    <row r="26">
      <c r="A26" s="30" t="inlineStr">
        <is>
          <t>Clarifications/Standstill</t>
        </is>
      </c>
      <c r="B26" s="30" t="n">
        <v>1</v>
      </c>
      <c r="C26" s="34" t="n">
        <v>27.5</v>
      </c>
      <c r="D26" s="33" t="n">
        <v>23825</v>
      </c>
      <c r="E26" s="35" t="n">
        <v>0.01341463414634146</v>
      </c>
      <c r="F26" s="30" t="inlineStr"/>
      <c r="G26" s="30" t="inlineStr"/>
      <c r="H26" s="30" t="inlineStr"/>
      <c r="I26" s="30" t="inlineStr"/>
      <c r="J26" s="30" t="inlineStr"/>
    </row>
    <row r="27">
      <c r="A27" s="30" t="inlineStr">
        <is>
          <t>Contract Finalisation</t>
        </is>
      </c>
      <c r="B27" s="30" t="n">
        <v>2</v>
      </c>
      <c r="C27" s="34" t="n">
        <v>63</v>
      </c>
      <c r="D27" s="33" t="n">
        <v>52850</v>
      </c>
      <c r="E27" s="35" t="n">
        <v>0.03073170731707317</v>
      </c>
      <c r="F27" s="30" t="inlineStr"/>
      <c r="G27" s="30" t="inlineStr"/>
      <c r="H27" s="30" t="inlineStr"/>
      <c r="I27" s="30" t="inlineStr"/>
      <c r="J27" s="30" t="inlineStr"/>
    </row>
    <row r="28">
      <c r="A28" s="30" t="inlineStr">
        <is>
          <t>Handover</t>
        </is>
      </c>
      <c r="B28" s="30" t="n">
        <v>3</v>
      </c>
      <c r="C28" s="34" t="n">
        <v>217</v>
      </c>
      <c r="D28" s="33" t="n">
        <v>203950</v>
      </c>
      <c r="E28" s="35" t="n">
        <v>0.1058536585365854</v>
      </c>
      <c r="F28" s="30" t="inlineStr"/>
      <c r="G28" s="30" t="inlineStr"/>
      <c r="H28" s="30" t="inlineStr"/>
      <c r="I28" s="30" t="inlineStr"/>
      <c r="J28" s="30" t="inlineStr"/>
    </row>
    <row r="30">
      <c r="A30" s="31" t="inlineStr">
        <is>
          <t>WORKSTREAM ANALYSIS — REAL-WORLD vs METHODOLOGY vs AI SAVING</t>
        </is>
      </c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</row>
    <row r="31">
      <c r="A31" s="27" t="inlineStr">
        <is>
          <t>Workstream</t>
        </is>
      </c>
      <c r="B31" s="27" t="inlineStr">
        <is>
          <t>Real Days</t>
        </is>
      </c>
      <c r="C31" s="27" t="inlineStr">
        <is>
          <t>Real Cost</t>
        </is>
      </c>
      <c r="D31" s="27" t="inlineStr">
        <is>
          <t>Methodology Days</t>
        </is>
      </c>
      <c r="E31" s="27" t="inlineStr">
        <is>
          <t>Multiplier</t>
        </is>
      </c>
      <c r="F31" s="27" t="inlineStr">
        <is>
          <t>AI Reduction %</t>
        </is>
      </c>
      <c r="G31" s="27" t="inlineStr">
        <is>
          <t>Days Saved</t>
        </is>
      </c>
      <c r="H31" s="27" t="inlineStr">
        <is>
          <t>Cost Saved</t>
        </is>
      </c>
      <c r="I31" s="27" t="inlineStr">
        <is>
          <t>Remaining Days</t>
        </is>
      </c>
      <c r="J31" s="27" t="inlineStr">
        <is>
          <t>Remaining Cost</t>
        </is>
      </c>
    </row>
    <row r="32">
      <c r="A32" s="30" t="inlineStr">
        <is>
          <t>Sales &amp; Capture</t>
        </is>
      </c>
      <c r="B32" s="34" t="n">
        <v>153.3</v>
      </c>
      <c r="C32" s="33" t="n">
        <v>142680</v>
      </c>
      <c r="D32" s="40" t="n">
        <v>39</v>
      </c>
      <c r="E32" s="41">
        <f>IF(D32&gt;0,B32/D32,0)</f>
        <v/>
      </c>
      <c r="F32" s="35">
        <f>'Summary by Workstream'!J2</f>
        <v/>
      </c>
      <c r="G32" s="34">
        <f>B32*F32</f>
        <v/>
      </c>
      <c r="H32" s="33">
        <f>C32*F32</f>
        <v/>
      </c>
      <c r="I32" s="34">
        <f>B32-G32</f>
        <v/>
      </c>
      <c r="J32" s="33">
        <f>C32-H32</f>
        <v/>
      </c>
    </row>
    <row r="33">
      <c r="A33" s="30" t="inlineStr">
        <is>
          <t>Solution Design</t>
        </is>
      </c>
      <c r="B33" s="34" t="n">
        <v>553.4000000000001</v>
      </c>
      <c r="C33" s="33" t="n">
        <v>470390</v>
      </c>
      <c r="D33" s="40" t="n">
        <v>148</v>
      </c>
      <c r="E33" s="41">
        <f>IF(D33&gt;0,B33/D33,0)</f>
        <v/>
      </c>
      <c r="F33" s="35">
        <f>'Summary by Workstream'!J3</f>
        <v/>
      </c>
      <c r="G33" s="34">
        <f>B33*F33</f>
        <v/>
      </c>
      <c r="H33" s="33">
        <f>C33*F33</f>
        <v/>
      </c>
      <c r="I33" s="34">
        <f>B33-G33</f>
        <v/>
      </c>
      <c r="J33" s="33">
        <f>C33-H33</f>
        <v/>
      </c>
    </row>
    <row r="34">
      <c r="A34" s="30" t="inlineStr">
        <is>
          <t>Commercial &amp; Pricing</t>
        </is>
      </c>
      <c r="B34" s="34" t="n">
        <v>102.6</v>
      </c>
      <c r="C34" s="33" t="n">
        <v>86370</v>
      </c>
      <c r="D34" s="40" t="n">
        <v>32</v>
      </c>
      <c r="E34" s="41">
        <f>IF(D34&gt;0,B34/D34,0)</f>
        <v/>
      </c>
      <c r="F34" s="35">
        <f>'Summary by Workstream'!J4</f>
        <v/>
      </c>
      <c r="G34" s="34">
        <f>B34*F34</f>
        <v/>
      </c>
      <c r="H34" s="33">
        <f>C34*F34</f>
        <v/>
      </c>
      <c r="I34" s="34">
        <f>B34-G34</f>
        <v/>
      </c>
      <c r="J34" s="33">
        <f>C34-H34</f>
        <v/>
      </c>
    </row>
    <row r="35">
      <c r="A35" s="30" t="inlineStr">
        <is>
          <t>Legal &amp; Contractual</t>
        </is>
      </c>
      <c r="B35" s="34" t="n">
        <v>33.6</v>
      </c>
      <c r="C35" s="33" t="n">
        <v>21840</v>
      </c>
      <c r="D35" s="40" t="n">
        <v>29</v>
      </c>
      <c r="E35" s="41">
        <f>IF(D35&gt;0,B35/D35,0)</f>
        <v/>
      </c>
      <c r="F35" s="35">
        <f>'Summary by Workstream'!J5</f>
        <v/>
      </c>
      <c r="G35" s="34">
        <f>B35*F35</f>
        <v/>
      </c>
      <c r="H35" s="33">
        <f>C35*F35</f>
        <v/>
      </c>
      <c r="I35" s="34">
        <f>B35-G35</f>
        <v/>
      </c>
      <c r="J35" s="33">
        <f>C35-H35</f>
        <v/>
      </c>
    </row>
    <row r="36">
      <c r="A36" s="30" t="inlineStr">
        <is>
          <t>Programme &amp; Delivery</t>
        </is>
      </c>
      <c r="B36" s="34" t="n">
        <v>201.9</v>
      </c>
      <c r="C36" s="33" t="n">
        <v>171615</v>
      </c>
      <c r="D36" s="40" t="n">
        <v>29</v>
      </c>
      <c r="E36" s="41">
        <f>IF(D36&gt;0,B36/D36,0)</f>
        <v/>
      </c>
      <c r="F36" s="35">
        <f>'Summary by Workstream'!J6</f>
        <v/>
      </c>
      <c r="G36" s="34">
        <f>B36*F36</f>
        <v/>
      </c>
      <c r="H36" s="33">
        <f>C36*F36</f>
        <v/>
      </c>
      <c r="I36" s="34">
        <f>B36-G36</f>
        <v/>
      </c>
      <c r="J36" s="33">
        <f>C36-H36</f>
        <v/>
      </c>
    </row>
    <row r="37">
      <c r="A37" s="30" t="inlineStr">
        <is>
          <t>Supply Chain &amp; Partners</t>
        </is>
      </c>
      <c r="B37" s="34" t="n">
        <v>111.1</v>
      </c>
      <c r="C37" s="33" t="n">
        <v>85285</v>
      </c>
      <c r="D37" s="40" t="n">
        <v>48</v>
      </c>
      <c r="E37" s="41">
        <f>IF(D37&gt;0,B37/D37,0)</f>
        <v/>
      </c>
      <c r="F37" s="35">
        <f>'Summary by Workstream'!J7</f>
        <v/>
      </c>
      <c r="G37" s="34">
        <f>B37*F37</f>
        <v/>
      </c>
      <c r="H37" s="33">
        <f>C37*F37</f>
        <v/>
      </c>
      <c r="I37" s="34">
        <f>B37-G37</f>
        <v/>
      </c>
      <c r="J37" s="33">
        <f>C37-H37</f>
        <v/>
      </c>
    </row>
    <row r="38">
      <c r="A38" s="30" t="inlineStr">
        <is>
          <t>Bid Management</t>
        </is>
      </c>
      <c r="B38" s="34" t="n">
        <v>264.2</v>
      </c>
      <c r="C38" s="33" t="n">
        <v>200345</v>
      </c>
      <c r="D38" s="40" t="n">
        <v>30</v>
      </c>
      <c r="E38" s="41">
        <f>IF(D38&gt;0,B38/D38,0)</f>
        <v/>
      </c>
      <c r="F38" s="35">
        <f>'Summary by Workstream'!J8</f>
        <v/>
      </c>
      <c r="G38" s="34">
        <f>B38*F38</f>
        <v/>
      </c>
      <c r="H38" s="33">
        <f>C38*F38</f>
        <v/>
      </c>
      <c r="I38" s="34">
        <f>B38-G38</f>
        <v/>
      </c>
      <c r="J38" s="33">
        <f>C38-H38</f>
        <v/>
      </c>
    </row>
    <row r="39">
      <c r="A39" s="30" t="inlineStr">
        <is>
          <t>Proposal Production</t>
        </is>
      </c>
      <c r="B39" s="34" t="n">
        <v>464.1</v>
      </c>
      <c r="C39" s="33" t="n">
        <v>312360</v>
      </c>
      <c r="D39" s="40" t="n">
        <v>100</v>
      </c>
      <c r="E39" s="41">
        <f>IF(D39&gt;0,B39/D39,0)</f>
        <v/>
      </c>
      <c r="F39" s="35">
        <f>'Summary by Workstream'!J9</f>
        <v/>
      </c>
      <c r="G39" s="34">
        <f>B39*F39</f>
        <v/>
      </c>
      <c r="H39" s="33">
        <f>C39*F39</f>
        <v/>
      </c>
      <c r="I39" s="34">
        <f>B39-G39</f>
        <v/>
      </c>
      <c r="J39" s="33">
        <f>C39-H39</f>
        <v/>
      </c>
    </row>
    <row r="40">
      <c r="A40" s="30" t="inlineStr">
        <is>
          <t>Internal Governance</t>
        </is>
      </c>
      <c r="B40" s="34" t="n">
        <v>107.45</v>
      </c>
      <c r="C40" s="33" t="n">
        <v>108207.5</v>
      </c>
      <c r="D40" s="40" t="n">
        <v>11</v>
      </c>
      <c r="E40" s="41">
        <f>IF(D40&gt;0,B40/D40,0)</f>
        <v/>
      </c>
      <c r="F40" s="35">
        <f>'Summary by Workstream'!J10</f>
        <v/>
      </c>
      <c r="G40" s="34">
        <f>B40*F40</f>
        <v/>
      </c>
      <c r="H40" s="33">
        <f>C40*F40</f>
        <v/>
      </c>
      <c r="I40" s="34">
        <f>B40-G40</f>
        <v/>
      </c>
      <c r="J40" s="33">
        <f>C40-H40</f>
        <v/>
      </c>
    </row>
    <row r="41">
      <c r="A41" s="30" t="inlineStr">
        <is>
          <t>Post-Submission</t>
        </is>
      </c>
      <c r="B41" s="34" t="n">
        <v>58.35000000000001</v>
      </c>
      <c r="C41" s="33" t="n">
        <v>45007.5</v>
      </c>
      <c r="D41" s="40" t="n">
        <v>39</v>
      </c>
      <c r="E41" s="41">
        <f>IF(D41&gt;0,B41/D41,0)</f>
        <v/>
      </c>
      <c r="F41" s="35">
        <f>'Summary by Workstream'!J11</f>
        <v/>
      </c>
      <c r="G41" s="34">
        <f>B41*F41</f>
        <v/>
      </c>
      <c r="H41" s="33">
        <f>C41*F41</f>
        <v/>
      </c>
      <c r="I41" s="34">
        <f>B41-G41</f>
        <v/>
      </c>
      <c r="J41" s="33">
        <f>C41-H41</f>
        <v/>
      </c>
    </row>
    <row r="42">
      <c r="A42" s="36" t="inlineStr">
        <is>
          <t>TOTAL</t>
        </is>
      </c>
      <c r="B42" s="37">
        <f>SUM(B32:B41)</f>
        <v/>
      </c>
      <c r="C42" s="38">
        <f>SUM(C32:C41)</f>
        <v/>
      </c>
      <c r="D42" s="42">
        <f>SUM(D32:D41)</f>
        <v/>
      </c>
      <c r="E42" s="43">
        <f>IF(D42&gt;0,B42/D42,0)</f>
        <v/>
      </c>
      <c r="F42" s="39">
        <f>IF(B42&gt;0,G42/B42,0)</f>
        <v/>
      </c>
      <c r="G42" s="37">
        <f>SUM(G32:G41)</f>
        <v/>
      </c>
      <c r="H42" s="38">
        <f>SUM(H32:H41)</f>
        <v/>
      </c>
      <c r="I42" s="37">
        <f>SUM(I32:I41)</f>
        <v/>
      </c>
      <c r="J42" s="38">
        <f>SUM(J32:J41)</f>
        <v/>
      </c>
    </row>
    <row r="44">
      <c r="A44" s="31" t="inlineStr">
        <is>
          <t>FOUR VALUE LAYERS — HEADLINE NUMBERS (all formula-driven)</t>
        </is>
      </c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</row>
    <row r="45">
      <c r="A45" s="27" t="inlineStr">
        <is>
          <t>LAYER</t>
        </is>
      </c>
      <c r="B45" s="27" t="inlineStr">
        <is>
          <t>Description</t>
        </is>
      </c>
      <c r="C45" s="27" t="inlineStr">
        <is>
          <t>Metric</t>
        </is>
      </c>
      <c r="D45" s="27" t="inlineStr">
        <is>
          <t>Base Value</t>
        </is>
      </c>
      <c r="E45" s="27" t="inlineStr">
        <is>
          <t>Loaded (1.4x)</t>
        </is>
      </c>
      <c r="F45" s="27" t="inlineStr">
        <is>
          <t>Annual (3 bids)</t>
        </is>
      </c>
      <c r="G45" s="27" t="inlineStr">
        <is>
          <t>Annual (5 bids)</t>
        </is>
      </c>
      <c r="H45" s="27" t="inlineStr">
        <is>
          <t>Basis</t>
        </is>
      </c>
      <c r="I45" s="27" t="inlineStr"/>
      <c r="J45" s="27" t="inlineStr"/>
    </row>
    <row r="46">
      <c r="A46" s="44" t="inlineStr">
        <is>
          <t>Layer 1</t>
        </is>
      </c>
      <c r="B46" s="30" t="inlineStr">
        <is>
          <t>Task Efficiency</t>
        </is>
      </c>
      <c r="C46" s="30" t="inlineStr">
        <is>
          <t>AI person-days saved</t>
        </is>
      </c>
      <c r="D46" s="34">
        <f>G42</f>
        <v/>
      </c>
      <c r="E46" s="30" t="n"/>
      <c r="F46" s="30" t="n"/>
      <c r="G46" s="30" t="n"/>
      <c r="H46" s="30" t="inlineStr">
        <is>
          <t>Formula: references workstream AI days saved total</t>
        </is>
      </c>
      <c r="I46" s="30" t="n"/>
      <c r="J46" s="30" t="n"/>
    </row>
    <row r="47">
      <c r="A47" s="30" t="inlineStr"/>
      <c r="B47" s="30" t="inlineStr">
        <is>
          <t xml:space="preserve">  Cost saving</t>
        </is>
      </c>
      <c r="C47" s="30" t="inlineStr">
        <is>
          <t>Base cost saved</t>
        </is>
      </c>
      <c r="D47" s="33">
        <f>H42</f>
        <v/>
      </c>
      <c r="E47" s="33">
        <f>D47*1.4</f>
        <v/>
      </c>
      <c r="F47" s="33">
        <f>D47*3</f>
        <v/>
      </c>
      <c r="G47" s="33">
        <f>D47*5</f>
        <v/>
      </c>
      <c r="H47" s="30" t="inlineStr">
        <is>
          <t>AI % applied to real-world cost per workstream</t>
        </is>
      </c>
      <c r="I47" s="30" t="n"/>
      <c r="J47" s="30" t="n"/>
    </row>
    <row r="48">
      <c r="A48" s="44" t="inlineStr">
        <is>
          <t>Layer 2</t>
        </is>
      </c>
      <c r="B48" s="30" t="inlineStr">
        <is>
          <t>Timeline Compression</t>
        </is>
      </c>
      <c r="C48" s="30" t="inlineStr">
        <is>
          <t>Team released 25% earlier</t>
        </is>
      </c>
      <c r="D48" s="33" t="n">
        <v>411025</v>
      </c>
      <c r="E48" s="33">
        <f>D48*1.4</f>
        <v/>
      </c>
      <c r="F48" s="33">
        <f>D48*3</f>
        <v/>
      </c>
      <c r="G48" s="33">
        <f>D48*5</f>
        <v/>
      </c>
      <c r="H48" s="30" t="inlineStr">
        <is>
          <t>25% critical path compression on 18-month timeline</t>
        </is>
      </c>
      <c r="I48" s="30" t="n"/>
      <c r="J48" s="30" t="n"/>
    </row>
    <row r="49">
      <c r="A49" s="44" t="inlineStr">
        <is>
          <t>Layer 3</t>
        </is>
      </c>
      <c r="B49" s="30" t="inlineStr">
        <is>
          <t>Team Fungibility</t>
        </is>
      </c>
      <c r="C49" s="30" t="inlineStr">
        <is>
          <t>A-team on every bid</t>
        </is>
      </c>
      <c r="D49" s="30" t="n"/>
      <c r="E49" s="30" t="n"/>
      <c r="F49" s="30" t="n"/>
      <c r="G49" s="30" t="n"/>
      <c r="H49" s="30" t="inlineStr">
        <is>
          <t>Same specialists cover 2-3 concurrent bids at A-team quality</t>
        </is>
      </c>
      <c r="I49" s="30" t="n"/>
      <c r="J49" s="30" t="n"/>
    </row>
    <row r="50">
      <c r="A50" s="44" t="inlineStr">
        <is>
          <t>Layer 4</t>
        </is>
      </c>
      <c r="B50" s="30" t="inlineStr">
        <is>
          <t>Decision Velocity</t>
        </is>
      </c>
      <c r="C50" s="30" t="inlineStr">
        <is>
          <t>Early kill avoids</t>
        </is>
      </c>
      <c r="D50" s="33" t="n">
        <v>1463075</v>
      </c>
      <c r="E50" s="33">
        <f>D50*1.4</f>
        <v/>
      </c>
      <c r="F50" s="33">
        <f>D50*3</f>
        <v/>
      </c>
      <c r="G50" s="33">
        <f>D50*5</f>
        <v/>
      </c>
      <c r="H50" s="30" t="inlineStr">
        <is>
          <t>89% of bid cost — only £181,025 spent before informed gate</t>
        </is>
      </c>
      <c r="I50" s="30" t="n"/>
      <c r="J50" s="30" t="n"/>
    </row>
  </sheetData>
  <mergeCells count="6">
    <mergeCell ref="A44:J44"/>
    <mergeCell ref="A1:J1"/>
    <mergeCell ref="A30:J30"/>
    <mergeCell ref="A4:J4"/>
    <mergeCell ref="A20:J20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35" customWidth="1" min="3" max="3"/>
    <col width="55" customWidth="1" min="4" max="4"/>
    <col width="12" customWidth="1" min="5" max="5"/>
    <col width="18" customWidth="1" min="6" max="6"/>
    <col width="16" customWidth="1" min="7" max="7"/>
    <col width="25" customWidth="1" min="8" max="8"/>
  </cols>
  <sheetData>
    <row r="1">
      <c r="A1" s="1" t="inlineStr">
        <is>
          <t>Rank</t>
        </is>
      </c>
      <c r="B1" s="1" t="inlineStr">
        <is>
          <t>Task(s)</t>
        </is>
      </c>
      <c r="C1" s="1" t="inlineStr">
        <is>
          <t>AI Application</t>
        </is>
      </c>
      <c r="D1" s="1" t="inlineStr">
        <is>
          <t>Value</t>
        </is>
      </c>
      <c r="E1" s="1" t="inlineStr">
        <is>
          <t>Time Saving</t>
        </is>
      </c>
      <c r="F1" s="1" t="inlineStr">
        <is>
          <t>Affected Role</t>
        </is>
      </c>
      <c r="G1" s="1" t="inlineStr">
        <is>
          <t>Implementation Phase</t>
        </is>
      </c>
      <c r="H1" s="1" t="inlineStr">
        <is>
          <t>User Notes</t>
        </is>
      </c>
    </row>
    <row r="2">
      <c r="A2" s="2" t="n">
        <v>1</v>
      </c>
      <c r="B2" s="2" t="inlineStr">
        <is>
          <t>SOL-01.1.1, SOL-01.1.2, SOL-01.1.3</t>
        </is>
      </c>
      <c r="C2" s="2" t="inlineStr">
        <is>
          <t>ITT requirements extraction and analysis</t>
        </is>
      </c>
      <c r="D2" s="2" t="inlineStr">
        <is>
          <t>Transforms days of manual extraction into hours. Cross-references across documents at scale. Catches hidden requirements.</t>
        </is>
      </c>
      <c r="E2" s="2" t="inlineStr">
        <is>
          <t>60-70%</t>
        </is>
      </c>
      <c r="F2" s="2" t="inlineStr">
        <is>
          <t>Solution Architect</t>
        </is>
      </c>
      <c r="G2" s="2" t="inlineStr">
        <is>
          <t>Phase 1</t>
        </is>
      </c>
      <c r="H2" s="2" t="inlineStr"/>
    </row>
    <row r="3">
      <c r="A3" s="2" t="n">
        <v>2</v>
      </c>
      <c r="B3" s="2" t="inlineStr">
        <is>
          <t>PRD-02.1.1</t>
        </is>
      </c>
      <c r="C3" s="2" t="inlineStr">
        <is>
          <t>AI-assisted response drafting</t>
        </is>
      </c>
      <c r="D3" s="2" t="inlineStr">
        <is>
          <t>AI generates first drafts from storyboard + solution design + win themes. Writers refine, not write from scratch.</t>
        </is>
      </c>
      <c r="E3" s="2" t="inlineStr">
        <is>
          <t>40-50%</t>
        </is>
      </c>
      <c r="F3" s="2" t="inlineStr">
        <is>
          <t>Writers</t>
        </is>
      </c>
      <c r="G3" s="2" t="inlineStr">
        <is>
          <t>Phase 2</t>
        </is>
      </c>
      <c r="H3" s="2" t="inlineStr"/>
    </row>
    <row r="4">
      <c r="A4" s="2" t="n">
        <v>3</v>
      </c>
      <c r="B4" s="2" t="inlineStr">
        <is>
          <t>SAL-05.1.1, SAL-05.1.2, SAL-05.1.3</t>
        </is>
      </c>
      <c r="C4" s="2" t="inlineStr">
        <is>
          <t>Evaluation criteria extraction and scoring analysis</t>
        </is>
      </c>
      <c r="D4" s="2" t="inlineStr">
        <is>
          <t>Automatically extracts criteria, weightings, grade descriptors. Produces marks concentration analysis.</t>
        </is>
      </c>
      <c r="E4" s="2" t="inlineStr">
        <is>
          <t>60-80%</t>
        </is>
      </c>
      <c r="F4" s="2" t="inlineStr">
        <is>
          <t>Bid Manager</t>
        </is>
      </c>
      <c r="G4" s="2" t="inlineStr">
        <is>
          <t>Phase 1</t>
        </is>
      </c>
      <c r="H4" s="2" t="inlineStr"/>
    </row>
    <row r="5">
      <c r="A5" s="2" t="n">
        <v>4</v>
      </c>
      <c r="B5" s="2" t="inlineStr">
        <is>
          <t>PRD-01.1.1</t>
        </is>
      </c>
      <c r="C5" s="2" t="inlineStr">
        <is>
          <t>Automated compliance mapping</t>
        </is>
      </c>
      <c r="D5" s="2" t="inlineStr">
        <is>
          <t>Maps every ITT requirement to response sections. Identifies compliance gaps systematically.</t>
        </is>
      </c>
      <c r="E5" s="2" t="inlineStr">
        <is>
          <t>60-70%</t>
        </is>
      </c>
      <c r="F5" s="2" t="inlineStr">
        <is>
          <t>Bid Manager</t>
        </is>
      </c>
      <c r="G5" s="2" t="inlineStr">
        <is>
          <t>Phase 1</t>
        </is>
      </c>
      <c r="H5" s="2" t="inlineStr"/>
    </row>
    <row r="6">
      <c r="A6" s="2" t="n">
        <v>5</v>
      </c>
      <c r="B6" s="2" t="inlineStr">
        <is>
          <t>SAL-06.1.2</t>
        </is>
      </c>
      <c r="C6" s="2" t="inlineStr">
        <is>
          <t>Rapid ITT documentation analysis</t>
        </is>
      </c>
      <c r="D6" s="2" t="inlineStr">
        <is>
          <t>Analyses requirements, contract, payment mechanism, SLAs across the entire ITT pack for go/no-go.</t>
        </is>
      </c>
      <c r="E6" s="2" t="inlineStr">
        <is>
          <t>70%</t>
        </is>
      </c>
      <c r="F6" s="2" t="inlineStr">
        <is>
          <t>Bid Manager</t>
        </is>
      </c>
      <c r="G6" s="2" t="inlineStr">
        <is>
          <t>Phase 1</t>
        </is>
      </c>
      <c r="H6" s="2" t="inlineStr"/>
    </row>
    <row r="7">
      <c r="A7" s="2" t="n">
        <v>6</v>
      </c>
      <c r="B7" s="2" t="inlineStr">
        <is>
          <t>COM-05.2.1, COM-05.2.2</t>
        </is>
      </c>
      <c r="C7" s="2" t="inlineStr">
        <is>
          <t>Automated sensitivity and stress testing</t>
        </is>
      </c>
      <c r="D7" s="2" t="inlineStr">
        <is>
          <t>Runs all financial scenarios, tornado analysis, break-even modelling from structured cost data.</t>
        </is>
      </c>
      <c r="E7" s="2" t="inlineStr">
        <is>
          <t>70-80%</t>
        </is>
      </c>
      <c r="F7" s="2" t="inlineStr">
        <is>
          <t>Commercial Lead</t>
        </is>
      </c>
      <c r="G7" s="2" t="inlineStr">
        <is>
          <t>Phase 4</t>
        </is>
      </c>
      <c r="H7" s="2" t="inlineStr"/>
    </row>
    <row r="8">
      <c r="A8" s="2" t="n">
        <v>7</v>
      </c>
      <c r="B8" s="2" t="inlineStr">
        <is>
          <t>LEG-01.1.1</t>
        </is>
      </c>
      <c r="C8" s="2" t="inlineStr">
        <is>
          <t>Contract clause analysis</t>
        </is>
      </c>
      <c r="D8" s="2" t="inlineStr">
        <is>
          <t>AI analyses every clause, identifies non-standard terms, compares to corporate playbook, flags risk areas.</t>
        </is>
      </c>
      <c r="E8" s="2" t="inlineStr">
        <is>
          <t>50-60%</t>
        </is>
      </c>
      <c r="F8" s="2" t="inlineStr">
        <is>
          <t>Legal Lead</t>
        </is>
      </c>
      <c r="G8" s="2" t="inlineStr">
        <is>
          <t>Phase 1</t>
        </is>
      </c>
      <c r="H8" s="2" t="inlineStr"/>
    </row>
    <row r="9">
      <c r="A9" s="2" t="n">
        <v>8</v>
      </c>
      <c r="B9" s="2" t="inlineStr">
        <is>
          <t>SAL-01.1.1, SAL-01.1.2, SAL-01.1.3, SAL-01.1.4</t>
        </is>
      </c>
      <c r="C9" s="2" t="inlineStr">
        <is>
          <t>Customer and market intelligence gathering</t>
        </is>
      </c>
      <c r="D9" s="2" t="inlineStr">
        <is>
          <t>Automated Contracts Finder scraping, client strategy analysis, supplier landscape mapping.</t>
        </is>
      </c>
      <c r="E9" s="2" t="inlineStr">
        <is>
          <t>60-70%</t>
        </is>
      </c>
      <c r="F9" s="2" t="inlineStr">
        <is>
          <t>Capture Lead</t>
        </is>
      </c>
      <c r="G9" s="2" t="inlineStr">
        <is>
          <t>Phase 3</t>
        </is>
      </c>
      <c r="H9" s="2" t="inlineStr"/>
    </row>
    <row r="10">
      <c r="A10" s="2" t="n">
        <v>9</v>
      </c>
      <c r="B10" s="2" t="inlineStr">
        <is>
          <t>BM-13.1.1, SOL-12.1.1, COM-07.1.1</t>
        </is>
      </c>
      <c r="C10" s="2" t="inlineStr">
        <is>
          <t>Automated risk consolidation</t>
        </is>
      </c>
      <c r="D10" s="2" t="inlineStr">
        <is>
          <t>Consolidates all workstream risks, removes duplicates, identifies cross-cutting risks, flags gaps.</t>
        </is>
      </c>
      <c r="E10" s="2" t="inlineStr">
        <is>
          <t>50-60%</t>
        </is>
      </c>
      <c r="F10" s="2" t="inlineStr">
        <is>
          <t>Bid Manager</t>
        </is>
      </c>
      <c r="G10" s="2" t="inlineStr">
        <is>
          <t>Phase 5</t>
        </is>
      </c>
      <c r="H10" s="2" t="inlineStr"/>
    </row>
    <row r="11">
      <c r="A11" s="2" t="n">
        <v>10</v>
      </c>
      <c r="B11" s="2" t="inlineStr">
        <is>
          <t>SOL-10.1.1, SOL-10.1.2, SOL-10.1.3</t>
        </is>
      </c>
      <c r="C11" s="2" t="inlineStr">
        <is>
          <t>Evidence gap analysis and library search</t>
        </is>
      </c>
      <c r="D11" s="2" t="inlineStr">
        <is>
          <t>Maps evidence needs to sections, searches library, identifies gaps, prioritises by scoring impact.</t>
        </is>
      </c>
      <c r="E11" s="2" t="inlineStr">
        <is>
          <t>60-70%</t>
        </is>
      </c>
      <c r="F11" s="2" t="inlineStr">
        <is>
          <t>Bid Manager</t>
        </is>
      </c>
      <c r="G11" s="2" t="inlineStr">
        <is>
          <t>Phase 3</t>
        </is>
      </c>
      <c r="H11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55" customWidth="1" min="3" max="3"/>
    <col width="60" customWidth="1" min="4" max="4"/>
    <col width="25" customWidth="1" min="5" max="5"/>
  </cols>
  <sheetData>
    <row r="1">
      <c r="A1" s="1" t="inlineStr">
        <is>
          <t>Phase</t>
        </is>
      </c>
      <c r="B1" s="1" t="inlineStr">
        <is>
          <t>Skills to Build</t>
        </is>
      </c>
      <c r="C1" s="1" t="inlineStr">
        <is>
          <t>Tasks Enabled</t>
        </is>
      </c>
      <c r="D1" s="1" t="inlineStr">
        <is>
          <t>Business Impact</t>
        </is>
      </c>
      <c r="E1" s="1" t="inlineStr">
        <is>
          <t>User Notes</t>
        </is>
      </c>
    </row>
    <row r="2">
      <c r="A2" s="2" t="inlineStr">
        <is>
          <t>Phase 1: Document Intelligence</t>
        </is>
      </c>
      <c r="B2" s="2" t="inlineStr">
        <is>
          <t>ITT extraction, requirements analysis, contract clause analysis, evaluation criteria extraction</t>
        </is>
      </c>
      <c r="C2" s="2" t="inlineStr">
        <is>
          <t>SOL-01, SAL-05, SAL-06.1.2, LEG-01, PRD-01, SAL-07.1.1, SAL-07.2.1</t>
        </is>
      </c>
      <c r="D2" s="2" t="inlineStr">
        <is>
          <t>Highest impact. Transforms the first 2 weeks of every bid. Enables faster go/no-go and more informed strategy.</t>
        </is>
      </c>
      <c r="E2" s="2" t="inlineStr"/>
    </row>
    <row r="3">
      <c r="A3" s="2" t="inlineStr">
        <is>
          <t>Phase 2: Content Generation</t>
        </is>
      </c>
      <c r="B3" s="2" t="inlineStr">
        <is>
          <t>Response drafting, storyboard generation, governance pack assembly, compliance mapping</t>
        </is>
      </c>
      <c r="C3" s="2" t="inlineStr">
        <is>
          <t>PRD-02, BM-10, GOV-01-06, PRD-01, BM-06, PRD-08, SAL-04.2.2, SAL-06.2.4, SAL-06.4.1</t>
        </is>
      </c>
      <c r="D3" s="2" t="inlineStr">
        <is>
          <t>Highest visibility. AI writes first drafts. Bid team sees immediate productivity gain.</t>
        </is>
      </c>
      <c r="E3" s="2" t="inlineStr"/>
    </row>
    <row r="4">
      <c r="A4" s="2" t="inlineStr">
        <is>
          <t>Phase 3: Intelligence &amp; Research</t>
        </is>
      </c>
      <c r="B4" s="2" t="inlineStr">
        <is>
          <t>Market scanning, competitor profiling, client intelligence, evidence library search</t>
        </is>
      </c>
      <c r="C4" s="2" t="inlineStr">
        <is>
          <t>SAL-01, SAL-02, SAL-03, SAL-10, SOL-02, SOL-10</t>
        </is>
      </c>
      <c r="D4" s="2" t="inlineStr">
        <is>
          <t>Strategic value. Better intelligence, faster capture planning.</t>
        </is>
      </c>
      <c r="E4" s="2" t="inlineStr"/>
    </row>
    <row r="5">
      <c r="A5" s="2" t="inlineStr">
        <is>
          <t>Phase 4: Financial Modelling</t>
        </is>
      </c>
      <c r="B5" s="2" t="inlineStr">
        <is>
          <t>Cost modelling, sensitivity analysis, price-to-win, margin modelling</t>
        </is>
      </c>
      <c r="C5" s="2" t="inlineStr">
        <is>
          <t>COM-01, COM-02, COM-05, SAL-02.2.1, SAL-02.3.4</t>
        </is>
      </c>
      <c r="D5" s="2" t="inlineStr">
        <is>
          <t>Commercial value. Automated financial modelling with scenario testing.</t>
        </is>
      </c>
      <c r="E5" s="2" t="inlineStr"/>
    </row>
    <row r="6">
      <c r="A6" s="2" t="inlineStr">
        <is>
          <t>Phase 5: Risk &amp; Consolidation</t>
        </is>
      </c>
      <c r="B6" s="2" t="inlineStr">
        <is>
          <t>Risk register consolidation, assumption tracking, clarification impact analysis</t>
        </is>
      </c>
      <c r="C6" s="2" t="inlineStr">
        <is>
          <t>BM-13, SOL-12, COM-07, DEL-06, BM-15</t>
        </is>
      </c>
      <c r="D6" s="2" t="inlineStr">
        <is>
          <t>Quality uplift. No risks fall through cracks.</t>
        </is>
      </c>
      <c r="E6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65" customWidth="1" min="2" max="2"/>
    <col width="12" customWidth="1" min="3" max="3"/>
    <col width="55" customWidth="1" min="4" max="4"/>
    <col width="25" customWidth="1" min="5" max="5"/>
  </cols>
  <sheetData>
    <row r="1">
      <c r="A1" s="1" t="inlineStr">
        <is>
          <t>Data Source</t>
        </is>
      </c>
      <c r="B1" s="1" t="inlineStr">
        <is>
          <t>AI Applications Enabled</t>
        </is>
      </c>
      <c r="C1" s="1" t="inlineStr">
        <is>
          <t>Priority</t>
        </is>
      </c>
      <c r="D1" s="1" t="inlineStr">
        <is>
          <t>Availability</t>
        </is>
      </c>
      <c r="E1" s="1" t="inlineStr">
        <is>
          <t>User Notes</t>
        </is>
      </c>
    </row>
    <row r="2">
      <c r="A2" s="2" t="inlineStr">
        <is>
          <t>Contracts Finder / FTS API</t>
        </is>
      </c>
      <c r="B2" s="2" t="inlineStr">
        <is>
          <t>SAL-01 (procurement intel), SAL-02 (incumbent pricing), SAL-03 (competitor identification), COM-02 (price benchmarks)</t>
        </is>
      </c>
      <c r="C2" s="2" t="inlineStr">
        <is>
          <t>Critical</t>
        </is>
      </c>
      <c r="D2" s="2" t="inlineStr">
        <is>
          <t>Public API, free access. FTS for EU/international procurements.</t>
        </is>
      </c>
      <c r="E2" s="2" t="inlineStr"/>
    </row>
    <row r="3">
      <c r="A3" s="2" t="inlineStr">
        <is>
          <t>Companies House API</t>
        </is>
      </c>
      <c r="B3" s="2" t="inlineStr">
        <is>
          <t>SAL-03 (competitor profiling), SUP-01 (partner due diligence)</t>
        </is>
      </c>
      <c r="C3" s="2" t="inlineStr">
        <is>
          <t>High</t>
        </is>
      </c>
      <c r="D3" s="2" t="inlineStr">
        <is>
          <t>Public API, free access.</t>
        </is>
      </c>
      <c r="E3" s="2" t="inlineStr"/>
    </row>
    <row r="4">
      <c r="A4" s="2" t="inlineStr">
        <is>
          <t>ITT Document Pack (uploaded)</t>
        </is>
      </c>
      <c r="B4" s="2" t="inlineStr">
        <is>
          <t>SOL-01 (requirements), SAL-05 (evaluation criteria), SAL-06 (ITT analysis), LEG-01 (contract review), PRD-01 (compliance)</t>
        </is>
      </c>
      <c r="C4" s="2" t="inlineStr">
        <is>
          <t>Critical</t>
        </is>
      </c>
      <c r="D4" s="2" t="inlineStr">
        <is>
          <t>Client-provided at ITT receipt. Must be uploaded to PWIN.</t>
        </is>
      </c>
      <c r="E4" s="2" t="inlineStr"/>
    </row>
    <row r="5">
      <c r="A5" s="2" t="inlineStr">
        <is>
          <t>Client Published Documents</t>
        </is>
      </c>
      <c r="B5" s="2" t="inlineStr">
        <is>
          <t>SAL-01 (strategic context), SAL-02 (performance data)</t>
        </is>
      </c>
      <c r="C5" s="2" t="inlineStr">
        <is>
          <t>High</t>
        </is>
      </c>
      <c r="D5" s="2" t="inlineStr">
        <is>
          <t>Public domain. Requires web scraping or manual collection.</t>
        </is>
      </c>
      <c r="E5" s="2" t="inlineStr"/>
    </row>
    <row r="6">
      <c r="A6" s="2" t="inlineStr">
        <is>
          <t>Evidence Library (internal)</t>
        </is>
      </c>
      <c r="B6" s="2" t="inlineStr">
        <is>
          <t>SAL-04 (theme substantiation), SOL-10 (evidence strategy), PRD-03 (evidence assembly)</t>
        </is>
      </c>
      <c r="C6" s="2" t="inlineStr">
        <is>
          <t>Critical</t>
        </is>
      </c>
      <c r="D6" s="2" t="inlineStr">
        <is>
          <t>Internal. Must be structured and accessible to AI.</t>
        </is>
      </c>
      <c r="E6" s="2" t="inlineStr"/>
    </row>
    <row r="7">
      <c r="A7" s="2" t="inlineStr">
        <is>
          <t>Corporate Cost Data</t>
        </is>
      </c>
      <c r="B7" s="2" t="inlineStr">
        <is>
          <t>COM-01 (rate cards, overhead rates), COM-02 (benchmarks)</t>
        </is>
      </c>
      <c r="C7" s="2" t="inlineStr">
        <is>
          <t>High</t>
        </is>
      </c>
      <c r="D7" s="2" t="inlineStr">
        <is>
          <t>Internal. Finance team provides rate cards and overhead model.</t>
        </is>
      </c>
      <c r="E7" s="2" t="inlineStr"/>
    </row>
    <row r="8">
      <c r="A8" s="2" t="inlineStr">
        <is>
          <t>Industry Benchmarks (Gartner, ISG)</t>
        </is>
      </c>
      <c r="B8" s="2" t="inlineStr">
        <is>
          <t>COM-02 (market rates), SAL-02 (performance benchmarks)</t>
        </is>
      </c>
      <c r="C8" s="2" t="inlineStr">
        <is>
          <t>Medium</t>
        </is>
      </c>
      <c r="D8" s="2" t="inlineStr">
        <is>
          <t>Commercial subscription required. Analyst reports available.</t>
        </is>
      </c>
      <c r="E8" s="2" t="inlineStr"/>
    </row>
    <row r="9">
      <c r="A9" s="2" t="inlineStr">
        <is>
          <t>CRM / Relationship Data</t>
        </is>
      </c>
      <c r="B9" s="2" t="inlineStr">
        <is>
          <t>SAL-01 (client intel), SAL-10 (stakeholder mapping)</t>
        </is>
      </c>
      <c r="C9" s="2" t="inlineStr">
        <is>
          <t>Medium</t>
        </is>
      </c>
      <c r="D9" s="2" t="inlineStr">
        <is>
          <t>Internal CRM system. Requires integration or export.</t>
        </is>
      </c>
      <c r="E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2026-04-02T14:24:37Z</dcterms:created>
  <dcterms:modified xsi:type="dcterms:W3CDTF">2026-04-02T14:24:37Z</dcterms:modified>
</cp:coreProperties>
</file>
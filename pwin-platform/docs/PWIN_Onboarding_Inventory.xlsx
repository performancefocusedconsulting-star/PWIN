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Onboarding Inventory" sheetId="1" state="visible" r:id="rId3"/>
    <sheet name="2. Service Variant Analysis" sheetId="2" state="visible" r:id="rId4"/>
    <sheet name="3. Onboarding Risk Regist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<sst xmlns="http://schemas.openxmlformats.org/spreadsheetml/2006/main" count="593" uniqueCount="347">
  <si>
    <t xml:space="preserve">PWIN ARCHITECT — CLIENT ONBOARDING ACTIVITY INVENTORY</t>
  </si>
  <si>
    <t xml:space="preserve">Scoring: H = High (barrier/risk) | M = Medium (manageable with planning) | L = Low (minimal friction). Priority Score = count of H×3 + M×2 + L×1 across the four dimensions. Higher = needs more SOP attention.</t>
  </si>
  <si>
    <t xml:space="preserve">Ref</t>
  </si>
  <si>
    <t xml:space="preserve">Category</t>
  </si>
  <si>
    <t xml:space="preserve">Onboarding Activity</t>
  </si>
  <si>
    <t xml:space="preserve">Description &amp; Source Evidence</t>
  </si>
  <si>
    <t xml:space="preserve">Engagement Stage</t>
  </si>
  <si>
    <t xml:space="preserve">Client Effort</t>
  </si>
  <si>
    <t xml:space="preserve">Technical Complexity</t>
  </si>
  <si>
    <t xml:space="preserve">Risk (BIP)</t>
  </si>
  <si>
    <t xml:space="preserve">Risk (Client)</t>
  </si>
  <si>
    <t xml:space="preserve">Cost Implication (£)</t>
  </si>
  <si>
    <t xml:space="preserve">Priority Score</t>
  </si>
  <si>
    <t xml:space="preserve">Owner</t>
  </si>
  <si>
    <t xml:space="preserve">Consulting Variant</t>
  </si>
  <si>
    <t xml:space="preserve">BPO Variant</t>
  </si>
  <si>
    <t xml:space="preserve">SI Variant</t>
  </si>
  <si>
    <t xml:space="preserve">OB-01</t>
  </si>
  <si>
    <t xml:space="preserve">Data &amp; Intelligence</t>
  </si>
  <si>
    <t xml:space="preserve">Pipeline / Portfolio Data Extraction</t>
  </si>
  <si>
    <t xml:space="preserve">Extract active pursuit pipeline from client's CRM (Salesforce, Dynamics, HubSpot) or manual tracking tool. Required to populate the Portfolio Dashboard with live data. Source: Portfolio Dashboard build — pitch/live mode toggle; Win Strategy Phase 1 Intelligence Assembly.</t>
  </si>
  <si>
    <t xml:space="preserve">Stage 2–3</t>
  </si>
  <si>
    <t xml:space="preserve">H</t>
  </si>
  <si>
    <t xml:space="preserve">M</t>
  </si>
  <si>
    <t xml:space="preserve">BIP + Client IT</t>
  </si>
  <si>
    <t xml:space="preserve">Light — typically spreadsheet-based pipeline</t>
  </si>
  <si>
    <t xml:space="preserve">Heavy — large rebid portfolios (e.g. Serco 85 contracts), often fragmented across divisions</t>
  </si>
  <si>
    <t xml:space="preserve">Heavy — multi-partner pipelines, complex opportunity structures</t>
  </si>
  <si>
    <t xml:space="preserve">OB-02</t>
  </si>
  <si>
    <t xml:space="preserve">Historical Win/Loss Data &amp; Rates</t>
  </si>
  <si>
    <t xml:space="preserve">Obtain historical bid outcomes (last 3–5 years) including win rates by sector, deal type, and value band. Essential for PWIN benchmark calibration and the Serco-style financial analysis. Source: Margin Impact Tear Sheet — 32% win rate baseline; Three Levers framework.</t>
  </si>
  <si>
    <t xml:space="preserve">Stage 2</t>
  </si>
  <si>
    <t xml:space="preserve">L</t>
  </si>
  <si>
    <t xml:space="preserve">BIP Lead</t>
  </si>
  <si>
    <t xml:space="preserve">Usually available from BD reporting</t>
  </si>
  <si>
    <t xml:space="preserve">Available but may require reconciliation across legacy contract management systems</t>
  </si>
  <si>
    <t xml:space="preserve">Often tracked at practice/BU level — requires aggregation</t>
  </si>
  <si>
    <t xml:space="preserve">OB-03</t>
  </si>
  <si>
    <t xml:space="preserve">Financial Profile Data</t>
  </si>
  <si>
    <t xml:space="preserve">Revenue, margins, SG&amp;A, bid cost estimates. Used to build client-specific margin impact analysis and ROI models. Source: Serco Tear Sheet — SG&amp;A allocation insight (10–12% of contract profit); Enterprise pitch deck ROI slide.</t>
  </si>
  <si>
    <t xml:space="preserve">Readily available for listed firms; private firms may resist</t>
  </si>
  <si>
    <t xml:space="preserve">Same as consulting — listed BPOs well-documented</t>
  </si>
  <si>
    <t xml:space="preserve">Often complex group structures; subsidiary-level data harder to obtain</t>
  </si>
  <si>
    <t xml:space="preserve">OB-04</t>
  </si>
  <si>
    <t xml:space="preserve">Rebid Pipeline &amp; Contract Expiry Dates</t>
  </si>
  <si>
    <t xml:space="preserve">Specific identification of contracts due for renewal with dates, values, and current performance status. Critical for rebid module activation and portfolio prioritisation. Source: Rebid Module Review — 12 questions across 4 decay risk categories; Dashboard seed data.</t>
  </si>
  <si>
    <t xml:space="preserve">Stage 3</t>
  </si>
  <si>
    <t xml:space="preserve">BIP + Client Commercial</t>
  </si>
  <si>
    <t xml:space="preserve">Smaller portfolios — manageable manual exercise</t>
  </si>
  <si>
    <t xml:space="preserve">Critical path — BPO rebid volumes dominate portfolio (e.g. Serco 66+ rebids)</t>
  </si>
  <si>
    <t xml:space="preserve">Mixed — some frameworks, some bespoke; expiry tracking often poor</t>
  </si>
  <si>
    <t xml:space="preserve">OB-05</t>
  </si>
  <si>
    <t xml:space="preserve">Competitive Intelligence Baseline</t>
  </si>
  <si>
    <t xml:space="preserve">Known competitors by sector, framework presence, historical win patterns, key personnel. Feeds Win Strategy Phase 1 (Intelligence Assembly) and Competitive Intelligence plugin skill. Source: Competitive Intelligence skill; SaaS Competitive Landscape analysis.</t>
  </si>
  <si>
    <t xml:space="preserve">Varies — some firms have structured CI, most do not</t>
  </si>
  <si>
    <t xml:space="preserve">Often strong incumbency knowledge but poor structured CI</t>
  </si>
  <si>
    <t xml:space="preserve">Usually better CI maturity — technical differentiation tracked</t>
  </si>
  <si>
    <t xml:space="preserve">OB-06</t>
  </si>
  <si>
    <t xml:space="preserve">Stakeholder &amp; Relationship Map (Initial)</t>
  </si>
  <si>
    <t xml:space="preserve">Key buyer contacts, decision-makers, influencers across active pursuits. Required for PWIN Coach Stakeholder Strength category and Win Strategy Phase 2 (Guided Elicitation). Source: PWIN Coach — questions 9–12 (Internal Champion, Evaluator Coverage, Decision Authority Relationships).</t>
  </si>
  <si>
    <t xml:space="preserve">Client Pursuit Lead</t>
  </si>
  <si>
    <t xml:space="preserve">Highly relationship-dependent — often in people's heads, not systems</t>
  </si>
  <si>
    <t xml:space="preserve">Strong on operational contacts, weak on procurement/political layer</t>
  </si>
  <si>
    <t xml:space="preserve">Technical relationships well-mapped; buyer-side political relationships less so</t>
  </si>
  <si>
    <t xml:space="preserve">OB-07</t>
  </si>
  <si>
    <t xml:space="preserve">Technical Setup</t>
  </si>
  <si>
    <t xml:space="preserve">CRM Integration / Data Bridge</t>
  </si>
  <si>
    <t xml:space="preserve">Technical connection to extract and sync pipeline data from client's CRM. May range from manual CSV export to API integration. Source: Portfolio Dashboard — implied by pitch-to-live transition; CRM differentiation analysis.</t>
  </si>
  <si>
    <t xml:space="preserve">Stage 3–4</t>
  </si>
  <si>
    <t xml:space="preserve">BIP Tech + Client IT</t>
  </si>
  <si>
    <t xml:space="preserve">Low urgency — consultancies often tolerate manual processes</t>
  </si>
  <si>
    <t xml:space="preserve">High priority — large portfolios need automated sync</t>
  </si>
  <si>
    <t xml:space="preserve">High priority — multi-system environments (Salesforce + internal tools)</t>
  </si>
  <si>
    <t xml:space="preserve">OB-08</t>
  </si>
  <si>
    <t xml:space="preserve">PWIN Benchmark Calibration</t>
  </si>
  <si>
    <t xml:space="preserve">Adjust PWIN benchmark bands (by deal type and stage) to client's historical data rather than generic defaults. Source: Dashboard Settings tab — editable benchmark bands; Portfolio Economics calibration.</t>
  </si>
  <si>
    <t xml:space="preserve">Fast — smaller portfolios, fewer deal types</t>
  </si>
  <si>
    <t xml:space="preserve">More complex — rebid vs new business bands differ significantly</t>
  </si>
  <si>
    <t xml:space="preserve">Complex — multiple delivery models (fixed price, T&amp;M, managed service) each need bands</t>
  </si>
  <si>
    <t xml:space="preserve">OB-09</t>
  </si>
  <si>
    <t xml:space="preserve">Category Weight Profile Selection</t>
  </si>
  <si>
    <t xml:space="preserve">Select or customise the PWIN scoring weight profile (Services / Technology / Advisory) and optionally tune intra-question weights. Source: PWIN Coach — three internal profiles mapped to seven opportunity types; Weight Profiles tab.</t>
  </si>
  <si>
    <t xml:space="preserve">Advisory profile — straightforward selection</t>
  </si>
  <si>
    <t xml:space="preserve">Services profile — standard for most BPO pursuits</t>
  </si>
  <si>
    <t xml:space="preserve">Technology profile — may need customisation for mixed SI/services deals</t>
  </si>
  <si>
    <t xml:space="preserve">OB-10</t>
  </si>
  <si>
    <t xml:space="preserve">AI Persona &amp; Assurance Configuration</t>
  </si>
  <si>
    <t xml:space="preserve">Configure Alex Mercer persona calibration for client's sector, language patterns, and common inflation signals. Source: Alex Persona review tool — background narrative, core beliefs, enrichment blocks per opportunity type.</t>
  </si>
  <si>
    <t xml:space="preserve">Standard — Alex adapts via opportunity type selection</t>
  </si>
  <si>
    <t xml:space="preserve">Standard — TUPE/transition enrichment blocks already designed</t>
  </si>
  <si>
    <t xml:space="preserve">May need custom enrichment for complex multi-supplier scenarios</t>
  </si>
  <si>
    <t xml:space="preserve">OB-11</t>
  </si>
  <si>
    <t xml:space="preserve">Output Template Alignment</t>
  </si>
  <si>
    <t xml:space="preserve">Ensure PWIN reports, gate packs, and assurance outputs align with client's existing governance templates and checkpoint formats. Source: Win Strategy — integration with existing bid processes risk; Gate Review skill — template structure.</t>
  </si>
  <si>
    <t xml:space="preserve">BIP + Client Bid Ops</t>
  </si>
  <si>
    <t xml:space="preserve">Light governance — fewer mandatory templates</t>
  </si>
  <si>
    <t xml:space="preserve">Heavy governance — large BPOs have rigid bid governance frameworks</t>
  </si>
  <si>
    <t xml:space="preserve">Variable — some SIs have mature frameworks, others ad hoc</t>
  </si>
  <si>
    <t xml:space="preserve">OB-12</t>
  </si>
  <si>
    <t xml:space="preserve">People &amp; Process</t>
  </si>
  <si>
    <t xml:space="preserve">Executive Sponsor Identification &amp; Buy-in</t>
  </si>
  <si>
    <t xml:space="preserve">Identify and secure commitment from the client's CGO, CFO, or equivalent who will champion the engagement internally. Source: Engagement Continuum — each stage requires progressively deeper sponsor commitment.</t>
  </si>
  <si>
    <t xml:space="preserve">Stage 1–2</t>
  </si>
  <si>
    <t xml:space="preserve">BIP Partner / Paul</t>
  </si>
  <si>
    <t xml:space="preserve">Critical — consulting sales depend on personal sponsor relationship</t>
  </si>
  <si>
    <t xml:space="preserve">Critical — often requires both commercial and operational sponsors</t>
  </si>
  <si>
    <t xml:space="preserve">Critical — may need sponsor at group level if multi-BU engagement</t>
  </si>
  <si>
    <t xml:space="preserve">OB-13</t>
  </si>
  <si>
    <t xml:space="preserve">Pursuit Team Training on PWIN Methodology</t>
  </si>
  <si>
    <t xml:space="preserve">Familiarise bid teams with the 6-category assessment framework, scoring rubric, evidence standards, and the role of Alex's AI review. Source: PWIN Coach — 24-question structure; Scoring rubric toggle on each card; blank-equals-zero design choice.</t>
  </si>
  <si>
    <t xml:space="preserve">Quick uptake — consultancies are assessment-literate</t>
  </si>
  <si>
    <t xml:space="preserve">Moderate — BPO bid teams vary in process maturity</t>
  </si>
  <si>
    <t xml:space="preserve">Quick uptake — SI bid teams typically methodologically mature</t>
  </si>
  <si>
    <t xml:space="preserve">OB-14</t>
  </si>
  <si>
    <t xml:space="preserve">Mapping to Client's Existing Bid Governance</t>
  </si>
  <si>
    <t xml:space="preserve">Map PWIN Architect's stage-gate process to the client's existing bid/no-bid framework so outputs slot into current governance, not compete with it. Source: Win Strategy risks — 'Integration with existing bid processes'; Gate Review skill — must map phases.</t>
  </si>
  <si>
    <t xml:space="preserve">BIP + Client Bid Director</t>
  </si>
  <si>
    <t xml:space="preserve">Usually straightforward — most consultancies follow Shipley-like models</t>
  </si>
  <si>
    <t xml:space="preserve">Complex — large BPOs have institutional governance that is hard to change</t>
  </si>
  <si>
    <t xml:space="preserve">Variable — frameworks range from Shipley-aligned to bespoke</t>
  </si>
  <si>
    <t xml:space="preserve">OB-15</t>
  </si>
  <si>
    <t xml:space="preserve">Data Security &amp; Confidentiality Framework</t>
  </si>
  <si>
    <t xml:space="preserve">Establish data handling protocols for commercially sensitive pursuit intelligence and competitive data. Source: Win Strategy risks — 'Competitive sensitivity'; Plugin standards — 'Data Security' section.</t>
  </si>
  <si>
    <t xml:space="preserve">BIP + Client InfoSec</t>
  </si>
  <si>
    <t xml:space="preserve">Standard NDA-level arrangements typical</t>
  </si>
  <si>
    <t xml:space="preserve">Elevated — BPO contracts often carry security clearance requirements (SC, DV)</t>
  </si>
  <si>
    <t xml:space="preserve">Elevated — SI work may involve classified programmes or IL3+ data</t>
  </si>
  <si>
    <t xml:space="preserve">OB-16</t>
  </si>
  <si>
    <t xml:space="preserve">Content Library / Bid Library Access</t>
  </si>
  <si>
    <t xml:space="preserve">Access to client's existing case studies, CVs, past submissions, and reusable proposal content. Feeds Win Strategy and managed proposal production. Source: Plugin skills — Content Library Management; Mobilisation skill — bid library update.</t>
  </si>
  <si>
    <t xml:space="preserve">Stage 4–5</t>
  </si>
  <si>
    <t xml:space="preserve">Client Bid Ops + BIP</t>
  </si>
  <si>
    <t xml:space="preserve">Often informal — knowledge in SharePoint or people's laptops</t>
  </si>
  <si>
    <t xml:space="preserve">Usually exists formally but may be outdated or poorly indexed</t>
  </si>
  <si>
    <t xml:space="preserve">Typically stronger library discipline — technical submissions require it</t>
  </si>
  <si>
    <t xml:space="preserve">OB-17</t>
  </si>
  <si>
    <t xml:space="preserve">Commercial</t>
  </si>
  <si>
    <t xml:space="preserve">Commercial Agreement &amp; Fee Structure</t>
  </si>
  <si>
    <t xml:space="preserve">Agree onboarding fee, monthly retainer, success fee %, and scope boundaries. Source: Enterprise pitch deck — £10k setup, £5k/active bid/month, 0.25% success fee; Commercial model — 50% profit margin target.</t>
  </si>
  <si>
    <t xml:space="preserve">Standard consulting procurement — MSA + SOW</t>
  </si>
  <si>
    <t xml:space="preserve">May require preferred supplier listing or framework route</t>
  </si>
  <si>
    <t xml:space="preserve">Similar to BPO — procurement process may add 4–8 weeks</t>
  </si>
  <si>
    <t xml:space="preserve">OB-18</t>
  </si>
  <si>
    <t xml:space="preserve">Pilot Pursuit Selection</t>
  </si>
  <si>
    <t xml:space="preserve">Select the first pursuit(s) to run through the full PWIN Architect process as proof of value. Source: Engagement Continuum Stage 2 — Qualification Sprint; Pitch deck — '3. Proof of Value' step.</t>
  </si>
  <si>
    <t xml:space="preserve">BIP + Client CGO</t>
  </si>
  <si>
    <t xml:space="preserve">Best if upcoming, mid-value, genuinely competitive</t>
  </si>
  <si>
    <t xml:space="preserve">Best if a rebid with known intelligence gaps — demonstrates rebid module</t>
  </si>
  <si>
    <t xml:space="preserve">Best if a complex multi-partner deal — demonstrates full Win Strategy capability</t>
  </si>
  <si>
    <t xml:space="preserve">OB-19</t>
  </si>
  <si>
    <t xml:space="preserve">Win Strategy Ingestion</t>
  </si>
  <si>
    <t xml:space="preserve">Procurement Document Ingestion</t>
  </si>
  <si>
    <t xml:space="preserve">ITT/RFP, Prior Information Notices, evaluation criteria, contract terms for active pursuits. Primary input for Win Strategy Phase 1 Intelligence Assembly. Source: Win Strategy architecture — 'ingest and normalise whatever structured and unstructured data exists'.</t>
  </si>
  <si>
    <t xml:space="preserve">Typically smaller document sets — advisory/consulting ITTs are shorter</t>
  </si>
  <si>
    <t xml:space="preserve">Large document sets — BPO ITTs can exceed 500 pages</t>
  </si>
  <si>
    <t xml:space="preserve">Very large — SI procurements often have technical annexes, security schedules</t>
  </si>
  <si>
    <t xml:space="preserve">OB-20</t>
  </si>
  <si>
    <t xml:space="preserve">Organisational &amp; Buyer Intelligence</t>
  </si>
  <si>
    <t xml:space="preserve">Buyer org charts, decision-making structures, policy context, ministerial priorities. Feeds the facilitation agent's structured interview protocol. Source: Win Strategy Phase 2 — 'opinionated, not neutral' elicitation.</t>
  </si>
  <si>
    <t xml:space="preserve">BIP + Client Capture Lead</t>
  </si>
  <si>
    <t xml:space="preserve">Relationship-dependent — often qualitative</t>
  </si>
  <si>
    <t xml:space="preserve">Operational-contact heavy; buyer political layer often weak</t>
  </si>
  <si>
    <t xml:space="preserve">Technical buyer relationships strong; commercial/policy layer varies</t>
  </si>
  <si>
    <t xml:space="preserve">OB-21</t>
  </si>
  <si>
    <t xml:space="preserve">Historical Contract Performance Data (Rebids)</t>
  </si>
  <si>
    <t xml:space="preserve">KPI dashboards, service credits, customer satisfaction scores for incumbent contracts. Critical input for rebid module — 'Performance Perception Decay' and 'Contractual Complacency' categories. Source: Rebid Module — 12 questions across 4 decay risk categories.</t>
  </si>
  <si>
    <t xml:space="preserve">Client Contract Director</t>
  </si>
  <si>
    <t xml:space="preserve">Rarely relevant — consultancies have fewer rebid scenarios</t>
  </si>
  <si>
    <t xml:space="preserve">Critical — BPO performance data is often contested or unavailable in structured form</t>
  </si>
  <si>
    <t xml:space="preserve">Relevant for managed service contracts; less so for project-based work</t>
  </si>
  <si>
    <t xml:space="preserve">OB-22</t>
  </si>
  <si>
    <t xml:space="preserve">Capture Meeting Notes &amp; CRM History</t>
  </si>
  <si>
    <t xml:space="preserve">Historical capture activity, client meeting notes, prior engagement records. Feeds the knowledge base that Win Strategy Phase 1 draws on. Source: Win Strategy — 'CRM notes, previous bid libraries, capture plans'.</t>
  </si>
  <si>
    <t xml:space="preserve">Client Capture Lead</t>
  </si>
  <si>
    <t xml:space="preserve">Often informal — email chains and meeting notes</t>
  </si>
  <si>
    <t xml:space="preserve">May exist in CRM but quality/completeness varies</t>
  </si>
  <si>
    <t xml:space="preserve">Similar to BPO — quality depends on CRM discipline</t>
  </si>
  <si>
    <t xml:space="preserve">OB-23</t>
  </si>
  <si>
    <t xml:space="preserve">Security &amp; Infrastructure</t>
  </si>
  <si>
    <t xml:space="preserve">Cyber Essentials Certification (BIP)</t>
  </si>
  <si>
    <t xml:space="preserve">Obtain Cyber Essentials (and subsequently CE Plus) certification for BIP. Mandatory under PPN 014 for government contracts handling personal or financial data. MOD suppliers required to hold CE/CE Plus under Cyber Security Model. New v3.3 'Danzell' requirements effective 27 April 2026. Certification valid 12 months, must be renewed annually. Source: PPN 014; NCSC Cyber Essentials scheme; G-Cloud 15 mandatory requirement for all suppliers.</t>
  </si>
  <si>
    <t xml:space="preserve">Pre-Launch</t>
  </si>
  <si>
    <t xml:space="preserve">Paul / BIP</t>
  </si>
  <si>
    <t xml:space="preserve">Standard requirement — most consultancies already hold CE</t>
  </si>
  <si>
    <t xml:space="preserve">CE Plus likely required — BPO Defence/Justice contracts demand higher assurance</t>
  </si>
  <si>
    <t xml:space="preserve">CE Plus expected — SI clients in classified environments require independent testing</t>
  </si>
  <si>
    <t xml:space="preserve">OB-24</t>
  </si>
  <si>
    <t xml:space="preserve">SC Clearance for Key Personnel</t>
  </si>
  <si>
    <t xml:space="preserve">Apply for Security Check (SC) clearance for Paul and key delivery consultants. Required for access to Defence and Justice pursuit data. 3–6 month lead time for new applications. Personal attribute, not organisational. Source: Win Strategy risks — 'Competitive sensitivity'; Onboarding Risk R-05.</t>
  </si>
  <si>
    <t xml:space="preserve">Paul / BIP HR</t>
  </si>
  <si>
    <t xml:space="preserve">Rarely needed — consulting engagements seldom classified</t>
  </si>
  <si>
    <t xml:space="preserve">Often needed — Defence/Justice BPO bid teams operate under clearance</t>
  </si>
  <si>
    <t xml:space="preserve">Frequently needed — SI programmes in Defence often require SC/DV</t>
  </si>
  <si>
    <t xml:space="preserve">OB-25</t>
  </si>
  <si>
    <t xml:space="preserve">Cloud Provider Selection &amp; API Proxy Architecture</t>
  </si>
  <si>
    <t xml:space="preserve">Build a provider-agnostic API proxy layer that can route AI requests to: (1) Anthropic API direct (Tier 1, dev/consulting), (2) AWS Bedrock eu-west-2 London region (Tier 2, enterprise), (3) Google Vertex AI with UK regional endpoint (Tier 2+, Defence/MOD-adjacent). Same Claude model across all three — only auth and endpoint differ. Proxy enables per-client routing, audit logging, and access control. Source: Architecture decision on data handling tiers.</t>
  </si>
  <si>
    <t xml:space="preserve">BIP Tech / Paul</t>
  </si>
  <si>
    <t xml:space="preserve">Anthropic direct sufficient for most consulting engagements</t>
  </si>
  <si>
    <t xml:space="preserve">AWS Bedrock preferred — most BPOs already in AWS ecosystem</t>
  </si>
  <si>
    <t xml:space="preserve">Google Vertex increasingly relevant — MOD £400m sovereign cloud with Google; Vertex AI supports Claude with regional endpoints</t>
  </si>
  <si>
    <t xml:space="preserve">OB-26</t>
  </si>
  <si>
    <t xml:space="preserve">Data Processing Agreement Template</t>
  </si>
  <si>
    <t xml:space="preserve">Create a formal DPA covering: data categories processed, processing locations and retention, AI model training exclusions, lawful basis, incident notification, sub-processor list. Must reference architecture tier so clients understand data path. Should be pre-approved by BIP legal. Source: GDPR Art 28; Anthropic commercial terms — API data not used for training, 7-day default retention, ZDR available for enterprise.</t>
  </si>
  <si>
    <t xml:space="preserve">Paul / BIP Legal</t>
  </si>
  <si>
    <t xml:space="preserve">Standard NDA + DPA typically sufficient</t>
  </si>
  <si>
    <t xml:space="preserve">Enhanced DPA needed — BPO procurement teams require detailed sub-processor disclosure</t>
  </si>
  <si>
    <t xml:space="preserve">Enhanced DPA + potentially client-specific security schedule for classified-adjacent work</t>
  </si>
  <si>
    <t xml:space="preserve">OB-27</t>
  </si>
  <si>
    <t xml:space="preserve">Data Residency &amp; Sovereignty Assurance</t>
  </si>
  <si>
    <t xml:space="preserve">Document and demonstrate that client pursuit data can be processed within UK/EU jurisdiction. AWS Bedrock offers EU geographic inference profiles. Google Vertex AI supports regional endpoints (europe-west2 = London). Anthropic API default routes globally but stores in US. Google secured £400m MOD sovereign cloud contract (air-gapped, UK-controlled). AWS European Sovereign Cloud launched Jan 2026. Source: Anthropic data residency docs; AWS Bedrock CRIS; Google MOD contract Sept 2025.</t>
  </si>
  <si>
    <t xml:space="preserve">BIP Tech</t>
  </si>
  <si>
    <t xml:space="preserve">Low concern — consulting data rarely has residency requirements</t>
  </si>
  <si>
    <t xml:space="preserve">Medium concern — UK government buyer data should remain in UK/EU</t>
  </si>
  <si>
    <t xml:space="preserve">High concern — Defence/MOD-adjacent data may require sovereign cloud or air-gapped deployment</t>
  </si>
  <si>
    <t xml:space="preserve">OB-28</t>
  </si>
  <si>
    <t xml:space="preserve">Zero Data Retention (ZDR) Eligibility</t>
  </si>
  <si>
    <t xml:space="preserve">For highest-sensitivity clients, Anthropic offers Zero Data Retention where inputs/outputs are not stored after API response (except for abuse screening). Available on eligible API endpoints, enabled per-organisation. Not available on consumer plans or via Bedrock/Vertex (those platforms have their own retention controls). Source: Anthropic ZDR documentation; enterprise API terms.</t>
  </si>
  <si>
    <t xml:space="preserve">BIP Tech / Anthropic Account</t>
  </si>
  <si>
    <t xml:space="preserve">Unlikely to be needed for consulting engagements</t>
  </si>
  <si>
    <t xml:space="preserve">May be requested by Defence/Justice BPOs as contractual requirement</t>
  </si>
  <si>
    <t xml:space="preserve">May be required for classified-adjacent SI programmes</t>
  </si>
  <si>
    <t xml:space="preserve">OB-29</t>
  </si>
  <si>
    <t xml:space="preserve">Client Cloud Tenancy Deployment (Advanced)</t>
  </si>
  <si>
    <t xml:space="preserve">For enterprise clients with strict data governance, deploy the API proxy within the client's own AWS/GCP tenancy so pursuit data never leaves their security boundary. BIP accesses via VPN or secure connection. Requires client IT cooperation. Source: Bedrock VPC endpoint capability; Vertex AI private endpoint; Architecture Tier 2+ design.</t>
  </si>
  <si>
    <t xml:space="preserve">Very unlikely — overkill for consulting engagements</t>
  </si>
  <si>
    <t xml:space="preserve">Relevant for largest BPO clients with mature cloud governance (e.g. Serco, Capita)</t>
  </si>
  <si>
    <t xml:space="preserve">Most relevant — SI clients often require tools to operate within their secure programme environment</t>
  </si>
  <si>
    <t xml:space="preserve">ONBOARDING VARIANT ANALYSIS BY CLIENT SERVICE TYPE</t>
  </si>
  <si>
    <t xml:space="preserve">Dimension</t>
  </si>
  <si>
    <t xml:space="preserve">Consulting</t>
  </si>
  <si>
    <t xml:space="preserve">BPO / Outsourcing</t>
  </si>
  <si>
    <t xml:space="preserve">Systems Integration</t>
  </si>
  <si>
    <t xml:space="preserve">Onboarding Implication</t>
  </si>
  <si>
    <t xml:space="preserve">Portfolio Size &amp; Shape</t>
  </si>
  <si>
    <t xml:space="preserve">Smaller, fewer active pursuits (5–15). Mix of advisory and project-based.</t>
  </si>
  <si>
    <t xml:space="preserve">Large, rebid-dominated (30–100+). Long-term contracts with renewal cycles.</t>
  </si>
  <si>
    <t xml:space="preserve">Medium, mixed new/rebid (10–30). Complex multi-partner structures.</t>
  </si>
  <si>
    <t xml:space="preserve">BPO requires bulk ingestion capability and rebid module from day one. Consulting can start with manual data entry. SI sits in between.</t>
  </si>
  <si>
    <t xml:space="preserve">CRM Maturity</t>
  </si>
  <si>
    <t xml:space="preserve">Variable — many use spreadsheets or lightweight tools. Data extraction is manual but manageable.</t>
  </si>
  <si>
    <t xml:space="preserve">Usually Salesforce or Dynamics. Formal pipeline. API integration valuable but data quality varies.</t>
  </si>
  <si>
    <t xml:space="preserve">Mixed — often Salesforce + bespoke tools. Multiple systems per business unit.</t>
  </si>
  <si>
    <t xml:space="preserve">CRM integration priority: BPO &gt; SI &gt; Consulting. Budget for manual workaround in Phase 1 regardless.</t>
  </si>
  <si>
    <t xml:space="preserve">Bid Governance Maturity</t>
  </si>
  <si>
    <t xml:space="preserve">Light — fewer mandatory gates, more partner discretion. Faster onboarding.</t>
  </si>
  <si>
    <t xml:space="preserve">Heavy — institutional governance frameworks, mandatory stage gates, bid boards. Template alignment essential.</t>
  </si>
  <si>
    <t xml:space="preserve">Variable — ranges from Shipley-aligned to bespoke. Need discovery workshop.</t>
  </si>
  <si>
    <t xml:space="preserve">BPO template alignment is highest effort. Build a governance mapping exercise into Stage 2 for all types.</t>
  </si>
  <si>
    <t xml:space="preserve">Rebid Proportion</t>
  </si>
  <si>
    <t xml:space="preserve">Low (10–20%). Most pursuits are new business or extensions.</t>
  </si>
  <si>
    <t xml:space="preserve">High (50–80%). Rebid module is critical from engagement start.</t>
  </si>
  <si>
    <t xml:space="preserve">Medium (30–50%). Mix of framework renewals and greenfield.</t>
  </si>
  <si>
    <t xml:space="preserve">Rebid module activation: mandatory for BPO, recommended for SI, optional initial for Consulting.</t>
  </si>
  <si>
    <t xml:space="preserve">Competitive Intelligence</t>
  </si>
  <si>
    <t xml:space="preserve">Often informal. Based on personal relationships and market knowledge.</t>
  </si>
  <si>
    <t xml:space="preserve">Moderate — incumbents know their replacements well but lack structured CI.</t>
  </si>
  <si>
    <t xml:space="preserve">Usually better — technical benchmarking is standard practice.</t>
  </si>
  <si>
    <t xml:space="preserve">CI baseline workshop needed for all types. BPO needs incumbent-challenger framing. SI needs multi-partner mapping.</t>
  </si>
  <si>
    <t xml:space="preserve">Security &amp; Clearance</t>
  </si>
  <si>
    <t xml:space="preserve">Standard NDA. Rarely security-cleared.</t>
  </si>
  <si>
    <t xml:space="preserve">Elevated — Defence and Justice BPOs often require SC/DV clearance for bid team.</t>
  </si>
  <si>
    <t xml:space="preserve">Elevated — classified programmes, IL3+. May restrict where data can be stored.</t>
  </si>
  <si>
    <t xml:space="preserve">Security framework: address in commercial terms for all. BPO/SI may need dedicated data handling protocol.</t>
  </si>
  <si>
    <t xml:space="preserve">Stakeholder Complexity</t>
  </si>
  <si>
    <t xml:space="preserve">Simpler — fewer decision-makers, relationship-driven.</t>
  </si>
  <si>
    <t xml:space="preserve">Complex — operational, commercial, procurement, and political layers all active.</t>
  </si>
  <si>
    <t xml:space="preserve">Complex — technical authority, commercial, programme, and vendor management.</t>
  </si>
  <si>
    <t xml:space="preserve">Stakeholder mapping depth: Consulting can be lighter. BPO/SI need full stakeholder map in onboarding.</t>
  </si>
  <si>
    <t xml:space="preserve">Speed to First Value</t>
  </si>
  <si>
    <t xml:space="preserve">Fast (1–2 weeks). Can start with a single pursuit sprint.</t>
  </si>
  <si>
    <t xml:space="preserve">Medium (3–6 weeks). Data extraction and governance mapping add time.</t>
  </si>
  <si>
    <t xml:space="preserve">Medium (3–6 weeks). Multi-system data extraction and partner landscape.</t>
  </si>
  <si>
    <t xml:space="preserve">Set expectations: Consulting clients see value fastest. BPO/SI need 'quick win' milestone built into onboarding plan.</t>
  </si>
  <si>
    <t xml:space="preserve">Content Library Availability</t>
  </si>
  <si>
    <t xml:space="preserve">Often informal — knowledge in people's heads.</t>
  </si>
  <si>
    <t xml:space="preserve">Usually exists formally but may be outdated.</t>
  </si>
  <si>
    <t xml:space="preserve">Typically stronger — technical submissions require disciplined libraries.</t>
  </si>
  <si>
    <t xml:space="preserve">Content library audit: standard activity for all. BPO/SI libraries need quality assessment, not just access.</t>
  </si>
  <si>
    <t xml:space="preserve">Price Sensitivity to Onboarding Fee</t>
  </si>
  <si>
    <t xml:space="preserve">Lower — consulting firms accustomed to advisory fees.</t>
  </si>
  <si>
    <t xml:space="preserve">Higher — BPO procurement teams will benchmark. May require framework route.</t>
  </si>
  <si>
    <t xml:space="preserve">Medium — SI firms expect consulting engagement models but will negotiate.</t>
  </si>
  <si>
    <t xml:space="preserve">Commercial model may need flexing: fixed fee for consulting, phased for BPO, outcome-linked for SI.</t>
  </si>
  <si>
    <t xml:space="preserve">ONBOARDING RISK REGISTER — BARRIERS TO ENGAGEMENT SUCCESS</t>
  </si>
  <si>
    <t xml:space="preserve">Risk Ref</t>
  </si>
  <si>
    <t xml:space="preserve">Risk Description</t>
  </si>
  <si>
    <t xml:space="preserve">Impact On</t>
  </si>
  <si>
    <t xml:space="preserve">Likelihood</t>
  </si>
  <si>
    <t xml:space="preserve">Impact</t>
  </si>
  <si>
    <t xml:space="preserve">Risk Score</t>
  </si>
  <si>
    <t xml:space="preserve">Mitigation</t>
  </si>
  <si>
    <t xml:space="preserve">Related OB Ref</t>
  </si>
  <si>
    <t xml:space="preserve">R-01</t>
  </si>
  <si>
    <t xml:space="preserve">Client CRM data is poor quality, incomplete, or inaccessible — cannot populate Portfolio Dashboard with live data</t>
  </si>
  <si>
    <t xml:space="preserve">Time to value</t>
  </si>
  <si>
    <t xml:space="preserve">BIP provides a manual data entry template as fallback. Scope a 'data quality sprint' as an optional onboarding add-on. Build the Dashboard to work in manual-entry mode from day one.</t>
  </si>
  <si>
    <t xml:space="preserve">OB-01, OB-07</t>
  </si>
  <si>
    <t xml:space="preserve">R-02</t>
  </si>
  <si>
    <t xml:space="preserve">Client executive sponsor loses interest or changes role during onboarding period</t>
  </si>
  <si>
    <t xml:space="preserve">Engagement continuity</t>
  </si>
  <si>
    <t xml:space="preserve">Identify a secondary sponsor at Stage 2. Deliver a tangible 'quick win' output within the first 2 weeks to build internal momentum. Monthly sponsor briefing cadence.</t>
  </si>
  <si>
    <t xml:space="preserve">BIP Partner</t>
  </si>
  <si>
    <t xml:space="preserve">R-03</t>
  </si>
  <si>
    <t xml:space="preserve">Client's existing bid governance framework resists integration — PWIN outputs seen as competing with, not complementing, existing process</t>
  </si>
  <si>
    <t xml:space="preserve">Adoption</t>
  </si>
  <si>
    <t xml:space="preserve">Governance mapping workshop in onboarding. Position PWIN outputs as inputs to existing gates, not replacements. Use client's own template formats where possible.</t>
  </si>
  <si>
    <t xml:space="preserve">OB-11, OB-14</t>
  </si>
  <si>
    <t xml:space="preserve">R-04</t>
  </si>
  <si>
    <t xml:space="preserve">Competitive intelligence shared during onboarding creates IP exposure risk for BIP — client shares CI methodology with a competitor's consultant later</t>
  </si>
  <si>
    <t xml:space="preserve">BIP IP</t>
  </si>
  <si>
    <t xml:space="preserve">Limit proprietary CI methodology disclosure during early stages. Separate 'client intelligence' (their data, their ownership) from 'PWIN methodology' (BIP's IP, licensed not transferred). NDA with specific CI clauses.</t>
  </si>
  <si>
    <t xml:space="preserve">OB-05, OB-15</t>
  </si>
  <si>
    <t xml:space="preserve">R-05</t>
  </si>
  <si>
    <t xml:space="preserve">Security clearance requirements delay or block BIP team access to sensitive pursuit data (Defence, Justice)</t>
  </si>
  <si>
    <t xml:space="preserve">Identify security requirements in Stage 1 discovery. Ensure BIP team members have appropriate clearance before engagement start. Design onboarding to work with redacted data initially if needed.</t>
  </si>
  <si>
    <t xml:space="preserve">R-06</t>
  </si>
  <si>
    <t xml:space="preserve">Client pursuit teams resist the blank-equals-zero scoring approach — perceive it as punitive at early capture stage</t>
  </si>
  <si>
    <t xml:space="preserve">Training session explains the design rationale (preventing complacency, driving early evidence gathering). Show how scores improve naturally as the capture process progresses. Alex's tone is diagnostic, not adversarial.</t>
  </si>
  <si>
    <t xml:space="preserve">R-07</t>
  </si>
  <si>
    <t xml:space="preserve">CRM API integration fails or is blocked by client IT policy — no automated data bridge</t>
  </si>
  <si>
    <t xml:space="preserve">Efficiency</t>
  </si>
  <si>
    <t xml:space="preserve">Design the system to function fully without API integration. Manual CSV import as the standard path. API integration as a 'Phase 2' enhancement. Never make the engagement dependent on IT delivery.</t>
  </si>
  <si>
    <t xml:space="preserve">R-08</t>
  </si>
  <si>
    <t xml:space="preserve">Client's content/bid library is outdated, poorly indexed, or effectively unusable — slows managed proposal production</t>
  </si>
  <si>
    <t xml:space="preserve">Stage 4–5 readiness</t>
  </si>
  <si>
    <t xml:space="preserve">Content library audit as a standard onboarding activity. Position library improvement as a retainer deliverable (creates switching cost). Don't promise Stage 5 capability until library is assessed.</t>
  </si>
  <si>
    <t xml:space="preserve">R-09</t>
  </si>
  <si>
    <t xml:space="preserve">Onboarding takes longer than expected for BPO/SI clients, eroding BIP margin on the setup fee</t>
  </si>
  <si>
    <t xml:space="preserve">BIP profitability</t>
  </si>
  <si>
    <t xml:space="preserve">Tier the onboarding fee: Consulting (standard), BPO/SI (enhanced). Build service variant analysis into scoping. Include a clear 'onboarding complete' definition with measurable criteria.</t>
  </si>
  <si>
    <t xml:space="preserve">R-10</t>
  </si>
  <si>
    <t xml:space="preserve">Pilot pursuit selected is too simple or too complex — fails to demonstrate the full value of the PWIN Architect approach</t>
  </si>
  <si>
    <t xml:space="preserve">Conversion to retainer</t>
  </si>
  <si>
    <t xml:space="preserve">Pilot selection criteria: genuinely competitive, mid-value (£50–250m), at capture or early bid stage, with visible intelligence gaps. BIP should guide selection, not defer entirely to client.</t>
  </si>
  <si>
    <t xml:space="preserve">R-11</t>
  </si>
  <si>
    <t xml:space="preserve">BIP lacks Cyber Essentials certification at time of first enterprise pitch — client procurement team rejects engagement before commercial discussion begins</t>
  </si>
  <si>
    <t xml:space="preserve">Market access</t>
  </si>
  <si>
    <t xml:space="preserve">Begin CE self-assessment immediately (£320+VAT). Target certification within 6 weeks. Plan CE Plus within 6 months. CE v3.3 effective April 2026 — certify under current version if possible, renew under v3.3.</t>
  </si>
  <si>
    <t xml:space="preserve">R-12</t>
  </si>
  <si>
    <t xml:space="preserve">Client requires SC clearance for BIP team but no cleared personnel are available — creates 3–6 month delay at engagement start for Defence/Justice clients</t>
  </si>
  <si>
    <t xml:space="preserve">Paul to begin SC application process immediately — this is on the critical path for Defence-sector clients. Identify 1–2 BIP colleagues for parallel applications. Design onboarding to work with redacted/sanitised data until clearance confirmed.</t>
  </si>
  <si>
    <t xml:space="preserve">Paul</t>
  </si>
  <si>
    <t xml:space="preserve">R-13</t>
  </si>
  <si>
    <t xml:space="preserve">AI data residency objection raised by client InfoSec during procurement — blocks engagement despite strong commercial case</t>
  </si>
  <si>
    <t xml:space="preserve">Engagement conversion</t>
  </si>
  <si>
    <t xml:space="preserve">Pre-build the AWS Bedrock and Google Vertex integrations so they are demonstrable, not theoretical. Prepare a one-page data handling summary for InfoSec teams showing: processing location, retention period, training exclusion, sub-processors. Have DPA template ready before first pitch.</t>
  </si>
  <si>
    <t xml:space="preserve">OB-25, OB-26, OB-27</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</si>
</sst>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8"/>
      <color rgb="FF64748B"/>
      <name val="Arial"/>
      <family val="0"/>
      <charset val="1"/>
    </font>
    <font>
      <b val="true"/>
      <sz val="9"/>
      <color rgb="FFFFFFFF"/>
      <name val="Arial"/>
      <family val="0"/>
      <charset val="1"/>
    </font>
    <font>
      <b val="true"/>
      <sz val="9"/>
      <color rgb="FF1E3A6E"/>
      <name val="Arial"/>
      <family val="0"/>
      <charset val="1"/>
    </font>
    <font>
      <sz val="9"/>
      <color rgb="FF64748B"/>
      <name val="Arial"/>
      <family val="0"/>
      <charset val="1"/>
    </font>
    <font>
      <b val="true"/>
      <sz val="9"/>
      <color rgb="FF0B1628"/>
      <name val="Arial"/>
      <family val="0"/>
      <charset val="1"/>
    </font>
    <font>
      <sz val="8"/>
      <color rgb="FF64748B"/>
      <name val="Arial"/>
      <family val="0"/>
      <charset val="1"/>
    </font>
    <font>
      <sz val="9"/>
      <color rgb="FF1E3A6E"/>
      <name val="Arial"/>
      <family val="0"/>
      <charset val="1"/>
    </font>
    <font>
      <b val="true"/>
      <sz val="10"/>
      <color rgb="FFB91C1C"/>
      <name val="Arial"/>
      <family val="0"/>
      <charset val="1"/>
    </font>
    <font>
      <b val="true"/>
      <sz val="10"/>
      <color rgb="FFE8920A"/>
      <name val="Arial"/>
      <family val="0"/>
      <charset val="1"/>
    </font>
    <font>
      <b val="true"/>
      <sz val="11"/>
      <color rgb="FF0B1628"/>
      <name val="Arial"/>
      <family val="0"/>
      <charset val="1"/>
    </font>
    <font>
      <b val="true"/>
      <sz val="10"/>
      <color rgb="FF1A7A4A"/>
      <name val="Arial"/>
      <family val="0"/>
      <charset val="1"/>
    </font>
    <font>
      <b val="true"/>
      <sz val="8"/>
      <color rgb="FF1E3A6E"/>
      <name val="Arial"/>
      <family val="0"/>
      <charset val="1"/>
    </font>
    <font>
      <sz val="9"/>
      <color rgb="FF0F7EA6"/>
      <name val="Arial"/>
      <family val="0"/>
      <charset val="1"/>
    </font>
  </fonts>
  <fills count="10">
    <fill>
      <patternFill patternType="none"/>
    </fill>
    <fill>
      <patternFill patternType="gray125"/>
    </fill>
    <fill>
      <patternFill patternType="solid">
        <fgColor rgb="FF1E3A6E"/>
        <bgColor rgb="FF333399"/>
      </patternFill>
    </fill>
    <fill>
      <patternFill patternType="solid">
        <fgColor rgb="FFF7F9FC"/>
        <bgColor rgb="FFFDF8ED"/>
      </patternFill>
    </fill>
    <fill>
      <patternFill patternType="solid">
        <fgColor rgb="FF0B1628"/>
        <bgColor rgb="FF000000"/>
      </patternFill>
    </fill>
    <fill>
      <patternFill patternType="solid">
        <fgColor rgb="FFFEF2F2"/>
        <bgColor rgb="FFFEF3E8"/>
      </patternFill>
    </fill>
    <fill>
      <patternFill patternType="solid">
        <fgColor rgb="FFFEF3E8"/>
        <bgColor rgb="FFFEF2F2"/>
      </patternFill>
    </fill>
    <fill>
      <patternFill patternType="solid">
        <fgColor rgb="FFFDF8ED"/>
        <bgColor rgb="FFFEF3E8"/>
      </patternFill>
    </fill>
    <fill>
      <patternFill patternType="solid">
        <fgColor rgb="FFFFFFFF"/>
        <bgColor rgb="FFF7F9FC"/>
      </patternFill>
    </fill>
    <fill>
      <patternFill patternType="solid">
        <fgColor rgb="FFE4F5EC"/>
        <bgColor rgb="FFF7F9FC"/>
      </patternFill>
    </fill>
  </fills>
  <borders count="3">
    <border diagonalUp="false" diagonalDown="false">
      <left/>
      <right/>
      <top/>
      <bottom/>
      <diagonal/>
    </border>
    <border diagonalUp="false" diagonalDown="false">
      <left style="thin">
        <color rgb="FFD1D5DB"/>
      </left>
      <right/>
      <top style="thin">
        <color rgb="FFD1D5DB"/>
      </top>
      <bottom style="thin">
        <color rgb="FFD1D5DB"/>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left" vertical="center" textRotation="0" wrapText="true" indent="0" shrinkToFit="false"/>
      <protection locked="true" hidden="false"/>
    </xf>
    <xf numFmtId="164" fontId="9" fillId="3" borderId="2" xfId="0" applyFont="true" applyBorder="true" applyAlignment="true" applyProtection="false">
      <alignment horizontal="left" vertical="center" textRotation="0" wrapText="true" indent="0" shrinkToFit="false"/>
      <protection locked="true" hidden="false"/>
    </xf>
    <xf numFmtId="164" fontId="10" fillId="3" borderId="2" xfId="0" applyFont="true" applyBorder="true" applyAlignment="true" applyProtection="false">
      <alignment horizontal="left" vertical="center" textRotation="0" wrapText="tru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13" fillId="6" borderId="2" xfId="0" applyFont="true" applyBorder="true" applyAlignment="true" applyProtection="false">
      <alignment horizontal="center" vertical="center" textRotation="0" wrapText="true" indent="0" shrinkToFit="false"/>
      <protection locked="true" hidden="false"/>
    </xf>
    <xf numFmtId="165" fontId="14" fillId="7" borderId="2" xfId="0" applyFont="true" applyBorder="true" applyAlignment="true" applyProtection="false">
      <alignment horizontal="center" vertical="center" textRotation="0" wrapText="true" indent="0" shrinkToFit="false"/>
      <protection locked="true" hidden="false"/>
    </xf>
    <xf numFmtId="164" fontId="7" fillId="8" borderId="2" xfId="0" applyFont="true" applyBorder="true" applyAlignment="true" applyProtection="false">
      <alignment horizontal="center" vertical="center" textRotation="0" wrapText="true" indent="0" shrinkToFit="false"/>
      <protection locked="true" hidden="false"/>
    </xf>
    <xf numFmtId="164" fontId="8" fillId="8" borderId="2" xfId="0" applyFont="true" applyBorder="true" applyAlignment="true" applyProtection="false">
      <alignment horizontal="left" vertical="center" textRotation="0" wrapText="true" indent="0" shrinkToFit="false"/>
      <protection locked="true" hidden="false"/>
    </xf>
    <xf numFmtId="164" fontId="9" fillId="8" borderId="2" xfId="0" applyFont="true" applyBorder="true" applyAlignment="true" applyProtection="false">
      <alignment horizontal="left" vertical="center" textRotation="0" wrapText="true" indent="0" shrinkToFit="false"/>
      <protection locked="true" hidden="false"/>
    </xf>
    <xf numFmtId="164" fontId="10" fillId="8" borderId="2" xfId="0" applyFont="true" applyBorder="true" applyAlignment="true" applyProtection="false">
      <alignment horizontal="left" vertical="center" textRotation="0" wrapText="true" indent="0" shrinkToFit="false"/>
      <protection locked="true" hidden="false"/>
    </xf>
    <xf numFmtId="164" fontId="11" fillId="8" borderId="2" xfId="0" applyFont="true" applyBorder="true" applyAlignment="true" applyProtection="false">
      <alignment horizontal="center" vertical="center" textRotation="0" wrapText="true" indent="0" shrinkToFit="false"/>
      <protection locked="true" hidden="false"/>
    </xf>
    <xf numFmtId="164" fontId="15" fillId="9" borderId="2" xfId="0" applyFont="true" applyBorder="true" applyAlignment="true" applyProtection="false">
      <alignment horizontal="center" vertical="center" textRotation="0" wrapText="true" indent="0" shrinkToFit="false"/>
      <protection locked="true" hidden="false"/>
    </xf>
    <xf numFmtId="164" fontId="16" fillId="7" borderId="2" xfId="0" applyFont="true" applyBorder="true" applyAlignment="true" applyProtection="false">
      <alignment horizontal="left" vertical="center" textRotation="0" wrapText="true" indent="0"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4" fontId="17" fillId="3" borderId="2" xfId="0" applyFont="true" applyBorder="true" applyAlignment="true" applyProtection="false">
      <alignment horizontal="center" vertical="center" textRotation="0" wrapText="true" indent="0" shrinkToFit="false"/>
      <protection locked="true" hidden="false"/>
    </xf>
    <xf numFmtId="164" fontId="10" fillId="8" borderId="2" xfId="0" applyFont="true" applyBorder="true" applyAlignment="true" applyProtection="false">
      <alignment horizontal="center" vertical="center" textRotation="0" wrapText="true" indent="0" shrinkToFit="false"/>
      <protection locked="true" hidden="false"/>
    </xf>
    <xf numFmtId="164" fontId="17" fillId="8"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EA6"/>
      <rgbColor rgb="FFC0C0C0"/>
      <rgbColor rgb="FF808080"/>
      <rgbColor rgb="FF9999FF"/>
      <rgbColor rgb="FF993366"/>
      <rgbColor rgb="FFFDF8ED"/>
      <rgbColor rgb="FFE4F5EC"/>
      <rgbColor rgb="FF660066"/>
      <rgbColor rgb="FFFF8080"/>
      <rgbColor rgb="FF0066CC"/>
      <rgbColor rgb="FFD1D5DB"/>
      <rgbColor rgb="FF000080"/>
      <rgbColor rgb="FFFF00FF"/>
      <rgbColor rgb="FFFFFF00"/>
      <rgbColor rgb="FF00FFFF"/>
      <rgbColor rgb="FF800080"/>
      <rgbColor rgb="FF800000"/>
      <rgbColor rgb="FF1A7A4A"/>
      <rgbColor rgb="FF0000FF"/>
      <rgbColor rgb="FF00CCFF"/>
      <rgbColor rgb="FFF7F9FC"/>
      <rgbColor rgb="FFFEF2F2"/>
      <rgbColor rgb="FFFEF3E8"/>
      <rgbColor rgb="FF99CCFF"/>
      <rgbColor rgb="FFFF99CC"/>
      <rgbColor rgb="FFCC99FF"/>
      <rgbColor rgb="FFFFCC99"/>
      <rgbColor rgb="FF3366FF"/>
      <rgbColor rgb="FF33CCCC"/>
      <rgbColor rgb="FF99CC00"/>
      <rgbColor rgb="FFFFCC00"/>
      <rgbColor rgb="FFE8920A"/>
      <rgbColor rgb="FFFF6600"/>
      <rgbColor rgb="FF64748B"/>
      <rgbColor rgb="FF969696"/>
      <rgbColor rgb="FF1E3A6E"/>
      <rgbColor rgb="FF339966"/>
      <rgbColor rgb="FF0B1628"/>
      <rgbColor rgb="FF333300"/>
      <rgbColor rgb="FFB9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40"/>
    <col collapsed="false" customWidth="true" hidden="false" outlineLevel="0" max="4" min="4" style="1" width="52"/>
    <col collapsed="false" customWidth="true" hidden="false" outlineLevel="0" max="5" min="5" style="1" width="14"/>
    <col collapsed="false" customWidth="true" hidden="false" outlineLevel="0" max="11" min="6" style="1" width="10"/>
    <col collapsed="false" customWidth="true" hidden="false" outlineLevel="0" max="12" min="12" style="1" width="12"/>
    <col collapsed="false" customWidth="true" hidden="false" outlineLevel="0" max="15" min="13" style="1" width="14"/>
  </cols>
  <sheetData>
    <row r="1" customFormat="false" ht="37.5" hidden="false" customHeight="true" outlineLevel="0" collapsed="false">
      <c r="A1" s="2" t="s">
        <v>0</v>
      </c>
      <c r="B1" s="2"/>
      <c r="C1" s="2"/>
      <c r="D1" s="2"/>
      <c r="E1" s="2"/>
      <c r="F1" s="2"/>
      <c r="G1" s="2"/>
      <c r="H1" s="2"/>
      <c r="I1" s="2"/>
      <c r="J1" s="2"/>
      <c r="K1" s="2"/>
      <c r="L1" s="2"/>
      <c r="M1" s="2"/>
      <c r="N1" s="2"/>
      <c r="O1" s="2"/>
    </row>
    <row r="2" customFormat="false" ht="13.5" hidden="false" customHeight="true" outlineLevel="0" collapsed="false"/>
    <row r="3" customFormat="false" ht="21.75" hidden="false" customHeight="true" outlineLevel="0" collapsed="false">
      <c r="A3" s="3" t="s">
        <v>1</v>
      </c>
      <c r="B3" s="3"/>
      <c r="C3" s="3"/>
      <c r="D3" s="3"/>
      <c r="E3" s="3"/>
      <c r="F3" s="3"/>
      <c r="G3" s="3"/>
      <c r="H3" s="3"/>
      <c r="I3" s="3"/>
      <c r="J3" s="3"/>
      <c r="K3" s="3"/>
      <c r="L3" s="3"/>
      <c r="M3" s="3"/>
      <c r="N3" s="3"/>
      <c r="O3" s="3"/>
    </row>
    <row r="4" customFormat="false" ht="36"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row>
    <row r="5" customFormat="false" ht="72" hidden="false" customHeight="true" outlineLevel="0" collapsed="false">
      <c r="A5" s="5" t="s">
        <v>17</v>
      </c>
      <c r="B5" s="6" t="s">
        <v>18</v>
      </c>
      <c r="C5" s="7" t="s">
        <v>19</v>
      </c>
      <c r="D5" s="8" t="s">
        <v>20</v>
      </c>
      <c r="E5" s="9" t="s">
        <v>21</v>
      </c>
      <c r="F5" s="10" t="s">
        <v>22</v>
      </c>
      <c r="G5" s="10" t="s">
        <v>22</v>
      </c>
      <c r="H5" s="11" t="s">
        <v>23</v>
      </c>
      <c r="I5" s="10" t="s">
        <v>22</v>
      </c>
      <c r="J5" s="11" t="s">
        <v>23</v>
      </c>
      <c r="K5" s="12" t="n">
        <f aca="false">SUMPRODUCT((F5:J5="H")*3)+SUMPRODUCT((F5:J5="M")*2)+SUMPRODUCT((F5:J5="L")*1)</f>
        <v>13</v>
      </c>
      <c r="L5" s="8" t="s">
        <v>24</v>
      </c>
      <c r="M5" s="8" t="s">
        <v>25</v>
      </c>
      <c r="N5" s="8" t="s">
        <v>26</v>
      </c>
      <c r="O5" s="8" t="s">
        <v>27</v>
      </c>
    </row>
    <row r="6" customFormat="false" ht="72" hidden="false" customHeight="true" outlineLevel="0" collapsed="false">
      <c r="A6" s="13" t="s">
        <v>28</v>
      </c>
      <c r="B6" s="14" t="s">
        <v>18</v>
      </c>
      <c r="C6" s="15" t="s">
        <v>29</v>
      </c>
      <c r="D6" s="16" t="s">
        <v>30</v>
      </c>
      <c r="E6" s="17" t="s">
        <v>31</v>
      </c>
      <c r="F6" s="11" t="s">
        <v>23</v>
      </c>
      <c r="G6" s="18" t="s">
        <v>32</v>
      </c>
      <c r="H6" s="18" t="s">
        <v>32</v>
      </c>
      <c r="I6" s="11" t="s">
        <v>23</v>
      </c>
      <c r="J6" s="18" t="s">
        <v>32</v>
      </c>
      <c r="K6" s="12" t="n">
        <f aca="false">SUMPRODUCT((F6:J6="H")*3)+SUMPRODUCT((F6:J6="M")*2)+SUMPRODUCT((F6:J6="L")*1)</f>
        <v>7</v>
      </c>
      <c r="L6" s="16" t="s">
        <v>33</v>
      </c>
      <c r="M6" s="16" t="s">
        <v>34</v>
      </c>
      <c r="N6" s="16" t="s">
        <v>35</v>
      </c>
      <c r="O6" s="16" t="s">
        <v>36</v>
      </c>
    </row>
    <row r="7" customFormat="false" ht="72" hidden="false" customHeight="true" outlineLevel="0" collapsed="false">
      <c r="A7" s="5" t="s">
        <v>37</v>
      </c>
      <c r="B7" s="6" t="s">
        <v>18</v>
      </c>
      <c r="C7" s="7" t="s">
        <v>38</v>
      </c>
      <c r="D7" s="8" t="s">
        <v>39</v>
      </c>
      <c r="E7" s="9" t="s">
        <v>31</v>
      </c>
      <c r="F7" s="11" t="s">
        <v>23</v>
      </c>
      <c r="G7" s="18" t="s">
        <v>32</v>
      </c>
      <c r="H7" s="11" t="s">
        <v>23</v>
      </c>
      <c r="I7" s="10" t="s">
        <v>22</v>
      </c>
      <c r="J7" s="18" t="s">
        <v>32</v>
      </c>
      <c r="K7" s="12" t="n">
        <f aca="false">SUMPRODUCT((F7:J7="H")*3)+SUMPRODUCT((F7:J7="M")*2)+SUMPRODUCT((F7:J7="L")*1)</f>
        <v>9</v>
      </c>
      <c r="L7" s="8" t="s">
        <v>33</v>
      </c>
      <c r="M7" s="8" t="s">
        <v>40</v>
      </c>
      <c r="N7" s="8" t="s">
        <v>41</v>
      </c>
      <c r="O7" s="8" t="s">
        <v>42</v>
      </c>
    </row>
    <row r="8" customFormat="false" ht="72" hidden="false" customHeight="true" outlineLevel="0" collapsed="false">
      <c r="A8" s="13" t="s">
        <v>43</v>
      </c>
      <c r="B8" s="14" t="s">
        <v>18</v>
      </c>
      <c r="C8" s="15" t="s">
        <v>44</v>
      </c>
      <c r="D8" s="16" t="s">
        <v>45</v>
      </c>
      <c r="E8" s="17" t="s">
        <v>46</v>
      </c>
      <c r="F8" s="10" t="s">
        <v>22</v>
      </c>
      <c r="G8" s="11" t="s">
        <v>23</v>
      </c>
      <c r="H8" s="18" t="s">
        <v>32</v>
      </c>
      <c r="I8" s="11" t="s">
        <v>23</v>
      </c>
      <c r="J8" s="11" t="s">
        <v>23</v>
      </c>
      <c r="K8" s="12" t="n">
        <f aca="false">SUMPRODUCT((F8:J8="H")*3)+SUMPRODUCT((F8:J8="M")*2)+SUMPRODUCT((F8:J8="L")*1)</f>
        <v>10</v>
      </c>
      <c r="L8" s="16" t="s">
        <v>47</v>
      </c>
      <c r="M8" s="16" t="s">
        <v>48</v>
      </c>
      <c r="N8" s="16" t="s">
        <v>49</v>
      </c>
      <c r="O8" s="16" t="s">
        <v>50</v>
      </c>
    </row>
    <row r="9" customFormat="false" ht="72" hidden="false" customHeight="true" outlineLevel="0" collapsed="false">
      <c r="A9" s="5" t="s">
        <v>51</v>
      </c>
      <c r="B9" s="6" t="s">
        <v>18</v>
      </c>
      <c r="C9" s="7" t="s">
        <v>52</v>
      </c>
      <c r="D9" s="8" t="s">
        <v>53</v>
      </c>
      <c r="E9" s="9" t="s">
        <v>46</v>
      </c>
      <c r="F9" s="11" t="s">
        <v>23</v>
      </c>
      <c r="G9" s="11" t="s">
        <v>23</v>
      </c>
      <c r="H9" s="10" t="s">
        <v>22</v>
      </c>
      <c r="I9" s="11" t="s">
        <v>23</v>
      </c>
      <c r="J9" s="18" t="s">
        <v>32</v>
      </c>
      <c r="K9" s="12" t="n">
        <f aca="false">SUMPRODUCT((F9:J9="H")*3)+SUMPRODUCT((F9:J9="M")*2)+SUMPRODUCT((F9:J9="L")*1)</f>
        <v>10</v>
      </c>
      <c r="L9" s="8" t="s">
        <v>33</v>
      </c>
      <c r="M9" s="8" t="s">
        <v>54</v>
      </c>
      <c r="N9" s="8" t="s">
        <v>55</v>
      </c>
      <c r="O9" s="8" t="s">
        <v>56</v>
      </c>
    </row>
    <row r="10" customFormat="false" ht="72" hidden="false" customHeight="true" outlineLevel="0" collapsed="false">
      <c r="A10" s="13" t="s">
        <v>57</v>
      </c>
      <c r="B10" s="14" t="s">
        <v>18</v>
      </c>
      <c r="C10" s="15" t="s">
        <v>58</v>
      </c>
      <c r="D10" s="16" t="s">
        <v>59</v>
      </c>
      <c r="E10" s="17" t="s">
        <v>46</v>
      </c>
      <c r="F10" s="10" t="s">
        <v>22</v>
      </c>
      <c r="G10" s="18" t="s">
        <v>32</v>
      </c>
      <c r="H10" s="11" t="s">
        <v>23</v>
      </c>
      <c r="I10" s="10" t="s">
        <v>22</v>
      </c>
      <c r="J10" s="18" t="s">
        <v>32</v>
      </c>
      <c r="K10" s="12" t="n">
        <f aca="false">SUMPRODUCT((F10:J10="H")*3)+SUMPRODUCT((F10:J10="M")*2)+SUMPRODUCT((F10:J10="L")*1)</f>
        <v>10</v>
      </c>
      <c r="L10" s="16" t="s">
        <v>60</v>
      </c>
      <c r="M10" s="16" t="s">
        <v>61</v>
      </c>
      <c r="N10" s="16" t="s">
        <v>62</v>
      </c>
      <c r="O10" s="16" t="s">
        <v>63</v>
      </c>
    </row>
    <row r="11" customFormat="false" ht="72" hidden="false" customHeight="true" outlineLevel="0" collapsed="false">
      <c r="A11" s="5" t="s">
        <v>64</v>
      </c>
      <c r="B11" s="6" t="s">
        <v>65</v>
      </c>
      <c r="C11" s="7" t="s">
        <v>66</v>
      </c>
      <c r="D11" s="8" t="s">
        <v>67</v>
      </c>
      <c r="E11" s="9" t="s">
        <v>68</v>
      </c>
      <c r="F11" s="11" t="s">
        <v>23</v>
      </c>
      <c r="G11" s="10" t="s">
        <v>22</v>
      </c>
      <c r="H11" s="10" t="s">
        <v>22</v>
      </c>
      <c r="I11" s="11" t="s">
        <v>23</v>
      </c>
      <c r="J11" s="10" t="s">
        <v>22</v>
      </c>
      <c r="K11" s="12" t="n">
        <f aca="false">SUMPRODUCT((F11:J11="H")*3)+SUMPRODUCT((F11:J11="M")*2)+SUMPRODUCT((F11:J11="L")*1)</f>
        <v>13</v>
      </c>
      <c r="L11" s="8" t="s">
        <v>69</v>
      </c>
      <c r="M11" s="8" t="s">
        <v>70</v>
      </c>
      <c r="N11" s="8" t="s">
        <v>71</v>
      </c>
      <c r="O11" s="8" t="s">
        <v>72</v>
      </c>
    </row>
    <row r="12" customFormat="false" ht="72" hidden="false" customHeight="true" outlineLevel="0" collapsed="false">
      <c r="A12" s="13" t="s">
        <v>73</v>
      </c>
      <c r="B12" s="14" t="s">
        <v>65</v>
      </c>
      <c r="C12" s="15" t="s">
        <v>74</v>
      </c>
      <c r="D12" s="16" t="s">
        <v>75</v>
      </c>
      <c r="E12" s="17" t="s">
        <v>21</v>
      </c>
      <c r="F12" s="18" t="s">
        <v>32</v>
      </c>
      <c r="G12" s="11" t="s">
        <v>23</v>
      </c>
      <c r="H12" s="11" t="s">
        <v>23</v>
      </c>
      <c r="I12" s="18" t="s">
        <v>32</v>
      </c>
      <c r="J12" s="18" t="s">
        <v>32</v>
      </c>
      <c r="K12" s="12" t="n">
        <f aca="false">SUMPRODUCT((F12:J12="H")*3)+SUMPRODUCT((F12:J12="M")*2)+SUMPRODUCT((F12:J12="L")*1)</f>
        <v>7</v>
      </c>
      <c r="L12" s="16" t="s">
        <v>33</v>
      </c>
      <c r="M12" s="16" t="s">
        <v>76</v>
      </c>
      <c r="N12" s="16" t="s">
        <v>77</v>
      </c>
      <c r="O12" s="16" t="s">
        <v>78</v>
      </c>
    </row>
    <row r="13" customFormat="false" ht="72" hidden="false" customHeight="true" outlineLevel="0" collapsed="false">
      <c r="A13" s="5" t="s">
        <v>79</v>
      </c>
      <c r="B13" s="6" t="s">
        <v>65</v>
      </c>
      <c r="C13" s="7" t="s">
        <v>80</v>
      </c>
      <c r="D13" s="8" t="s">
        <v>81</v>
      </c>
      <c r="E13" s="9" t="s">
        <v>31</v>
      </c>
      <c r="F13" s="18" t="s">
        <v>32</v>
      </c>
      <c r="G13" s="11" t="s">
        <v>23</v>
      </c>
      <c r="H13" s="18" t="s">
        <v>32</v>
      </c>
      <c r="I13" s="18" t="s">
        <v>32</v>
      </c>
      <c r="J13" s="18" t="s">
        <v>32</v>
      </c>
      <c r="K13" s="12" t="n">
        <f aca="false">SUMPRODUCT((F13:J13="H")*3)+SUMPRODUCT((F13:J13="M")*2)+SUMPRODUCT((F13:J13="L")*1)</f>
        <v>6</v>
      </c>
      <c r="L13" s="8" t="s">
        <v>33</v>
      </c>
      <c r="M13" s="8" t="s">
        <v>82</v>
      </c>
      <c r="N13" s="8" t="s">
        <v>83</v>
      </c>
      <c r="O13" s="8" t="s">
        <v>84</v>
      </c>
    </row>
    <row r="14" customFormat="false" ht="72" hidden="false" customHeight="true" outlineLevel="0" collapsed="false">
      <c r="A14" s="13" t="s">
        <v>85</v>
      </c>
      <c r="B14" s="14" t="s">
        <v>65</v>
      </c>
      <c r="C14" s="15" t="s">
        <v>86</v>
      </c>
      <c r="D14" s="16" t="s">
        <v>87</v>
      </c>
      <c r="E14" s="17" t="s">
        <v>46</v>
      </c>
      <c r="F14" s="18" t="s">
        <v>32</v>
      </c>
      <c r="G14" s="11" t="s">
        <v>23</v>
      </c>
      <c r="H14" s="11" t="s">
        <v>23</v>
      </c>
      <c r="I14" s="18" t="s">
        <v>32</v>
      </c>
      <c r="J14" s="18" t="s">
        <v>32</v>
      </c>
      <c r="K14" s="12" t="n">
        <f aca="false">SUMPRODUCT((F14:J14="H")*3)+SUMPRODUCT((F14:J14="M")*2)+SUMPRODUCT((F14:J14="L")*1)</f>
        <v>7</v>
      </c>
      <c r="L14" s="16" t="s">
        <v>33</v>
      </c>
      <c r="M14" s="16" t="s">
        <v>88</v>
      </c>
      <c r="N14" s="16" t="s">
        <v>89</v>
      </c>
      <c r="O14" s="16" t="s">
        <v>90</v>
      </c>
    </row>
    <row r="15" customFormat="false" ht="72" hidden="false" customHeight="true" outlineLevel="0" collapsed="false">
      <c r="A15" s="5" t="s">
        <v>91</v>
      </c>
      <c r="B15" s="6" t="s">
        <v>65</v>
      </c>
      <c r="C15" s="7" t="s">
        <v>92</v>
      </c>
      <c r="D15" s="8" t="s">
        <v>93</v>
      </c>
      <c r="E15" s="9" t="s">
        <v>46</v>
      </c>
      <c r="F15" s="11" t="s">
        <v>23</v>
      </c>
      <c r="G15" s="11" t="s">
        <v>23</v>
      </c>
      <c r="H15" s="11" t="s">
        <v>23</v>
      </c>
      <c r="I15" s="11" t="s">
        <v>23</v>
      </c>
      <c r="J15" s="11" t="s">
        <v>23</v>
      </c>
      <c r="K15" s="12" t="n">
        <f aca="false">SUMPRODUCT((F15:J15="H")*3)+SUMPRODUCT((F15:J15="M")*2)+SUMPRODUCT((F15:J15="L")*1)</f>
        <v>10</v>
      </c>
      <c r="L15" s="8" t="s">
        <v>94</v>
      </c>
      <c r="M15" s="8" t="s">
        <v>95</v>
      </c>
      <c r="N15" s="8" t="s">
        <v>96</v>
      </c>
      <c r="O15" s="8" t="s">
        <v>97</v>
      </c>
    </row>
    <row r="16" customFormat="false" ht="72" hidden="false" customHeight="true" outlineLevel="0" collapsed="false">
      <c r="A16" s="13" t="s">
        <v>98</v>
      </c>
      <c r="B16" s="14" t="s">
        <v>99</v>
      </c>
      <c r="C16" s="15" t="s">
        <v>100</v>
      </c>
      <c r="D16" s="16" t="s">
        <v>101</v>
      </c>
      <c r="E16" s="17" t="s">
        <v>102</v>
      </c>
      <c r="F16" s="10" t="s">
        <v>22</v>
      </c>
      <c r="G16" s="18" t="s">
        <v>32</v>
      </c>
      <c r="H16" s="10" t="s">
        <v>22</v>
      </c>
      <c r="I16" s="11" t="s">
        <v>23</v>
      </c>
      <c r="J16" s="18" t="s">
        <v>32</v>
      </c>
      <c r="K16" s="12" t="n">
        <f aca="false">SUMPRODUCT((F16:J16="H")*3)+SUMPRODUCT((F16:J16="M")*2)+SUMPRODUCT((F16:J16="L")*1)</f>
        <v>10</v>
      </c>
      <c r="L16" s="16" t="s">
        <v>103</v>
      </c>
      <c r="M16" s="16" t="s">
        <v>104</v>
      </c>
      <c r="N16" s="16" t="s">
        <v>105</v>
      </c>
      <c r="O16" s="16" t="s">
        <v>106</v>
      </c>
    </row>
    <row r="17" customFormat="false" ht="72" hidden="false" customHeight="true" outlineLevel="0" collapsed="false">
      <c r="A17" s="5" t="s">
        <v>107</v>
      </c>
      <c r="B17" s="6" t="s">
        <v>99</v>
      </c>
      <c r="C17" s="7" t="s">
        <v>108</v>
      </c>
      <c r="D17" s="8" t="s">
        <v>109</v>
      </c>
      <c r="E17" s="9" t="s">
        <v>21</v>
      </c>
      <c r="F17" s="11" t="s">
        <v>23</v>
      </c>
      <c r="G17" s="18" t="s">
        <v>32</v>
      </c>
      <c r="H17" s="18" t="s">
        <v>32</v>
      </c>
      <c r="I17" s="11" t="s">
        <v>23</v>
      </c>
      <c r="J17" s="18" t="s">
        <v>32</v>
      </c>
      <c r="K17" s="12" t="n">
        <f aca="false">SUMPRODUCT((F17:J17="H")*3)+SUMPRODUCT((F17:J17="M")*2)+SUMPRODUCT((F17:J17="L")*1)</f>
        <v>7</v>
      </c>
      <c r="L17" s="8" t="s">
        <v>33</v>
      </c>
      <c r="M17" s="8" t="s">
        <v>110</v>
      </c>
      <c r="N17" s="8" t="s">
        <v>111</v>
      </c>
      <c r="O17" s="8" t="s">
        <v>112</v>
      </c>
    </row>
    <row r="18" customFormat="false" ht="72" hidden="false" customHeight="true" outlineLevel="0" collapsed="false">
      <c r="A18" s="13" t="s">
        <v>113</v>
      </c>
      <c r="B18" s="14" t="s">
        <v>99</v>
      </c>
      <c r="C18" s="15" t="s">
        <v>114</v>
      </c>
      <c r="D18" s="16" t="s">
        <v>115</v>
      </c>
      <c r="E18" s="17" t="s">
        <v>46</v>
      </c>
      <c r="F18" s="11" t="s">
        <v>23</v>
      </c>
      <c r="G18" s="18" t="s">
        <v>32</v>
      </c>
      <c r="H18" s="10" t="s">
        <v>22</v>
      </c>
      <c r="I18" s="10" t="s">
        <v>22</v>
      </c>
      <c r="J18" s="18" t="s">
        <v>32</v>
      </c>
      <c r="K18" s="12" t="n">
        <f aca="false">SUMPRODUCT((F18:J18="H")*3)+SUMPRODUCT((F18:J18="M")*2)+SUMPRODUCT((F18:J18="L")*1)</f>
        <v>10</v>
      </c>
      <c r="L18" s="16" t="s">
        <v>116</v>
      </c>
      <c r="M18" s="16" t="s">
        <v>117</v>
      </c>
      <c r="N18" s="16" t="s">
        <v>118</v>
      </c>
      <c r="O18" s="16" t="s">
        <v>119</v>
      </c>
    </row>
    <row r="19" customFormat="false" ht="72" hidden="false" customHeight="true" outlineLevel="0" collapsed="false">
      <c r="A19" s="5" t="s">
        <v>120</v>
      </c>
      <c r="B19" s="6" t="s">
        <v>99</v>
      </c>
      <c r="C19" s="7" t="s">
        <v>121</v>
      </c>
      <c r="D19" s="8" t="s">
        <v>122</v>
      </c>
      <c r="E19" s="9" t="s">
        <v>21</v>
      </c>
      <c r="F19" s="11" t="s">
        <v>23</v>
      </c>
      <c r="G19" s="11" t="s">
        <v>23</v>
      </c>
      <c r="H19" s="10" t="s">
        <v>22</v>
      </c>
      <c r="I19" s="10" t="s">
        <v>22</v>
      </c>
      <c r="J19" s="11" t="s">
        <v>23</v>
      </c>
      <c r="K19" s="12" t="n">
        <f aca="false">SUMPRODUCT((F19:J19="H")*3)+SUMPRODUCT((F19:J19="M")*2)+SUMPRODUCT((F19:J19="L")*1)</f>
        <v>12</v>
      </c>
      <c r="L19" s="8" t="s">
        <v>123</v>
      </c>
      <c r="M19" s="8" t="s">
        <v>124</v>
      </c>
      <c r="N19" s="8" t="s">
        <v>125</v>
      </c>
      <c r="O19" s="8" t="s">
        <v>126</v>
      </c>
    </row>
    <row r="20" customFormat="false" ht="72" hidden="false" customHeight="true" outlineLevel="0" collapsed="false">
      <c r="A20" s="13" t="s">
        <v>127</v>
      </c>
      <c r="B20" s="14" t="s">
        <v>99</v>
      </c>
      <c r="C20" s="15" t="s">
        <v>128</v>
      </c>
      <c r="D20" s="16" t="s">
        <v>129</v>
      </c>
      <c r="E20" s="17" t="s">
        <v>130</v>
      </c>
      <c r="F20" s="10" t="s">
        <v>22</v>
      </c>
      <c r="G20" s="11" t="s">
        <v>23</v>
      </c>
      <c r="H20" s="11" t="s">
        <v>23</v>
      </c>
      <c r="I20" s="11" t="s">
        <v>23</v>
      </c>
      <c r="J20" s="11" t="s">
        <v>23</v>
      </c>
      <c r="K20" s="12" t="n">
        <f aca="false">SUMPRODUCT((F20:J20="H")*3)+SUMPRODUCT((F20:J20="M")*2)+SUMPRODUCT((F20:J20="L")*1)</f>
        <v>11</v>
      </c>
      <c r="L20" s="16" t="s">
        <v>131</v>
      </c>
      <c r="M20" s="16" t="s">
        <v>132</v>
      </c>
      <c r="N20" s="16" t="s">
        <v>133</v>
      </c>
      <c r="O20" s="16" t="s">
        <v>134</v>
      </c>
    </row>
    <row r="21" customFormat="false" ht="72" hidden="false" customHeight="true" outlineLevel="0" collapsed="false">
      <c r="A21" s="5" t="s">
        <v>135</v>
      </c>
      <c r="B21" s="6" t="s">
        <v>136</v>
      </c>
      <c r="C21" s="7" t="s">
        <v>137</v>
      </c>
      <c r="D21" s="8" t="s">
        <v>138</v>
      </c>
      <c r="E21" s="9" t="s">
        <v>31</v>
      </c>
      <c r="F21" s="11" t="s">
        <v>23</v>
      </c>
      <c r="G21" s="18" t="s">
        <v>32</v>
      </c>
      <c r="H21" s="11" t="s">
        <v>23</v>
      </c>
      <c r="I21" s="11" t="s">
        <v>23</v>
      </c>
      <c r="J21" s="10" t="s">
        <v>22</v>
      </c>
      <c r="K21" s="12" t="n">
        <f aca="false">SUMPRODUCT((F21:J21="H")*3)+SUMPRODUCT((F21:J21="M")*2)+SUMPRODUCT((F21:J21="L")*1)</f>
        <v>10</v>
      </c>
      <c r="L21" s="8" t="s">
        <v>103</v>
      </c>
      <c r="M21" s="8" t="s">
        <v>139</v>
      </c>
      <c r="N21" s="8" t="s">
        <v>140</v>
      </c>
      <c r="O21" s="8" t="s">
        <v>141</v>
      </c>
    </row>
    <row r="22" customFormat="false" ht="72" hidden="false" customHeight="true" outlineLevel="0" collapsed="false">
      <c r="A22" s="13" t="s">
        <v>142</v>
      </c>
      <c r="B22" s="14" t="s">
        <v>136</v>
      </c>
      <c r="C22" s="15" t="s">
        <v>143</v>
      </c>
      <c r="D22" s="16" t="s">
        <v>144</v>
      </c>
      <c r="E22" s="17" t="s">
        <v>31</v>
      </c>
      <c r="F22" s="11" t="s">
        <v>23</v>
      </c>
      <c r="G22" s="18" t="s">
        <v>32</v>
      </c>
      <c r="H22" s="11" t="s">
        <v>23</v>
      </c>
      <c r="I22" s="18" t="s">
        <v>32</v>
      </c>
      <c r="J22" s="18" t="s">
        <v>32</v>
      </c>
      <c r="K22" s="12" t="n">
        <f aca="false">SUMPRODUCT((F22:J22="H")*3)+SUMPRODUCT((F22:J22="M")*2)+SUMPRODUCT((F22:J22="L")*1)</f>
        <v>7</v>
      </c>
      <c r="L22" s="16" t="s">
        <v>145</v>
      </c>
      <c r="M22" s="16" t="s">
        <v>146</v>
      </c>
      <c r="N22" s="16" t="s">
        <v>147</v>
      </c>
      <c r="O22" s="16" t="s">
        <v>148</v>
      </c>
    </row>
    <row r="23" customFormat="false" ht="72" hidden="false" customHeight="true" outlineLevel="0" collapsed="false">
      <c r="A23" s="5" t="s">
        <v>149</v>
      </c>
      <c r="B23" s="6" t="s">
        <v>150</v>
      </c>
      <c r="C23" s="7" t="s">
        <v>151</v>
      </c>
      <c r="D23" s="8" t="s">
        <v>152</v>
      </c>
      <c r="E23" s="9" t="s">
        <v>68</v>
      </c>
      <c r="F23" s="11" t="s">
        <v>23</v>
      </c>
      <c r="G23" s="11" t="s">
        <v>23</v>
      </c>
      <c r="H23" s="18" t="s">
        <v>32</v>
      </c>
      <c r="I23" s="18" t="s">
        <v>32</v>
      </c>
      <c r="J23" s="18" t="s">
        <v>32</v>
      </c>
      <c r="K23" s="12" t="n">
        <f aca="false">SUMPRODUCT((F23:J23="H")*3)+SUMPRODUCT((F23:J23="M")*2)+SUMPRODUCT((F23:J23="L")*1)</f>
        <v>7</v>
      </c>
      <c r="L23" s="8" t="s">
        <v>60</v>
      </c>
      <c r="M23" s="8" t="s">
        <v>153</v>
      </c>
      <c r="N23" s="8" t="s">
        <v>154</v>
      </c>
      <c r="O23" s="8" t="s">
        <v>155</v>
      </c>
    </row>
    <row r="24" customFormat="false" ht="72" hidden="false" customHeight="true" outlineLevel="0" collapsed="false">
      <c r="A24" s="13" t="s">
        <v>156</v>
      </c>
      <c r="B24" s="14" t="s">
        <v>150</v>
      </c>
      <c r="C24" s="15" t="s">
        <v>157</v>
      </c>
      <c r="D24" s="16" t="s">
        <v>158</v>
      </c>
      <c r="E24" s="17" t="s">
        <v>46</v>
      </c>
      <c r="F24" s="10" t="s">
        <v>22</v>
      </c>
      <c r="G24" s="18" t="s">
        <v>32</v>
      </c>
      <c r="H24" s="18" t="s">
        <v>32</v>
      </c>
      <c r="I24" s="11" t="s">
        <v>23</v>
      </c>
      <c r="J24" s="18" t="s">
        <v>32</v>
      </c>
      <c r="K24" s="12" t="n">
        <f aca="false">SUMPRODUCT((F24:J24="H")*3)+SUMPRODUCT((F24:J24="M")*2)+SUMPRODUCT((F24:J24="L")*1)</f>
        <v>8</v>
      </c>
      <c r="L24" s="16" t="s">
        <v>159</v>
      </c>
      <c r="M24" s="16" t="s">
        <v>160</v>
      </c>
      <c r="N24" s="16" t="s">
        <v>161</v>
      </c>
      <c r="O24" s="16" t="s">
        <v>162</v>
      </c>
    </row>
    <row r="25" customFormat="false" ht="72" hidden="false" customHeight="true" outlineLevel="0" collapsed="false">
      <c r="A25" s="5" t="s">
        <v>163</v>
      </c>
      <c r="B25" s="6" t="s">
        <v>150</v>
      </c>
      <c r="C25" s="7" t="s">
        <v>164</v>
      </c>
      <c r="D25" s="8" t="s">
        <v>165</v>
      </c>
      <c r="E25" s="9" t="s">
        <v>68</v>
      </c>
      <c r="F25" s="10" t="s">
        <v>22</v>
      </c>
      <c r="G25" s="11" t="s">
        <v>23</v>
      </c>
      <c r="H25" s="11" t="s">
        <v>23</v>
      </c>
      <c r="I25" s="10" t="s">
        <v>22</v>
      </c>
      <c r="J25" s="11" t="s">
        <v>23</v>
      </c>
      <c r="K25" s="12" t="n">
        <f aca="false">SUMPRODUCT((F25:J25="H")*3)+SUMPRODUCT((F25:J25="M")*2)+SUMPRODUCT((F25:J25="L")*1)</f>
        <v>12</v>
      </c>
      <c r="L25" s="8" t="s">
        <v>166</v>
      </c>
      <c r="M25" s="8" t="s">
        <v>167</v>
      </c>
      <c r="N25" s="8" t="s">
        <v>168</v>
      </c>
      <c r="O25" s="8" t="s">
        <v>169</v>
      </c>
    </row>
    <row r="26" customFormat="false" ht="72" hidden="false" customHeight="true" outlineLevel="0" collapsed="false">
      <c r="A26" s="13" t="s">
        <v>170</v>
      </c>
      <c r="B26" s="14" t="s">
        <v>150</v>
      </c>
      <c r="C26" s="15" t="s">
        <v>171</v>
      </c>
      <c r="D26" s="16" t="s">
        <v>172</v>
      </c>
      <c r="E26" s="17" t="s">
        <v>46</v>
      </c>
      <c r="F26" s="11" t="s">
        <v>23</v>
      </c>
      <c r="G26" s="11" t="s">
        <v>23</v>
      </c>
      <c r="H26" s="18" t="s">
        <v>32</v>
      </c>
      <c r="I26" s="18" t="s">
        <v>32</v>
      </c>
      <c r="J26" s="18" t="s">
        <v>32</v>
      </c>
      <c r="K26" s="12" t="n">
        <f aca="false">SUMPRODUCT((F26:J26="H")*3)+SUMPRODUCT((F26:J26="M")*2)+SUMPRODUCT((F26:J26="L")*1)</f>
        <v>7</v>
      </c>
      <c r="L26" s="16" t="s">
        <v>173</v>
      </c>
      <c r="M26" s="16" t="s">
        <v>174</v>
      </c>
      <c r="N26" s="16" t="s">
        <v>175</v>
      </c>
      <c r="O26" s="16" t="s">
        <v>176</v>
      </c>
    </row>
    <row r="27" customFormat="false" ht="72" hidden="false" customHeight="true" outlineLevel="0" collapsed="false">
      <c r="A27" s="5" t="s">
        <v>177</v>
      </c>
      <c r="B27" s="6" t="s">
        <v>178</v>
      </c>
      <c r="C27" s="7" t="s">
        <v>179</v>
      </c>
      <c r="D27" s="8" t="s">
        <v>180</v>
      </c>
      <c r="E27" s="9" t="s">
        <v>181</v>
      </c>
      <c r="F27" s="11" t="s">
        <v>23</v>
      </c>
      <c r="G27" s="11" t="s">
        <v>23</v>
      </c>
      <c r="H27" s="10" t="s">
        <v>22</v>
      </c>
      <c r="I27" s="18" t="s">
        <v>32</v>
      </c>
      <c r="J27" s="18" t="s">
        <v>32</v>
      </c>
      <c r="K27" s="12" t="n">
        <f aca="false">SUMPRODUCT((F27:J27="H")*3)+SUMPRODUCT((F27:J27="M")*2)+SUMPRODUCT((F27:J27="L")*1)</f>
        <v>9</v>
      </c>
      <c r="L27" s="8" t="s">
        <v>182</v>
      </c>
      <c r="M27" s="8" t="s">
        <v>183</v>
      </c>
      <c r="N27" s="8" t="s">
        <v>184</v>
      </c>
      <c r="O27" s="8" t="s">
        <v>185</v>
      </c>
    </row>
    <row r="28" customFormat="false" ht="72" hidden="false" customHeight="true" outlineLevel="0" collapsed="false">
      <c r="A28" s="13" t="s">
        <v>186</v>
      </c>
      <c r="B28" s="14" t="s">
        <v>178</v>
      </c>
      <c r="C28" s="15" t="s">
        <v>187</v>
      </c>
      <c r="D28" s="16" t="s">
        <v>188</v>
      </c>
      <c r="E28" s="17" t="s">
        <v>181</v>
      </c>
      <c r="F28" s="10" t="s">
        <v>22</v>
      </c>
      <c r="G28" s="18" t="s">
        <v>32</v>
      </c>
      <c r="H28" s="10" t="s">
        <v>22</v>
      </c>
      <c r="I28" s="18" t="s">
        <v>32</v>
      </c>
      <c r="J28" s="11" t="s">
        <v>23</v>
      </c>
      <c r="K28" s="12" t="n">
        <f aca="false">SUMPRODUCT((F28:J28="H")*3)+SUMPRODUCT((F28:J28="M")*2)+SUMPRODUCT((F28:J28="L")*1)</f>
        <v>10</v>
      </c>
      <c r="L28" s="16" t="s">
        <v>189</v>
      </c>
      <c r="M28" s="16" t="s">
        <v>190</v>
      </c>
      <c r="N28" s="16" t="s">
        <v>191</v>
      </c>
      <c r="O28" s="16" t="s">
        <v>192</v>
      </c>
    </row>
    <row r="29" customFormat="false" ht="72" hidden="false" customHeight="true" outlineLevel="0" collapsed="false">
      <c r="A29" s="5" t="s">
        <v>193</v>
      </c>
      <c r="B29" s="6" t="s">
        <v>178</v>
      </c>
      <c r="C29" s="7" t="s">
        <v>194</v>
      </c>
      <c r="D29" s="8" t="s">
        <v>195</v>
      </c>
      <c r="E29" s="9" t="s">
        <v>21</v>
      </c>
      <c r="F29" s="18" t="s">
        <v>32</v>
      </c>
      <c r="G29" s="10" t="s">
        <v>22</v>
      </c>
      <c r="H29" s="10" t="s">
        <v>22</v>
      </c>
      <c r="I29" s="18" t="s">
        <v>32</v>
      </c>
      <c r="J29" s="11" t="s">
        <v>23</v>
      </c>
      <c r="K29" s="12" t="n">
        <f aca="false">SUMPRODUCT((F29:J29="H")*3)+SUMPRODUCT((F29:J29="M")*2)+SUMPRODUCT((F29:J29="L")*1)</f>
        <v>10</v>
      </c>
      <c r="L29" s="8" t="s">
        <v>196</v>
      </c>
      <c r="M29" s="8" t="s">
        <v>197</v>
      </c>
      <c r="N29" s="8" t="s">
        <v>198</v>
      </c>
      <c r="O29" s="8" t="s">
        <v>199</v>
      </c>
    </row>
    <row r="30" customFormat="false" ht="72" hidden="false" customHeight="true" outlineLevel="0" collapsed="false">
      <c r="A30" s="13" t="s">
        <v>200</v>
      </c>
      <c r="B30" s="14" t="s">
        <v>178</v>
      </c>
      <c r="C30" s="15" t="s">
        <v>201</v>
      </c>
      <c r="D30" s="16" t="s">
        <v>202</v>
      </c>
      <c r="E30" s="17" t="s">
        <v>181</v>
      </c>
      <c r="F30" s="11" t="s">
        <v>23</v>
      </c>
      <c r="G30" s="18" t="s">
        <v>32</v>
      </c>
      <c r="H30" s="10" t="s">
        <v>22</v>
      </c>
      <c r="I30" s="11" t="s">
        <v>23</v>
      </c>
      <c r="J30" s="18" t="s">
        <v>32</v>
      </c>
      <c r="K30" s="12" t="n">
        <f aca="false">SUMPRODUCT((F30:J30="H")*3)+SUMPRODUCT((F30:J30="M")*2)+SUMPRODUCT((F30:J30="L")*1)</f>
        <v>9</v>
      </c>
      <c r="L30" s="16" t="s">
        <v>203</v>
      </c>
      <c r="M30" s="16" t="s">
        <v>204</v>
      </c>
      <c r="N30" s="16" t="s">
        <v>205</v>
      </c>
      <c r="O30" s="16" t="s">
        <v>206</v>
      </c>
    </row>
    <row r="31" customFormat="false" ht="72" hidden="false" customHeight="true" outlineLevel="0" collapsed="false">
      <c r="A31" s="5" t="s">
        <v>207</v>
      </c>
      <c r="B31" s="6" t="s">
        <v>178</v>
      </c>
      <c r="C31" s="7" t="s">
        <v>208</v>
      </c>
      <c r="D31" s="8" t="s">
        <v>209</v>
      </c>
      <c r="E31" s="9" t="s">
        <v>21</v>
      </c>
      <c r="F31" s="18" t="s">
        <v>32</v>
      </c>
      <c r="G31" s="11" t="s">
        <v>23</v>
      </c>
      <c r="H31" s="10" t="s">
        <v>22</v>
      </c>
      <c r="I31" s="10" t="s">
        <v>22</v>
      </c>
      <c r="J31" s="18" t="s">
        <v>32</v>
      </c>
      <c r="K31" s="12" t="n">
        <f aca="false">SUMPRODUCT((F31:J31="H")*3)+SUMPRODUCT((F31:J31="M")*2)+SUMPRODUCT((F31:J31="L")*1)</f>
        <v>10</v>
      </c>
      <c r="L31" s="8" t="s">
        <v>210</v>
      </c>
      <c r="M31" s="8" t="s">
        <v>211</v>
      </c>
      <c r="N31" s="8" t="s">
        <v>212</v>
      </c>
      <c r="O31" s="8" t="s">
        <v>213</v>
      </c>
    </row>
    <row r="32" customFormat="false" ht="72" hidden="false" customHeight="true" outlineLevel="0" collapsed="false">
      <c r="A32" s="13" t="s">
        <v>214</v>
      </c>
      <c r="B32" s="14" t="s">
        <v>178</v>
      </c>
      <c r="C32" s="15" t="s">
        <v>215</v>
      </c>
      <c r="D32" s="16" t="s">
        <v>216</v>
      </c>
      <c r="E32" s="17" t="s">
        <v>68</v>
      </c>
      <c r="F32" s="18" t="s">
        <v>32</v>
      </c>
      <c r="G32" s="11" t="s">
        <v>23</v>
      </c>
      <c r="H32" s="11" t="s">
        <v>23</v>
      </c>
      <c r="I32" s="18" t="s">
        <v>32</v>
      </c>
      <c r="J32" s="11" t="s">
        <v>23</v>
      </c>
      <c r="K32" s="12" t="n">
        <f aca="false">SUMPRODUCT((F32:J32="H")*3)+SUMPRODUCT((F32:J32="M")*2)+SUMPRODUCT((F32:J32="L")*1)</f>
        <v>8</v>
      </c>
      <c r="L32" s="16" t="s">
        <v>217</v>
      </c>
      <c r="M32" s="16" t="s">
        <v>218</v>
      </c>
      <c r="N32" s="16" t="s">
        <v>219</v>
      </c>
      <c r="O32" s="16" t="s">
        <v>220</v>
      </c>
    </row>
    <row r="33" customFormat="false" ht="72" hidden="false" customHeight="true" outlineLevel="0" collapsed="false">
      <c r="A33" s="5" t="s">
        <v>221</v>
      </c>
      <c r="B33" s="6" t="s">
        <v>178</v>
      </c>
      <c r="C33" s="7" t="s">
        <v>222</v>
      </c>
      <c r="D33" s="8" t="s">
        <v>223</v>
      </c>
      <c r="E33" s="9" t="s">
        <v>130</v>
      </c>
      <c r="F33" s="11" t="s">
        <v>23</v>
      </c>
      <c r="G33" s="10" t="s">
        <v>22</v>
      </c>
      <c r="H33" s="11" t="s">
        <v>23</v>
      </c>
      <c r="I33" s="11" t="s">
        <v>23</v>
      </c>
      <c r="J33" s="10" t="s">
        <v>22</v>
      </c>
      <c r="K33" s="12" t="n">
        <f aca="false">SUMPRODUCT((F33:J33="H")*3)+SUMPRODUCT((F33:J33="M")*2)+SUMPRODUCT((F33:J33="L")*1)</f>
        <v>12</v>
      </c>
      <c r="L33" s="8" t="s">
        <v>69</v>
      </c>
      <c r="M33" s="8" t="s">
        <v>224</v>
      </c>
      <c r="N33" s="8" t="s">
        <v>225</v>
      </c>
      <c r="O33" s="8" t="s">
        <v>226</v>
      </c>
    </row>
  </sheetData>
  <mergeCells count="2">
    <mergeCell ref="A1:O1"/>
    <mergeCell ref="A3:O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36"/>
    <col collapsed="false" customWidth="true" hidden="false" outlineLevel="0" max="5" min="5" style="1" width="40"/>
  </cols>
  <sheetData>
    <row r="1" customFormat="false" ht="36" hidden="false" customHeight="true" outlineLevel="0" collapsed="false">
      <c r="A1" s="2" t="s">
        <v>227</v>
      </c>
      <c r="B1" s="2"/>
      <c r="C1" s="2"/>
      <c r="D1" s="2"/>
      <c r="E1" s="2"/>
    </row>
    <row r="2" customFormat="false" ht="7.5" hidden="false" customHeight="true" outlineLevel="0" collapsed="false"/>
    <row r="3" customFormat="false" ht="30" hidden="false" customHeight="true" outlineLevel="0" collapsed="false">
      <c r="A3" s="4" t="s">
        <v>228</v>
      </c>
      <c r="B3" s="4" t="s">
        <v>229</v>
      </c>
      <c r="C3" s="4" t="s">
        <v>230</v>
      </c>
      <c r="D3" s="4" t="s">
        <v>231</v>
      </c>
      <c r="E3" s="4" t="s">
        <v>232</v>
      </c>
    </row>
    <row r="4" customFormat="false" ht="79.5" hidden="false" customHeight="true" outlineLevel="0" collapsed="false">
      <c r="A4" s="7" t="s">
        <v>233</v>
      </c>
      <c r="B4" s="8" t="s">
        <v>234</v>
      </c>
      <c r="C4" s="8" t="s">
        <v>235</v>
      </c>
      <c r="D4" s="8" t="s">
        <v>236</v>
      </c>
      <c r="E4" s="19" t="s">
        <v>237</v>
      </c>
    </row>
    <row r="5" customFormat="false" ht="79.5" hidden="false" customHeight="true" outlineLevel="0" collapsed="false">
      <c r="A5" s="15" t="s">
        <v>238</v>
      </c>
      <c r="B5" s="16" t="s">
        <v>239</v>
      </c>
      <c r="C5" s="16" t="s">
        <v>240</v>
      </c>
      <c r="D5" s="16" t="s">
        <v>241</v>
      </c>
      <c r="E5" s="19" t="s">
        <v>242</v>
      </c>
    </row>
    <row r="6" customFormat="false" ht="79.5" hidden="false" customHeight="true" outlineLevel="0" collapsed="false">
      <c r="A6" s="7" t="s">
        <v>243</v>
      </c>
      <c r="B6" s="8" t="s">
        <v>244</v>
      </c>
      <c r="C6" s="8" t="s">
        <v>245</v>
      </c>
      <c r="D6" s="8" t="s">
        <v>246</v>
      </c>
      <c r="E6" s="19" t="s">
        <v>247</v>
      </c>
    </row>
    <row r="7" customFormat="false" ht="79.5" hidden="false" customHeight="true" outlineLevel="0" collapsed="false">
      <c r="A7" s="15" t="s">
        <v>248</v>
      </c>
      <c r="B7" s="16" t="s">
        <v>249</v>
      </c>
      <c r="C7" s="16" t="s">
        <v>250</v>
      </c>
      <c r="D7" s="16" t="s">
        <v>251</v>
      </c>
      <c r="E7" s="19" t="s">
        <v>252</v>
      </c>
    </row>
    <row r="8" customFormat="false" ht="79.5" hidden="false" customHeight="true" outlineLevel="0" collapsed="false">
      <c r="A8" s="7" t="s">
        <v>253</v>
      </c>
      <c r="B8" s="8" t="s">
        <v>254</v>
      </c>
      <c r="C8" s="8" t="s">
        <v>255</v>
      </c>
      <c r="D8" s="8" t="s">
        <v>256</v>
      </c>
      <c r="E8" s="19" t="s">
        <v>257</v>
      </c>
    </row>
    <row r="9" customFormat="false" ht="79.5" hidden="false" customHeight="true" outlineLevel="0" collapsed="false">
      <c r="A9" s="15" t="s">
        <v>258</v>
      </c>
      <c r="B9" s="16" t="s">
        <v>259</v>
      </c>
      <c r="C9" s="16" t="s">
        <v>260</v>
      </c>
      <c r="D9" s="16" t="s">
        <v>261</v>
      </c>
      <c r="E9" s="19" t="s">
        <v>262</v>
      </c>
    </row>
    <row r="10" customFormat="false" ht="79.5" hidden="false" customHeight="true" outlineLevel="0" collapsed="false">
      <c r="A10" s="7" t="s">
        <v>263</v>
      </c>
      <c r="B10" s="8" t="s">
        <v>264</v>
      </c>
      <c r="C10" s="8" t="s">
        <v>265</v>
      </c>
      <c r="D10" s="8" t="s">
        <v>266</v>
      </c>
      <c r="E10" s="19" t="s">
        <v>267</v>
      </c>
    </row>
    <row r="11" customFormat="false" ht="79.5" hidden="false" customHeight="true" outlineLevel="0" collapsed="false">
      <c r="A11" s="15" t="s">
        <v>268</v>
      </c>
      <c r="B11" s="16" t="s">
        <v>269</v>
      </c>
      <c r="C11" s="16" t="s">
        <v>270</v>
      </c>
      <c r="D11" s="16" t="s">
        <v>271</v>
      </c>
      <c r="E11" s="19" t="s">
        <v>272</v>
      </c>
    </row>
    <row r="12" customFormat="false" ht="79.5" hidden="false" customHeight="true" outlineLevel="0" collapsed="false">
      <c r="A12" s="7" t="s">
        <v>273</v>
      </c>
      <c r="B12" s="8" t="s">
        <v>274</v>
      </c>
      <c r="C12" s="8" t="s">
        <v>275</v>
      </c>
      <c r="D12" s="8" t="s">
        <v>276</v>
      </c>
      <c r="E12" s="19" t="s">
        <v>277</v>
      </c>
    </row>
    <row r="13" customFormat="false" ht="79.5" hidden="false" customHeight="true" outlineLevel="0" collapsed="false">
      <c r="A13" s="15" t="s">
        <v>278</v>
      </c>
      <c r="B13" s="16" t="s">
        <v>279</v>
      </c>
      <c r="C13" s="16" t="s">
        <v>280</v>
      </c>
      <c r="D13" s="16" t="s">
        <v>281</v>
      </c>
      <c r="E13" s="19" t="s">
        <v>282</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4"/>
    <col collapsed="false" customWidth="true" hidden="false" outlineLevel="0" max="3" min="3" style="1" width="14"/>
    <col collapsed="false" customWidth="true" hidden="false" outlineLevel="0" max="6" min="4" style="1" width="10"/>
    <col collapsed="false" customWidth="true" hidden="false" outlineLevel="0" max="7" min="7" style="1" width="48"/>
    <col collapsed="false" customWidth="true" hidden="false" outlineLevel="0" max="8" min="8" style="1" width="14"/>
    <col collapsed="false" customWidth="true" hidden="false" outlineLevel="0" max="9" min="9" style="1" width="10"/>
  </cols>
  <sheetData>
    <row r="1" customFormat="false" ht="36" hidden="false" customHeight="true" outlineLevel="0" collapsed="false">
      <c r="A1" s="2" t="s">
        <v>283</v>
      </c>
      <c r="B1" s="2"/>
      <c r="C1" s="2"/>
      <c r="D1" s="2"/>
      <c r="E1" s="2"/>
      <c r="F1" s="2"/>
      <c r="G1" s="2"/>
      <c r="H1" s="2"/>
      <c r="I1" s="2"/>
    </row>
    <row r="2" customFormat="false" ht="7.5" hidden="false" customHeight="true" outlineLevel="0" collapsed="false"/>
    <row r="3" customFormat="false" ht="30" hidden="false" customHeight="true" outlineLevel="0" collapsed="false">
      <c r="A3" s="4" t="s">
        <v>284</v>
      </c>
      <c r="B3" s="4" t="s">
        <v>285</v>
      </c>
      <c r="C3" s="4" t="s">
        <v>286</v>
      </c>
      <c r="D3" s="4" t="s">
        <v>287</v>
      </c>
      <c r="E3" s="4" t="s">
        <v>288</v>
      </c>
      <c r="F3" s="4" t="s">
        <v>289</v>
      </c>
      <c r="G3" s="4" t="s">
        <v>290</v>
      </c>
      <c r="H3" s="4" t="s">
        <v>13</v>
      </c>
      <c r="I3" s="4" t="s">
        <v>291</v>
      </c>
    </row>
    <row r="4" customFormat="false" ht="72" hidden="false" customHeight="true" outlineLevel="0" collapsed="false">
      <c r="A4" s="5" t="s">
        <v>292</v>
      </c>
      <c r="B4" s="8" t="s">
        <v>293</v>
      </c>
      <c r="C4" s="9" t="s">
        <v>294</v>
      </c>
      <c r="D4" s="10" t="s">
        <v>22</v>
      </c>
      <c r="E4" s="10" t="s">
        <v>22</v>
      </c>
      <c r="F4" s="12" t="n">
        <f aca="false">IF(AND(D4="H",E4="H"),9,IF(OR(AND(D4="H",E4="M"),AND(D4="M",E4="H")),6,IF(AND(D4="M",E4="M"),4,IF(OR(AND(D4="H",E4="L"),AND(D4="L",E4="H")),3,IF(OR(AND(D4="M",E4="L"),AND(D4="L",E4="M")),2,1)))))</f>
        <v>9</v>
      </c>
      <c r="G4" s="8" t="s">
        <v>295</v>
      </c>
      <c r="H4" s="20" t="s">
        <v>33</v>
      </c>
      <c r="I4" s="21" t="s">
        <v>296</v>
      </c>
    </row>
    <row r="5" customFormat="false" ht="72" hidden="false" customHeight="true" outlineLevel="0" collapsed="false">
      <c r="A5" s="13" t="s">
        <v>297</v>
      </c>
      <c r="B5" s="16" t="s">
        <v>298</v>
      </c>
      <c r="C5" s="17" t="s">
        <v>299</v>
      </c>
      <c r="D5" s="11" t="s">
        <v>23</v>
      </c>
      <c r="E5" s="10" t="s">
        <v>22</v>
      </c>
      <c r="F5" s="12" t="n">
        <f aca="false">IF(AND(D5="H",E5="H"),9,IF(OR(AND(D5="H",E5="M"),AND(D5="M",E5="H")),6,IF(AND(D5="M",E5="M"),4,IF(OR(AND(D5="H",E5="L"),AND(D5="L",E5="H")),3,IF(OR(AND(D5="M",E5="L"),AND(D5="L",E5="M")),2,1)))))</f>
        <v>6</v>
      </c>
      <c r="G5" s="16" t="s">
        <v>300</v>
      </c>
      <c r="H5" s="22" t="s">
        <v>301</v>
      </c>
      <c r="I5" s="23" t="s">
        <v>98</v>
      </c>
    </row>
    <row r="6" customFormat="false" ht="72" hidden="false" customHeight="true" outlineLevel="0" collapsed="false">
      <c r="A6" s="5" t="s">
        <v>302</v>
      </c>
      <c r="B6" s="8" t="s">
        <v>303</v>
      </c>
      <c r="C6" s="9" t="s">
        <v>304</v>
      </c>
      <c r="D6" s="10" t="s">
        <v>22</v>
      </c>
      <c r="E6" s="10" t="s">
        <v>22</v>
      </c>
      <c r="F6" s="12" t="n">
        <f aca="false">IF(AND(D6="H",E6="H"),9,IF(OR(AND(D6="H",E6="M"),AND(D6="M",E6="H")),6,IF(AND(D6="M",E6="M"),4,IF(OR(AND(D6="H",E6="L"),AND(D6="L",E6="H")),3,IF(OR(AND(D6="M",E6="L"),AND(D6="L",E6="M")),2,1)))))</f>
        <v>9</v>
      </c>
      <c r="G6" s="8" t="s">
        <v>305</v>
      </c>
      <c r="H6" s="20" t="s">
        <v>116</v>
      </c>
      <c r="I6" s="21" t="s">
        <v>306</v>
      </c>
    </row>
    <row r="7" customFormat="false" ht="72" hidden="false" customHeight="true" outlineLevel="0" collapsed="false">
      <c r="A7" s="13" t="s">
        <v>307</v>
      </c>
      <c r="B7" s="16" t="s">
        <v>308</v>
      </c>
      <c r="C7" s="17" t="s">
        <v>309</v>
      </c>
      <c r="D7" s="18" t="s">
        <v>32</v>
      </c>
      <c r="E7" s="10" t="s">
        <v>22</v>
      </c>
      <c r="F7" s="12" t="n">
        <f aca="false">IF(AND(D7="H",E7="H"),9,IF(OR(AND(D7="H",E7="M"),AND(D7="M",E7="H")),6,IF(AND(D7="M",E7="M"),4,IF(OR(AND(D7="H",E7="L"),AND(D7="L",E7="H")),3,IF(OR(AND(D7="M",E7="L"),AND(D7="L",E7="M")),2,1)))))</f>
        <v>3</v>
      </c>
      <c r="G7" s="16" t="s">
        <v>310</v>
      </c>
      <c r="H7" s="22" t="s">
        <v>301</v>
      </c>
      <c r="I7" s="23" t="s">
        <v>311</v>
      </c>
    </row>
    <row r="8" customFormat="false" ht="72" hidden="false" customHeight="true" outlineLevel="0" collapsed="false">
      <c r="A8" s="5" t="s">
        <v>312</v>
      </c>
      <c r="B8" s="8" t="s">
        <v>313</v>
      </c>
      <c r="C8" s="9" t="s">
        <v>294</v>
      </c>
      <c r="D8" s="11" t="s">
        <v>23</v>
      </c>
      <c r="E8" s="11" t="s">
        <v>23</v>
      </c>
      <c r="F8" s="12" t="n">
        <f aca="false">IF(AND(D8="H",E8="H"),9,IF(OR(AND(D8="H",E8="M"),AND(D8="M",E8="H")),6,IF(AND(D8="M",E8="M"),4,IF(OR(AND(D8="H",E8="L"),AND(D8="L",E8="H")),3,IF(OR(AND(D8="M",E8="L"),AND(D8="L",E8="M")),2,1)))))</f>
        <v>4</v>
      </c>
      <c r="G8" s="8" t="s">
        <v>314</v>
      </c>
      <c r="H8" s="20" t="s">
        <v>123</v>
      </c>
      <c r="I8" s="21" t="s">
        <v>120</v>
      </c>
    </row>
    <row r="9" customFormat="false" ht="72" hidden="false" customHeight="true" outlineLevel="0" collapsed="false">
      <c r="A9" s="13" t="s">
        <v>315</v>
      </c>
      <c r="B9" s="16" t="s">
        <v>316</v>
      </c>
      <c r="C9" s="17" t="s">
        <v>304</v>
      </c>
      <c r="D9" s="11" t="s">
        <v>23</v>
      </c>
      <c r="E9" s="11" t="s">
        <v>23</v>
      </c>
      <c r="F9" s="12" t="n">
        <f aca="false">IF(AND(D9="H",E9="H"),9,IF(OR(AND(D9="H",E9="M"),AND(D9="M",E9="H")),6,IF(AND(D9="M",E9="M"),4,IF(OR(AND(D9="H",E9="L"),AND(D9="L",E9="H")),3,IF(OR(AND(D9="M",E9="L"),AND(D9="L",E9="M")),2,1)))))</f>
        <v>4</v>
      </c>
      <c r="G9" s="16" t="s">
        <v>317</v>
      </c>
      <c r="H9" s="22" t="s">
        <v>33</v>
      </c>
      <c r="I9" s="23" t="s">
        <v>107</v>
      </c>
    </row>
    <row r="10" customFormat="false" ht="72" hidden="false" customHeight="true" outlineLevel="0" collapsed="false">
      <c r="A10" s="5" t="s">
        <v>318</v>
      </c>
      <c r="B10" s="8" t="s">
        <v>319</v>
      </c>
      <c r="C10" s="9" t="s">
        <v>320</v>
      </c>
      <c r="D10" s="10" t="s">
        <v>22</v>
      </c>
      <c r="E10" s="11" t="s">
        <v>23</v>
      </c>
      <c r="F10" s="12" t="n">
        <f aca="false">IF(AND(D10="H",E10="H"),9,IF(OR(AND(D10="H",E10="M"),AND(D10="M",E10="H")),6,IF(AND(D10="M",E10="M"),4,IF(OR(AND(D10="H",E10="L"),AND(D10="L",E10="H")),3,IF(OR(AND(D10="M",E10="L"),AND(D10="L",E10="M")),2,1)))))</f>
        <v>6</v>
      </c>
      <c r="G10" s="8" t="s">
        <v>321</v>
      </c>
      <c r="H10" s="20" t="s">
        <v>210</v>
      </c>
      <c r="I10" s="21" t="s">
        <v>64</v>
      </c>
    </row>
    <row r="11" customFormat="false" ht="72" hidden="false" customHeight="true" outlineLevel="0" collapsed="false">
      <c r="A11" s="13" t="s">
        <v>322</v>
      </c>
      <c r="B11" s="16" t="s">
        <v>323</v>
      </c>
      <c r="C11" s="17" t="s">
        <v>324</v>
      </c>
      <c r="D11" s="11" t="s">
        <v>23</v>
      </c>
      <c r="E11" s="11" t="s">
        <v>23</v>
      </c>
      <c r="F11" s="12" t="n">
        <f aca="false">IF(AND(D11="H",E11="H"),9,IF(OR(AND(D11="H",E11="M"),AND(D11="M",E11="H")),6,IF(AND(D11="M",E11="M"),4,IF(OR(AND(D11="H",E11="L"),AND(D11="L",E11="H")),3,IF(OR(AND(D11="M",E11="L"),AND(D11="L",E11="M")),2,1)))))</f>
        <v>4</v>
      </c>
      <c r="G11" s="16" t="s">
        <v>325</v>
      </c>
      <c r="H11" s="22" t="s">
        <v>94</v>
      </c>
      <c r="I11" s="23" t="s">
        <v>127</v>
      </c>
    </row>
    <row r="12" customFormat="false" ht="72" hidden="false" customHeight="true" outlineLevel="0" collapsed="false">
      <c r="A12" s="5" t="s">
        <v>326</v>
      </c>
      <c r="B12" s="8" t="s">
        <v>327</v>
      </c>
      <c r="C12" s="9" t="s">
        <v>328</v>
      </c>
      <c r="D12" s="11" t="s">
        <v>23</v>
      </c>
      <c r="E12" s="11" t="s">
        <v>23</v>
      </c>
      <c r="F12" s="12" t="n">
        <f aca="false">IF(AND(D12="H",E12="H"),9,IF(OR(AND(D12="H",E12="M"),AND(D12="M",E12="H")),6,IF(AND(D12="M",E12="M"),4,IF(OR(AND(D12="H",E12="L"),AND(D12="L",E12="H")),3,IF(OR(AND(D12="M",E12="L"),AND(D12="L",E12="M")),2,1)))))</f>
        <v>4</v>
      </c>
      <c r="G12" s="8" t="s">
        <v>329</v>
      </c>
      <c r="H12" s="20" t="s">
        <v>301</v>
      </c>
      <c r="I12" s="21" t="s">
        <v>135</v>
      </c>
    </row>
    <row r="13" customFormat="false" ht="72" hidden="false" customHeight="true" outlineLevel="0" collapsed="false">
      <c r="A13" s="13" t="s">
        <v>330</v>
      </c>
      <c r="B13" s="16" t="s">
        <v>331</v>
      </c>
      <c r="C13" s="17" t="s">
        <v>332</v>
      </c>
      <c r="D13" s="11" t="s">
        <v>23</v>
      </c>
      <c r="E13" s="10" t="s">
        <v>22</v>
      </c>
      <c r="F13" s="12" t="n">
        <f aca="false">IF(AND(D13="H",E13="H"),9,IF(OR(AND(D13="H",E13="M"),AND(D13="M",E13="H")),6,IF(AND(D13="M",E13="M"),4,IF(OR(AND(D13="H",E13="L"),AND(D13="L",E13="H")),3,IF(OR(AND(D13="M",E13="L"),AND(D13="L",E13="M")),2,1)))))</f>
        <v>6</v>
      </c>
      <c r="G13" s="16" t="s">
        <v>333</v>
      </c>
      <c r="H13" s="22" t="s">
        <v>33</v>
      </c>
      <c r="I13" s="23" t="s">
        <v>142</v>
      </c>
    </row>
    <row r="14" customFormat="false" ht="72" hidden="false" customHeight="true" outlineLevel="0" collapsed="false">
      <c r="A14" s="5" t="s">
        <v>334</v>
      </c>
      <c r="B14" s="8" t="s">
        <v>335</v>
      </c>
      <c r="C14" s="9" t="s">
        <v>336</v>
      </c>
      <c r="D14" s="11" t="s">
        <v>23</v>
      </c>
      <c r="E14" s="10" t="s">
        <v>22</v>
      </c>
      <c r="F14" s="12" t="n">
        <f aca="false">IF(AND(D14="H",E14="H"),9,IF(OR(AND(D14="H",E14="M"),AND(D14="M",E14="H")),6,IF(AND(D14="M",E14="M"),4,IF(OR(AND(D14="H",E14="L"),AND(D14="L",E14="H")),3,IF(OR(AND(D14="M",E14="L"),AND(D14="L",E14="M")),2,1)))))</f>
        <v>6</v>
      </c>
      <c r="G14" s="8" t="s">
        <v>337</v>
      </c>
      <c r="H14" s="20" t="s">
        <v>182</v>
      </c>
      <c r="I14" s="21" t="s">
        <v>177</v>
      </c>
    </row>
    <row r="15" customFormat="false" ht="72" hidden="false" customHeight="true" outlineLevel="0" collapsed="false">
      <c r="A15" s="13" t="s">
        <v>338</v>
      </c>
      <c r="B15" s="16" t="s">
        <v>339</v>
      </c>
      <c r="C15" s="17" t="s">
        <v>294</v>
      </c>
      <c r="D15" s="10" t="s">
        <v>22</v>
      </c>
      <c r="E15" s="10" t="s">
        <v>22</v>
      </c>
      <c r="F15" s="12" t="n">
        <f aca="false">IF(AND(D15="H",E15="H"),9,IF(OR(AND(D15="H",E15="M"),AND(D15="M",E15="H")),6,IF(AND(D15="M",E15="M"),4,IF(OR(AND(D15="H",E15="L"),AND(D15="L",E15="H")),3,IF(OR(AND(D15="M",E15="L"),AND(D15="L",E15="M")),2,1)))))</f>
        <v>9</v>
      </c>
      <c r="G15" s="16" t="s">
        <v>340</v>
      </c>
      <c r="H15" s="22" t="s">
        <v>341</v>
      </c>
      <c r="I15" s="23" t="s">
        <v>186</v>
      </c>
    </row>
    <row r="16" customFormat="false" ht="72" hidden="false" customHeight="true" outlineLevel="0" collapsed="false">
      <c r="A16" s="5" t="s">
        <v>342</v>
      </c>
      <c r="B16" s="8" t="s">
        <v>343</v>
      </c>
      <c r="C16" s="9" t="s">
        <v>344</v>
      </c>
      <c r="D16" s="11" t="s">
        <v>23</v>
      </c>
      <c r="E16" s="10" t="s">
        <v>22</v>
      </c>
      <c r="F16" s="12" t="n">
        <f aca="false">IF(AND(D16="H",E16="H"),9,IF(OR(AND(D16="H",E16="M"),AND(D16="M",E16="H")),6,IF(AND(D16="M",E16="M"),4,IF(OR(AND(D16="H",E16="L"),AND(D16="L",E16="H")),3,IF(OR(AND(D16="M",E16="L"),AND(D16="L",E16="M")),2,1)))))</f>
        <v>6</v>
      </c>
      <c r="G16" s="8" t="s">
        <v>345</v>
      </c>
      <c r="H16" s="20" t="s">
        <v>196</v>
      </c>
      <c r="I16" s="21" t="s">
        <v>346</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2026-03-21T11:54:11Z</dcterms:created>
  <dc:creator>openpyxl</dc:creator>
  <dc:description/>
  <dc:language>en-US</dc:language>
  <cp:lastModifiedBy/>
  <dcterms:modified xsi:type="dcterms:W3CDTF">2026-03-21T12:26:37Z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
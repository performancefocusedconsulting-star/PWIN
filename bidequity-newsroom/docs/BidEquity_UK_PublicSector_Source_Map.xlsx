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ategory Overview" sheetId="2" state="visible" r:id="rId4"/>
    <sheet name="Source Register" sheetId="3" state="visible" r:id="rId5"/>
    <sheet name="Sector Hotspots" sheetId="4" state="visible" r:id="rId6"/>
    <sheet name="Content Pipeline" sheetId="5" state="visible" r:id="rId7"/>
    <sheet name="Competitor Landscape" sheetId="6" state="visible" r:id="rId8"/>
    <sheet name="Scoring Model" sheetId="7" state="visible" r:id="rId9"/>
  </sheets>
  <definedNames>
    <definedName function="false" hidden="true" localSheetId="2" name="_xlnm._FilterDatabase" vbProcedure="false">'Source Register'!$A$4:$K$125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<sst xmlns="http://schemas.openxmlformats.org/spreadsheetml/2006/main" count="1414" uniqueCount="753">
  <si>
    <t xml:space="preserve">BidEquity — UK Public Sector Source Intelligence Map</t>
  </si>
  <si>
    <t xml:space="preserve">A 360° map of UK public-sector information sources to feed thought leadership and bid-intelligence pipelines</t>
  </si>
  <si>
    <t xml:space="preserve">Purpose</t>
  </si>
  <si>
    <t xml:space="preserve">Identify, categorise and prioritise the public-domain sources a firm competing with Public Technology (or building bid-intelligence like Tussell/GlobalData) would need to scan continuously. Output serves two pipelines: (1) thought-leadership content for BidEquity's brand; (2) early-signal bid-intelligence for BIP and clients.</t>
  </si>
  <si>
    <t xml:space="preserve">Scope</t>
  </si>
  <si>
    <t xml:space="preserve">UK-wide: central government, devolved administrations (Scotland, Wales, NI), ALBs/arm's-length bodies, NHS, local government, and relevant regulators / oversight bodies. Covers seven sectors: Defence, Justice, Health &amp; Social Care, Local Gov &amp; Devolved, Central Gov &amp; Cabinet Office, Transport, Emergency Services.</t>
  </si>
  <si>
    <t xml:space="preserve">How to use this workbook</t>
  </si>
  <si>
    <t xml:space="preserve">  1. Category Overview</t>
  </si>
  <si>
    <t xml:space="preserve">Start here. 10 source categories with what they are, what signal they carry, and typical cadence.</t>
  </si>
  <si>
    <t xml:space="preserve">  2. Source Register</t>
  </si>
  <si>
    <t xml:space="preserve">The itemised list. ~120 named sources, each tagged by category, sector, cadence, signal strength, feed availability. This is the scan list.</t>
  </si>
  <si>
    <t xml:space="preserve">  3. Sector Hotspots</t>
  </si>
  <si>
    <t xml:space="preserve">Quick view of priority sources per sector. Use when briefing content or pursuits in one vertical.</t>
  </si>
  <si>
    <t xml:space="preserve">  4. Content Pipeline</t>
  </si>
  <si>
    <t xml:space="preserve">Maps source types to specific content outputs (LinkedIn posts, briefings, alerts). Bridges intelligence to content.</t>
  </si>
  <si>
    <t xml:space="preserve">  5. Competitor Landscape</t>
  </si>
  <si>
    <t xml:space="preserve">Firms and publications already operating in this intelligence space. Benchmarks your positioning.</t>
  </si>
  <si>
    <t xml:space="preserve">  6. Scoring Model</t>
  </si>
  <si>
    <t xml:space="preserve">Priority score (Signal × Cadence × Accessibility). Use to prioritise first-tranche scanning targets.</t>
  </si>
  <si>
    <t xml:space="preserve">Key concepts</t>
  </si>
  <si>
    <t xml:space="preserve">  Signal strength</t>
  </si>
  <si>
    <t xml:space="preserve">How directly the source indicates forthcoming spend / policy shift / procurement. HIGH = leading indicator (e.g. SRO announcements, spending review, framework pipeline). MEDIUM = contextual. LOW = ambient/reputational.</t>
  </si>
  <si>
    <t xml:space="preserve">  Cadence</t>
  </si>
  <si>
    <t xml:space="preserve">How often the source updates. Daily feeds are scannable; annual reports are deep-dives. Agentic systems need both.</t>
  </si>
  <si>
    <t xml:space="preserve">  Accessibility</t>
  </si>
  <si>
    <t xml:space="preserve">How machine-readable the source is. RSS/API is best for automation; PDF-in-gov-uk is scrapable but heavier; paywalled is costly but differentiated.</t>
  </si>
  <si>
    <t xml:space="preserve">Critical 2025-26 context (affects source currency)</t>
  </si>
  <si>
    <t xml:space="preserve">  GDS consolidation</t>
  </si>
  <si>
    <t xml:space="preserve">CDDO, GDS, Geospatial Commission and i.AI merged into the new Government Digital Service (Jan 2025), now part of DSIT. CDDO blog URLs still live but branded GDS.</t>
  </si>
  <si>
    <t xml:space="preserve">  Defence Reform</t>
  </si>
  <si>
    <t xml:space="preserve">Apr 2025: 'Quad' structure stood up (PUS / CDS / CDN / National Armaments Director). Defence Digital, DE&amp;S, Dstl, DIO and SDA now sit under the NADG. UK Defence Innovation (UKDI) absorbed DASA, J-Hub and Defence Innovation Unit.</t>
  </si>
  <si>
    <t xml:space="preserve">  StratCom → CSOC</t>
  </si>
  <si>
    <t xml:space="preserve">Strategic Command renamed Cyber &amp; Specialist Operations Command in Sept 2025, with new CyberEM Command under it.</t>
  </si>
  <si>
    <t xml:space="preserve">  CCS → GCA</t>
  </si>
  <si>
    <t xml:space="preserve">Crown Commercial Service became Government Commercial Agency on 1 April 2026, absorbing central commercial teams from Cabinet Office.</t>
  </si>
  <si>
    <t xml:space="preserve">  Procurement Act 2023</t>
  </si>
  <si>
    <t xml:space="preserve">In force from 24 Feb 2025. New notice types (pipeline, preliminary market engagement, transparency) create richer signal via Find a Tender.</t>
  </si>
  <si>
    <t xml:space="preserve">Next-step actions</t>
  </si>
  <si>
    <t xml:space="preserve">  1. Prioritise</t>
  </si>
  <si>
    <t xml:space="preserve">Filter Source Register by Priority Score ≥ 8. This is your tier-1 scan list (~25-30 sources).</t>
  </si>
  <si>
    <t xml:space="preserve">  2. Instrument</t>
  </si>
  <si>
    <t xml:space="preserve">Set up RSS/email/API ingestion for tier-1. For non-feed sources, schedule weekly/monthly scrapes.</t>
  </si>
  <si>
    <t xml:space="preserve">  3. Enrich</t>
  </si>
  <si>
    <t xml:space="preserve">Layer commercial intel (Tussell, GlobalData, Stotles) over public-domain base. These are paid but compound the signal.</t>
  </si>
  <si>
    <t xml:space="preserve">  4. Classify</t>
  </si>
  <si>
    <t xml:space="preserve">Build a taxonomy of topics you'll report on — map each to the relevant source types in Content Pipeline.</t>
  </si>
  <si>
    <t xml:space="preserve">  5. Iterate</t>
  </si>
  <si>
    <t xml:space="preserve">Review the register quarterly. Gov reorgs move URLs. Note the four reorgs captured above — all happened inside 12 months.</t>
  </si>
  <si>
    <t xml:space="preserve">Source Categories — what to scan, why, and how often</t>
  </si>
  <si>
    <t xml:space="preserve">Ten functional categories covering the full 360° of UK public-sector information output</t>
  </si>
  <si>
    <t xml:space="preserve">#</t>
  </si>
  <si>
    <t xml:space="preserve">Category</t>
  </si>
  <si>
    <t xml:space="preserve">What it is</t>
  </si>
  <si>
    <t xml:space="preserve">Why it matters (signal)</t>
  </si>
  <si>
    <t xml:space="preserve">Typical cadence</t>
  </si>
  <si>
    <t xml:space="preserve">Example entities</t>
  </si>
  <si>
    <t xml:space="preserve">Strategy &amp; Policy Publications</t>
  </si>
  <si>
    <t xml:space="preserve">White papers, strategies, command papers, action plans, ministerial statements. Usually published on GOV.UK or departmental sites.</t>
  </si>
  <si>
    <t xml:space="preserve">Define multi-year direction of travel — what gov will buy in 2–5 years. Lagging vs procurement but foundational for thought leadership.</t>
  </si>
  <si>
    <t xml:space="preserve">Irregular — major strategies every 2-5 yrs, refreshes quarterly</t>
  </si>
  <si>
    <t xml:space="preserve">Strategic Defence Review, AI Opportunities Action Plan, NHS Long Term Plan, Blueprint for Modern Digital Government</t>
  </si>
  <si>
    <t xml:space="preserve">Official Blogs (GOV.UK blog network)</t>
  </si>
  <si>
    <t xml:space="preserve">The 70+ GOV.UK blogs run by specific departments, functions and professions — author-led, more candid than press releases.</t>
  </si>
  <si>
    <t xml:space="preserve">Early signal on programme direction, team hires, tool choices, emerging problems. Richer than official publications.</t>
  </si>
  <si>
    <t xml:space="preserve">Weekly — most active blogs post 2-5x/week</t>
  </si>
  <si>
    <t xml:space="preserve">gds.blog.gov.uk, defencedigital.blog.gov.uk, mojdigital.blog.gov.uk, nhsdigital blog</t>
  </si>
  <si>
    <t xml:space="preserve">Procurement &amp; Commercial Feeds</t>
  </si>
  <si>
    <t xml:space="preserve">Tender portals, framework pipelines, contract award notices, pre-market engagement notices under the Procurement Act 2023.</t>
  </si>
  <si>
    <t xml:space="preserve">Highest-value signal for bid intelligence — direct evidence of spend. New PA2023 notices (pipeline, PME, transparency) are leading indicators.</t>
  </si>
  <si>
    <t xml:space="preserve">Daily feeds; framework pipelines refresh monthly</t>
  </si>
  <si>
    <t xml:space="preserve">Find a Tender, Contracts Finder, GCA pipeline (formerly CCS), Public Contracts Scotland, Sell2Wales, eTendersNI</t>
  </si>
  <si>
    <t xml:space="preserve">Parliamentary &amp; Oversight</t>
  </si>
  <si>
    <t xml:space="preserve">Select Committee inquiries, NAO reports, PAC hearings, Written Questions, Hansard, Library briefings.</t>
  </si>
  <si>
    <t xml:space="preserve">Independent critique of programmes — often surfaces failures or scope changes before gov publishes. Shapes political appetite.</t>
  </si>
  <si>
    <t xml:space="preserve">Daily during session; NAO reports ~30/year</t>
  </si>
  <si>
    <t xml:space="preserve">NAO, PAC, Defence Committee, Justice Committee, Health Committee, Commons Library, Lords Library</t>
  </si>
  <si>
    <t xml:space="preserve">Spending &amp; Financial Disclosure</t>
  </si>
  <si>
    <t xml:space="preserve">Annual reports &amp; accounts, spending transparency data (£25k+ transactions), commercial pipelines, spending reviews.</t>
  </si>
  <si>
    <t xml:space="preserve">The 'receipts' — retroactive evidence of what was actually bought and from whom. Annual reports contain forward commitments.</t>
  </si>
  <si>
    <t xml:space="preserve">Monthly (£25k spend); Annual (ARA); Spending Review ~every 3 yrs</t>
  </si>
  <si>
    <t xml:space="preserve">HMT Spending Review, departmental ARAs, NHS England ARA, MOD annual report</t>
  </si>
  <si>
    <t xml:space="preserve">Regulators &amp; Inspectorates</t>
  </si>
  <si>
    <t xml:space="preserve">Independent bodies that inspect, regulate, or report on public services. Their findings drive remediation spend.</t>
  </si>
  <si>
    <t xml:space="preserve">Critical report → near-certain future procurement. Remediation is predictable follow-through spend.</t>
  </si>
  <si>
    <t xml:space="preserve">Ongoing — multiple inspection reports weekly</t>
  </si>
  <si>
    <t xml:space="preserve">HMICFRS, HMI Prisons, CQC, Ofsted, ICO, NAO, HMCI</t>
  </si>
  <si>
    <t xml:space="preserve">Trade Associations &amp; Industry Bodies</t>
  </si>
  <si>
    <t xml:space="preserve">Sector-specific membership bodies that aggregate industry voice, run events, publish position papers.</t>
  </si>
  <si>
    <t xml:space="preserve">Pre-digested intelligence — they filter the firehose. Also surface industry pain points that gov may respond to.</t>
  </si>
  <si>
    <t xml:space="preserve">Weekly news; monthly briefings; annual conferences</t>
  </si>
  <si>
    <t xml:space="preserve">techUK, ADS Group, BCS, Local Government Association, NHS Confederation, TechMarketView</t>
  </si>
  <si>
    <t xml:space="preserve">Think Tanks &amp; Policy Institutes</t>
  </si>
  <si>
    <t xml:space="preserve">Research orgs that propose policy. Some have revolving doors with gov — their ideas often become policy.</t>
  </si>
  <si>
    <t xml:space="preserve">Leading indicator of policy direction, especially under new administrations. Cited heavily in strategies.</t>
  </si>
  <si>
    <t xml:space="preserve">Weekly publications; major reports quarterly</t>
  </si>
  <si>
    <t xml:space="preserve">Institute for Government, RUSI, IPPR, Policy Exchange, Reform, Nesta, Ada Lovelace Institute</t>
  </si>
  <si>
    <t xml:space="preserve">Local &amp; Devolved Governance</t>
  </si>
  <si>
    <t xml:space="preserve">Council meeting papers, cabinet decisions, Scottish/Welsh/NI gov publications, mayoralty announcements, combined authority plans.</t>
  </si>
  <si>
    <t xml:space="preserve">Enormous volume, fragmented — but rich signal on local digital, social care, transport spend. Hardest to cover comprehensively.</t>
  </si>
  <si>
    <t xml:space="preserve">Weekly (council meetings); continuous (Scot/Wales/NI feeds)</t>
  </si>
  <si>
    <t xml:space="preserve">LGInform, mySociety, Holyrood, Senedd, NI Executive, Greater London Authority, Combined Authorities</t>
  </si>
  <si>
    <t xml:space="preserve">Specialist Trade Press</t>
  </si>
  <si>
    <t xml:space="preserve">Publications that already do the scanning for specific verticals. Competitors and raw material simultaneously.</t>
  </si>
  <si>
    <t xml:space="preserve">What's already being reported — baseline to know so BidEquity can find the gaps / angles.</t>
  </si>
  <si>
    <t xml:space="preserve">Daily online; weekly newsletters</t>
  </si>
  <si>
    <t xml:space="preserve">PublicTechnology.net, Civil Service World, Government Computing, UKAuthority, HSJ, Police Oracle, Defence News</t>
  </si>
  <si>
    <t xml:space="preserve">Source Register — the scan list</t>
  </si>
  <si>
    <t xml:space="preserve">Filter on Priority Score ≥ 8 for tier-1 targets. Feed Type 'RSS/Email/API' = automatable; 'Web/PDF' = needs scraping; 'Paid' = commercial subscription.</t>
  </si>
  <si>
    <t xml:space="preserve">Source</t>
  </si>
  <si>
    <t xml:space="preserve">Owner/Entity</t>
  </si>
  <si>
    <t xml:space="preserve">Sector Relevance</t>
  </si>
  <si>
    <t xml:space="preserve">Cadence</t>
  </si>
  <si>
    <t xml:space="preserve">Signal</t>
  </si>
  <si>
    <t xml:space="preserve">Feed Type</t>
  </si>
  <si>
    <t xml:space="preserve">URL</t>
  </si>
  <si>
    <t xml:space="preserve">Priority Score</t>
  </si>
  <si>
    <t xml:space="preserve">Notes</t>
  </si>
  <si>
    <t xml:space="preserve">GOV.UK publications (whole-site feed)</t>
  </si>
  <si>
    <t xml:space="preserve">Cabinet Office / all depts</t>
  </si>
  <si>
    <t xml:space="preserve">All</t>
  </si>
  <si>
    <t xml:space="preserve">Daily</t>
  </si>
  <si>
    <t xml:space="preserve">High</t>
  </si>
  <si>
    <t xml:space="preserve">RSS/Email/API</t>
  </si>
  <si>
    <t xml:space="preserve">https://www.gov.uk/government/publications</t>
  </si>
  <si>
    <t xml:space="preserve">Master feed. Filter by department/policy-area. Atom feeds per topic available.</t>
  </si>
  <si>
    <t xml:space="preserve">Strategic Defence Review 2025</t>
  </si>
  <si>
    <t xml:space="preserve">MOD</t>
  </si>
  <si>
    <t xml:space="preserve">Defence</t>
  </si>
  <si>
    <t xml:space="preserve">Annual</t>
  </si>
  <si>
    <t xml:space="preserve">Web/PDF</t>
  </si>
  <si>
    <t xml:space="preserve">https://www.gov.uk/government/publications/the-strategic-defence-review-2025-making-britain-safer-secure-at-home-strong-abroad</t>
  </si>
  <si>
    <t xml:space="preserve">Foundational doc for next 5yrs of defence spend.</t>
  </si>
  <si>
    <t xml:space="preserve">Defence Industrial Strategy</t>
  </si>
  <si>
    <t xml:space="preserve">Irregular</t>
  </si>
  <si>
    <t xml:space="preserve">https://www.gov.uk/government/publications/uk-defence-industrial-strategy</t>
  </si>
  <si>
    <t xml:space="preserve">Sept 2025. Sets supply-chain direction.</t>
  </si>
  <si>
    <t xml:space="preserve">Defence Investment Plan</t>
  </si>
  <si>
    <t xml:space="preserve">https://www.gov.uk/government/organisations/ministry-of-defence</t>
  </si>
  <si>
    <t xml:space="preserve">Expected 2026. Granular spend intent.</t>
  </si>
  <si>
    <t xml:space="preserve">AI Opportunities Action Plan</t>
  </si>
  <si>
    <t xml:space="preserve">DSIT</t>
  </si>
  <si>
    <t xml:space="preserve">Central Gov</t>
  </si>
  <si>
    <t xml:space="preserve">https://www.gov.uk/government/publications/ai-opportunities-action-plan</t>
  </si>
  <si>
    <t xml:space="preserve">Jan 2025. Drives AI spend across public sector.</t>
  </si>
  <si>
    <t xml:space="preserve">Blueprint for Modern Digital Government</t>
  </si>
  <si>
    <t xml:space="preserve">DSIT / GDS</t>
  </si>
  <si>
    <t xml:space="preserve">https://www.gov.uk/government/publications/a-blueprint-for-modern-digital-government</t>
  </si>
  <si>
    <t xml:space="preserve">Jan 2026. Replaces Transforming for a Digital Future roadmap.</t>
  </si>
  <si>
    <t xml:space="preserve">NHS Long Term Plan &amp; successors</t>
  </si>
  <si>
    <t xml:space="preserve">NHS England / DHSC</t>
  </si>
  <si>
    <t xml:space="preserve">Health</t>
  </si>
  <si>
    <t xml:space="preserve">https://www.england.nhs.uk/publication/the-nhs-long-term-plan/</t>
  </si>
  <si>
    <t xml:space="preserve">Foundation for NHS digital and service reform spend.</t>
  </si>
  <si>
    <t xml:space="preserve">Spending Review documents</t>
  </si>
  <si>
    <t xml:space="preserve">HM Treasury</t>
  </si>
  <si>
    <t xml:space="preserve">https://www.gov.uk/government/collections/spending-review</t>
  </si>
  <si>
    <t xml:space="preserve">Every ~3yrs. Single most important document for pipeline.</t>
  </si>
  <si>
    <t xml:space="preserve">Autumn Statement / Budget</t>
  </si>
  <si>
    <t xml:space="preserve">https://www.gov.uk/government/collections/budget</t>
  </si>
  <si>
    <t xml:space="preserve">Annual. Signals in-year reprioritisation.</t>
  </si>
  <si>
    <t xml:space="preserve">Justice White Papers &amp; sentencing reviews</t>
  </si>
  <si>
    <t xml:space="preserve">MoJ</t>
  </si>
  <si>
    <t xml:space="preserve">Justice</t>
  </si>
  <si>
    <t xml:space="preserve">https://www.gov.uk/government/publications?departments%5B%5D=ministry-of-justice</t>
  </si>
  <si>
    <t xml:space="preserve">Prison capacity, probation, courts — all tied to strategy docs.</t>
  </si>
  <si>
    <t xml:space="preserve">Integrated Review refresh</t>
  </si>
  <si>
    <t xml:space="preserve">Cabinet Office</t>
  </si>
  <si>
    <t xml:space="preserve">https://www.gov.uk/government/publications/integrated-review-refresh-2023-responding-to-a-more-contested-and-volatile-world</t>
  </si>
  <si>
    <t xml:space="preserve">Sets national security posture.</t>
  </si>
  <si>
    <t xml:space="preserve">National Cyber Strategy</t>
  </si>
  <si>
    <t xml:space="preserve">Cabinet Office / NCSC</t>
  </si>
  <si>
    <t xml:space="preserve">https://www.gov.uk/government/publications/national-cyber-strategy-2022</t>
  </si>
  <si>
    <t xml:space="preserve">Drives cyber spend across depts.</t>
  </si>
  <si>
    <t xml:space="preserve">GDS blog</t>
  </si>
  <si>
    <t xml:space="preserve">Government Digital Service</t>
  </si>
  <si>
    <t xml:space="preserve">Official Blogs</t>
  </si>
  <si>
    <t xml:space="preserve">Weekly</t>
  </si>
  <si>
    <t xml:space="preserve">https://gds.blog.gov.uk/</t>
  </si>
  <si>
    <t xml:space="preserve">Most important digital blog in gov. Covers One Login, Wallet, roadmap.</t>
  </si>
  <si>
    <t xml:space="preserve">Government Digital and Data (ex-CDDO) blog</t>
  </si>
  <si>
    <t xml:space="preserve">GDS (ex-CDDO)</t>
  </si>
  <si>
    <t xml:space="preserve">https://cddo.blog.gov.uk/</t>
  </si>
  <si>
    <t xml:space="preserve">AI Playbook, AI Insights series. URL still live post-merger.</t>
  </si>
  <si>
    <t xml:space="preserve">Defence Digital blog</t>
  </si>
  <si>
    <t xml:space="preserve">MOD Defence Digital</t>
  </si>
  <si>
    <t xml:space="preserve">Monthly</t>
  </si>
  <si>
    <t xml:space="preserve">https://defencedigital.blog.gov.uk/</t>
  </si>
  <si>
    <t xml:space="preserve">SKYNET, commercial engagement, CTO posts.</t>
  </si>
  <si>
    <t xml:space="preserve">Cyber &amp; Specialist Operations Command blog</t>
  </si>
  <si>
    <t xml:space="preserve">MOD CSOC</t>
  </si>
  <si>
    <t xml:space="preserve">Medium</t>
  </si>
  <si>
    <t xml:space="preserve">https://stratcommand.blog.gov.uk/</t>
  </si>
  <si>
    <t xml:space="preserve">Formerly StratCom blog. Cyber, SF, overseas.</t>
  </si>
  <si>
    <t xml:space="preserve">MoJ Digital &amp; Technology blog</t>
  </si>
  <si>
    <t xml:space="preserve">Ministry of Justice</t>
  </si>
  <si>
    <t xml:space="preserve">https://mojdigital.blog.gov.uk/</t>
  </si>
  <si>
    <t xml:space="preserve">Probation digital, courts reform, tagging.</t>
  </si>
  <si>
    <t xml:space="preserve">Home Office Digital blog</t>
  </si>
  <si>
    <t xml:space="preserve">Home Office</t>
  </si>
  <si>
    <t xml:space="preserve">Emergency Services</t>
  </si>
  <si>
    <t xml:space="preserve">https://hodigital.blog.gov.uk/</t>
  </si>
  <si>
    <t xml:space="preserve">ESN, Police IT, borders.</t>
  </si>
  <si>
    <t xml:space="preserve">NHS England Digital blog / Transformation Directorate</t>
  </si>
  <si>
    <t xml:space="preserve">NHS England</t>
  </si>
  <si>
    <t xml:space="preserve">https://transform.england.nhs.uk/blogs/</t>
  </si>
  <si>
    <t xml:space="preserve">Federated Data Platform, FedIP, NHS App.</t>
  </si>
  <si>
    <t xml:space="preserve">DWP Digital blog</t>
  </si>
  <si>
    <t xml:space="preserve">DWP</t>
  </si>
  <si>
    <t xml:space="preserve">https://dwpdigital.blog.gov.uk/</t>
  </si>
  <si>
    <t xml:space="preserve">Largest gov dept by volume; prolific DDaT posting.</t>
  </si>
  <si>
    <t xml:space="preserve">HMRC Digital blog</t>
  </si>
  <si>
    <t xml:space="preserve">HMRC</t>
  </si>
  <si>
    <t xml:space="preserve">https://hmrcdigital.blog.gov.uk/</t>
  </si>
  <si>
    <t xml:space="preserve">Making Tax Digital; customs.</t>
  </si>
  <si>
    <t xml:space="preserve">DfE Digital blog</t>
  </si>
  <si>
    <t xml:space="preserve">Department for Education</t>
  </si>
  <si>
    <t xml:space="preserve">https://dfedigital.blog.gov.uk/</t>
  </si>
  <si>
    <t xml:space="preserve">Schools data, T-Levels digital.</t>
  </si>
  <si>
    <t xml:space="preserve">DfT Digital blog</t>
  </si>
  <si>
    <t xml:space="preserve">Department for Transport</t>
  </si>
  <si>
    <t xml:space="preserve">Transport</t>
  </si>
  <si>
    <t xml:space="preserve">https://dftdigital.blog.gov.uk/</t>
  </si>
  <si>
    <t xml:space="preserve">DVLA, DVSA, central transport tech.</t>
  </si>
  <si>
    <t xml:space="preserve">DVSA blog</t>
  </si>
  <si>
    <t xml:space="preserve">DVSA</t>
  </si>
  <si>
    <t xml:space="preserve">https://despatch.blog.gov.uk/</t>
  </si>
  <si>
    <t xml:space="preserve">Vehicle standards digital transformation.</t>
  </si>
  <si>
    <t xml:space="preserve">Defra Digital blog</t>
  </si>
  <si>
    <t xml:space="preserve">Defra</t>
  </si>
  <si>
    <t xml:space="preserve">Low</t>
  </si>
  <si>
    <t xml:space="preserve">https://defradigital.blog.gov.uk/</t>
  </si>
  <si>
    <t xml:space="preserve">Environmental data, farming payments.</t>
  </si>
  <si>
    <t xml:space="preserve">NCSC blog</t>
  </si>
  <si>
    <t xml:space="preserve">National Cyber Security Centre</t>
  </si>
  <si>
    <t xml:space="preserve">https://www.ncsc.gov.uk/section/keep-up-to-date/ncsc-blog</t>
  </si>
  <si>
    <t xml:space="preserve">Threat advisories, procurement implications.</t>
  </si>
  <si>
    <t xml:space="preserve">Dstl blog</t>
  </si>
  <si>
    <t xml:space="preserve">Defence Science &amp; Tech Lab</t>
  </si>
  <si>
    <t xml:space="preserve">https://www.gov.uk/government/organisations/defence-science-and-technology-laboratory</t>
  </si>
  <si>
    <t xml:space="preserve">R-Cloud, science programme signals.</t>
  </si>
  <si>
    <t xml:space="preserve">Inside HMCTS blog</t>
  </si>
  <si>
    <t xml:space="preserve">HM Courts &amp; Tribunals Service</t>
  </si>
  <si>
    <t xml:space="preserve">https://insidehmcts.blog.gov.uk/</t>
  </si>
  <si>
    <t xml:space="preserve">Courts reform — huge multi-year programme.</t>
  </si>
  <si>
    <t xml:space="preserve">Civil Service blog</t>
  </si>
  <si>
    <t xml:space="preserve">https://civilservice.blog.gov.uk/</t>
  </si>
  <si>
    <t xml:space="preserve">Workforce, reform agenda.</t>
  </si>
  <si>
    <t xml:space="preserve">Find a Tender Service</t>
  </si>
  <si>
    <t xml:space="preserve">https://www.find-tender.service.gov.uk/</t>
  </si>
  <si>
    <t xml:space="preserve">Primary UK tender portal post-Brexit. Procurement Act 2023 notices.</t>
  </si>
  <si>
    <t xml:space="preserve">Contracts Finder</t>
  </si>
  <si>
    <t xml:space="preserve">https://www.contractsfinder.service.gov.uk/</t>
  </si>
  <si>
    <t xml:space="preserve">Contracts &gt;£12k central / &gt;£30k wider. Complements FTS.</t>
  </si>
  <si>
    <t xml:space="preserve">Government Commercial Agency agreement pipeline</t>
  </si>
  <si>
    <t xml:space="preserve">GCA (formerly CCS)</t>
  </si>
  <si>
    <t xml:space="preserve">https://www.gca.gov.uk/agreements/upcoming</t>
  </si>
  <si>
    <t xml:space="preserve">CCS renamed GCA April 2026. Upcoming frameworks list.</t>
  </si>
  <si>
    <t xml:space="preserve">Public Contracts Scotland</t>
  </si>
  <si>
    <t xml:space="preserve">Scottish Government</t>
  </si>
  <si>
    <t xml:space="preserve">Devolved</t>
  </si>
  <si>
    <t xml:space="preserve">https://www.publiccontractsscotland.gov.uk/</t>
  </si>
  <si>
    <t xml:space="preserve">Scotland's tender portal.</t>
  </si>
  <si>
    <t xml:space="preserve">Sell2Wales</t>
  </si>
  <si>
    <t xml:space="preserve">Welsh Government</t>
  </si>
  <si>
    <t xml:space="preserve">https://www.sell2wales.gov.wales/</t>
  </si>
  <si>
    <t xml:space="preserve">Welsh tender portal.</t>
  </si>
  <si>
    <t xml:space="preserve">eTendersNI</t>
  </si>
  <si>
    <t xml:space="preserve">NI Executive</t>
  </si>
  <si>
    <t xml:space="preserve">https://etendersni.gov.uk/</t>
  </si>
  <si>
    <t xml:space="preserve">Northern Ireland procurement portal.</t>
  </si>
  <si>
    <t xml:space="preserve">NHS Supply Chain future pipeline</t>
  </si>
  <si>
    <t xml:space="preserve">NHS Supply Chain</t>
  </si>
  <si>
    <t xml:space="preserve">Quarterly</t>
  </si>
  <si>
    <t xml:space="preserve">https://www.supplychain.nhs.uk/</t>
  </si>
  <si>
    <t xml:space="preserve">NHS-specific procurement pipeline.</t>
  </si>
  <si>
    <t xml:space="preserve">MOD contracts &amp; commercial notes</t>
  </si>
  <si>
    <t xml:space="preserve">MOD Commercial</t>
  </si>
  <si>
    <t xml:space="preserve">https://www.gov.uk/government/collections/contracts-finder</t>
  </si>
  <si>
    <t xml:space="preserve">DE&amp;S, DIO, Defence Digital contract awards.</t>
  </si>
  <si>
    <t xml:space="preserve">DE&amp;S industry engagement</t>
  </si>
  <si>
    <t xml:space="preserve">DE&amp;S</t>
  </si>
  <si>
    <t xml:space="preserve">https://des.mod.uk/</t>
  </si>
  <si>
    <t xml:space="preserve">Framework events, Metis, R-Cloud.</t>
  </si>
  <si>
    <t xml:space="preserve">UK Defence Innovation (UKDI)</t>
  </si>
  <si>
    <t xml:space="preserve">MOD / NADG</t>
  </si>
  <si>
    <t xml:space="preserve">https://www.gov.uk/government/organisations/uk-defence-innovation</t>
  </si>
  <si>
    <t xml:space="preserve">New since 2025. Absorbed DASA, J-Hub, DIU. £400m ringfence.</t>
  </si>
  <si>
    <t xml:space="preserve">Tussell</t>
  </si>
  <si>
    <t xml:space="preserve">Tussell Ltd (commercial)</t>
  </si>
  <si>
    <t xml:space="preserve">Paid</t>
  </si>
  <si>
    <t xml:space="preserve">https://www.tussell.com/</t>
  </si>
  <si>
    <t xml:space="preserve">Most comprehensive UK public-sector market-intel platform. Paid.</t>
  </si>
  <si>
    <t xml:space="preserve">Stotles</t>
  </si>
  <si>
    <t xml:space="preserve">Stotles (commercial)</t>
  </si>
  <si>
    <t xml:space="preserve">https://www.stotles.com/</t>
  </si>
  <si>
    <t xml:space="preserve">Bid intelligence platform with contacts and signals.</t>
  </si>
  <si>
    <t xml:space="preserve">GlobalData Public Sector</t>
  </si>
  <si>
    <t xml:space="preserve">GlobalData</t>
  </si>
  <si>
    <t xml:space="preserve">https://www.globaldata.com/</t>
  </si>
  <si>
    <t xml:space="preserve">Broader than Tussell but less UK-gov-specific.</t>
  </si>
  <si>
    <t xml:space="preserve">Bidstats</t>
  </si>
  <si>
    <t xml:space="preserve">Bidstats (commercial)</t>
  </si>
  <si>
    <t xml:space="preserve">https://www.bidstats.uk/</t>
  </si>
  <si>
    <t xml:space="preserve">Tender aggregator, lighter-weight.</t>
  </si>
  <si>
    <t xml:space="preserve">National Audit Office reports</t>
  </si>
  <si>
    <t xml:space="preserve">NAO</t>
  </si>
  <si>
    <t xml:space="preserve">https://www.nao.org.uk/reports/</t>
  </si>
  <si>
    <t xml:space="preserve">Gold standard independent scrutiny. ~30 reports/year.</t>
  </si>
  <si>
    <t xml:space="preserve">Public Accounts Committee hearings</t>
  </si>
  <si>
    <t xml:space="preserve">House of Commons</t>
  </si>
  <si>
    <t xml:space="preserve">https://committees.parliament.uk/committee/127/public-accounts-committee/</t>
  </si>
  <si>
    <t xml:space="preserve">Follows NAO reports; politically potent.</t>
  </si>
  <si>
    <t xml:space="preserve">Defence Committee</t>
  </si>
  <si>
    <t xml:space="preserve">https://committees.parliament.uk/committee/24/defence-committee/</t>
  </si>
  <si>
    <t xml:space="preserve">Ongoing inquiries into MOD programmes.</t>
  </si>
  <si>
    <t xml:space="preserve">Justice Committee</t>
  </si>
  <si>
    <t xml:space="preserve">https://committees.parliament.uk/committee/102/justice-committee/</t>
  </si>
  <si>
    <t xml:space="preserve">Prison, probation, courts scrutiny.</t>
  </si>
  <si>
    <t xml:space="preserve">Health and Social Care Committee</t>
  </si>
  <si>
    <t xml:space="preserve">https://committees.parliament.uk/committee/81/health-and-social-care-committee/</t>
  </si>
  <si>
    <t xml:space="preserve">NHS reform, digital, workforce.</t>
  </si>
  <si>
    <t xml:space="preserve">Home Affairs Committee</t>
  </si>
  <si>
    <t xml:space="preserve">https://committees.parliament.uk/committee/83/home-affairs-committee/</t>
  </si>
  <si>
    <t xml:space="preserve">Police, borders, migration.</t>
  </si>
  <si>
    <t xml:space="preserve">Transport Committee</t>
  </si>
  <si>
    <t xml:space="preserve">https://committees.parliament.uk/committee/153/transport-committee/</t>
  </si>
  <si>
    <t xml:space="preserve">Rail, road, aviation policy.</t>
  </si>
  <si>
    <t xml:space="preserve">Science, Innovation and Technology Committee</t>
  </si>
  <si>
    <t xml:space="preserve">https://committees.parliament.uk/committee/135/science-innovation-and-technology-committee/</t>
  </si>
  <si>
    <t xml:space="preserve">AI, digital regulation, data.</t>
  </si>
  <si>
    <t xml:space="preserve">Commons Library research briefings</t>
  </si>
  <si>
    <t xml:space="preserve">https://commonslibrary.parliament.uk/</t>
  </si>
  <si>
    <t xml:space="preserve">Rich, balanced briefings — excellent background for content.</t>
  </si>
  <si>
    <t xml:space="preserve">Lords Library briefings</t>
  </si>
  <si>
    <t xml:space="preserve">House of Lords</t>
  </si>
  <si>
    <t xml:space="preserve">https://lordslibrary.parliament.uk/</t>
  </si>
  <si>
    <t xml:space="preserve">Complements Commons Library.</t>
  </si>
  <si>
    <t xml:space="preserve">Hansard</t>
  </si>
  <si>
    <t xml:space="preserve">UK Parliament</t>
  </si>
  <si>
    <t xml:space="preserve">https://hansard.parliament.uk/</t>
  </si>
  <si>
    <t xml:space="preserve">Written/spoken proceedings. Ministerial statements, WMS.</t>
  </si>
  <si>
    <t xml:space="preserve">Written Parliamentary Questions</t>
  </si>
  <si>
    <t xml:space="preserve">https://questions-statements.parliament.uk/</t>
  </si>
  <si>
    <t xml:space="preserve">WPQs often extract specific data not otherwise published.</t>
  </si>
  <si>
    <t xml:space="preserve">Departmental Annual Reports &amp; Accounts</t>
  </si>
  <si>
    <t xml:space="preserve">All depts</t>
  </si>
  <si>
    <t xml:space="preserve">https://www.gov.uk/government/publications?publication_filter_option=transparency-data</t>
  </si>
  <si>
    <t xml:space="preserve">Prior year + forward plans. Aug-Jul publishing window.</t>
  </si>
  <si>
    <t xml:space="preserve">Spend over £25k transparency data</t>
  </si>
  <si>
    <t xml:space="preserve">Monthly CSV dumps of all transactions &gt;£25k.</t>
  </si>
  <si>
    <t xml:space="preserve">MOD transparency &amp; procurement data</t>
  </si>
  <si>
    <t xml:space="preserve">https://www.gov.uk/government/publications/mod-departmental-resources-2023</t>
  </si>
  <si>
    <t xml:space="preserve">Including forward commitments.</t>
  </si>
  <si>
    <t xml:space="preserve">NHS Provider Accounts (NHSE consolidated)</t>
  </si>
  <si>
    <t xml:space="preserve">https://www.england.nhs.uk/publication/annual-report-and-accounts/</t>
  </si>
  <si>
    <t xml:space="preserve">NHS-wide spending picture.</t>
  </si>
  <si>
    <t xml:space="preserve">Local authority statements of accounts</t>
  </si>
  <si>
    <t xml:space="preserve">Local govs</t>
  </si>
  <si>
    <t xml:space="preserve">Local Gov</t>
  </si>
  <si>
    <t xml:space="preserve">Council-by-council. LGInform aggregates.</t>
  </si>
  <si>
    <t xml:space="preserve">Government Major Projects Portfolio (GMPP)</t>
  </si>
  <si>
    <t xml:space="preserve">Infrastructure &amp; Projects Authority</t>
  </si>
  <si>
    <t xml:space="preserve">https://www.gov.uk/government/publications/government-major-projects-portfolio-data</t>
  </si>
  <si>
    <t xml:space="preserve">RAG ratings for top ~150 projects. Essential.</t>
  </si>
  <si>
    <t xml:space="preserve">OBR Economic and Fiscal Outlook</t>
  </si>
  <si>
    <t xml:space="preserve">Office for Budget Responsibility</t>
  </si>
  <si>
    <t xml:space="preserve">https://obr.uk/</t>
  </si>
  <si>
    <t xml:space="preserve">Macro context for spending envelope.</t>
  </si>
  <si>
    <t xml:space="preserve">HMICFRS inspection reports</t>
  </si>
  <si>
    <t xml:space="preserve">HMICFRS</t>
  </si>
  <si>
    <t xml:space="preserve">https://hmicfrs.justiceinspectorates.gov.uk/</t>
  </si>
  <si>
    <t xml:space="preserve">Police &amp; fire inspections. Critical findings = remediation spend.</t>
  </si>
  <si>
    <t xml:space="preserve">HM Inspectorate of Prisons</t>
  </si>
  <si>
    <t xml:space="preserve">HMIP</t>
  </si>
  <si>
    <t xml:space="preserve">https://www.justiceinspectorates.gov.uk/hmiprisons/</t>
  </si>
  <si>
    <t xml:space="preserve">Prison inspections.</t>
  </si>
  <si>
    <t xml:space="preserve">HM Inspectorate of Probation</t>
  </si>
  <si>
    <t xml:space="preserve">HMI Probation</t>
  </si>
  <si>
    <t xml:space="preserve">https://www.justiceinspectorates.gov.uk/hmiprobation/</t>
  </si>
  <si>
    <t xml:space="preserve">Post-PMB / probation reform scrutiny.</t>
  </si>
  <si>
    <t xml:space="preserve">Care Quality Commission</t>
  </si>
  <si>
    <t xml:space="preserve">CQC</t>
  </si>
  <si>
    <t xml:space="preserve">https://www.cqc.org.uk/</t>
  </si>
  <si>
    <t xml:space="preserve">Health &amp; social care inspection.</t>
  </si>
  <si>
    <t xml:space="preserve">Ofsted</t>
  </si>
  <si>
    <t xml:space="preserve">https://www.gov.uk/government/organisations/ofsted</t>
  </si>
  <si>
    <t xml:space="preserve">Education, children's social care.</t>
  </si>
  <si>
    <t xml:space="preserve">Information Commissioner's Office</t>
  </si>
  <si>
    <t xml:space="preserve">ICO</t>
  </si>
  <si>
    <t xml:space="preserve">https://ico.org.uk/</t>
  </si>
  <si>
    <t xml:space="preserve">Data protection, FOI, enforcement actions.</t>
  </si>
  <si>
    <t xml:space="preserve">IPA project reviews</t>
  </si>
  <si>
    <t xml:space="preserve">https://www.gov.uk/government/organisations/infrastructure-and-projects-authority</t>
  </si>
  <si>
    <t xml:space="preserve">Gate reviews, RAG updates on major programmes.</t>
  </si>
  <si>
    <t xml:space="preserve">Competition and Markets Authority</t>
  </si>
  <si>
    <t xml:space="preserve">CMA</t>
  </si>
  <si>
    <t xml:space="preserve">https://www.gov.uk/cma</t>
  </si>
  <si>
    <t xml:space="preserve">Vendor behaviour, market investigations.</t>
  </si>
  <si>
    <t xml:space="preserve">techUK</t>
  </si>
  <si>
    <t xml:space="preserve">https://www.techuk.org/</t>
  </si>
  <si>
    <t xml:space="preserve">Programmes: Central Gov, Defence, Health, Justice, Local Public Services.</t>
  </si>
  <si>
    <t xml:space="preserve">ADS Group</t>
  </si>
  <si>
    <t xml:space="preserve">ADS</t>
  </si>
  <si>
    <t xml:space="preserve">https://www.adsgroup.org.uk/</t>
  </si>
  <si>
    <t xml:space="preserve">Aerospace, defence, security, space.</t>
  </si>
  <si>
    <t xml:space="preserve">Local Government Association</t>
  </si>
  <si>
    <t xml:space="preserve">LGA</t>
  </si>
  <si>
    <t xml:space="preserve">https://www.local.gov.uk/</t>
  </si>
  <si>
    <t xml:space="preserve">Essential for local gov signals. Policy, conferences.</t>
  </si>
  <si>
    <t xml:space="preserve">NHS Confederation</t>
  </si>
  <si>
    <t xml:space="preserve">NHS Confed</t>
  </si>
  <si>
    <t xml:space="preserve">https://www.nhsconfed.org/</t>
  </si>
  <si>
    <t xml:space="preserve">NHS leaders' views on policy and procurement.</t>
  </si>
  <si>
    <t xml:space="preserve">NHS Providers</t>
  </si>
  <si>
    <t xml:space="preserve">https://nhsproviders.org/</t>
  </si>
  <si>
    <t xml:space="preserve">Trust view of system.</t>
  </si>
  <si>
    <t xml:space="preserve">TechMarketView</t>
  </si>
  <si>
    <t xml:space="preserve">TMV</t>
  </si>
  <si>
    <t xml:space="preserve">https://www.techmarketview.com/</t>
  </si>
  <si>
    <t xml:space="preserve">Analyst firm — highly cited in UK public-sector tech.</t>
  </si>
  <si>
    <t xml:space="preserve">BCS The Chartered Institute for IT</t>
  </si>
  <si>
    <t xml:space="preserve">BCS</t>
  </si>
  <si>
    <t xml:space="preserve">https://www.bcs.org/</t>
  </si>
  <si>
    <t xml:space="preserve">Professional body, policy consultations.</t>
  </si>
  <si>
    <t xml:space="preserve">Society of IT Management (Socitm)</t>
  </si>
  <si>
    <t xml:space="preserve">Socitm</t>
  </si>
  <si>
    <t xml:space="preserve">https://socitm.net/</t>
  </si>
  <si>
    <t xml:space="preserve">Local public-sector IT community.</t>
  </si>
  <si>
    <t xml:space="preserve">Intellect UK defence suppliers forum</t>
  </si>
  <si>
    <t xml:space="preserve">Various</t>
  </si>
  <si>
    <t xml:space="preserve">https://www.teamdefence.info/</t>
  </si>
  <si>
    <t xml:space="preserve">Team Defence Information — MOD-industry interface.</t>
  </si>
  <si>
    <t xml:space="preserve">Institute for Government</t>
  </si>
  <si>
    <t xml:space="preserve">IfG</t>
  </si>
  <si>
    <t xml:space="preserve">https://www.instituteforgovernment.org.uk/</t>
  </si>
  <si>
    <t xml:space="preserve">Best-in-class analysis of gov effectiveness.</t>
  </si>
  <si>
    <t xml:space="preserve">Royal United Services Institute</t>
  </si>
  <si>
    <t xml:space="preserve">RUSI</t>
  </si>
  <si>
    <t xml:space="preserve">https://www.rusi.org/</t>
  </si>
  <si>
    <t xml:space="preserve">Defence &amp; security thought leadership.</t>
  </si>
  <si>
    <t xml:space="preserve">IPPR</t>
  </si>
  <si>
    <t xml:space="preserve">https://www.ippr.org/</t>
  </si>
  <si>
    <t xml:space="preserve">Centre-left policy; health &amp; justice.</t>
  </si>
  <si>
    <t xml:space="preserve">Reform</t>
  </si>
  <si>
    <t xml:space="preserve">https://reform.uk/</t>
  </si>
  <si>
    <t xml:space="preserve">Public services reform think tank.</t>
  </si>
  <si>
    <t xml:space="preserve">Policy Exchange</t>
  </si>
  <si>
    <t xml:space="preserve">https://policyexchange.org.uk/</t>
  </si>
  <si>
    <t xml:space="preserve">Centre-right; influential on current admin.</t>
  </si>
  <si>
    <t xml:space="preserve">Nesta</t>
  </si>
  <si>
    <t xml:space="preserve">https://www.nesta.org.uk/</t>
  </si>
  <si>
    <t xml:space="preserve">Innovation in public services, health, early years.</t>
  </si>
  <si>
    <t xml:space="preserve">Ada Lovelace Institute</t>
  </si>
  <si>
    <t xml:space="preserve">Ada Lovelace</t>
  </si>
  <si>
    <t xml:space="preserve">https://www.adalovelaceinstitute.org/</t>
  </si>
  <si>
    <t xml:space="preserve">AI policy — highly influential on UK AI gov.</t>
  </si>
  <si>
    <t xml:space="preserve">Alan Turing Institute</t>
  </si>
  <si>
    <t xml:space="preserve">ATI</t>
  </si>
  <si>
    <t xml:space="preserve">https://www.turing.ac.uk/</t>
  </si>
  <si>
    <t xml:space="preserve">Defence AI, public-sector data science.</t>
  </si>
  <si>
    <t xml:space="preserve">Onward</t>
  </si>
  <si>
    <t xml:space="preserve">https://www.ukonward.com/</t>
  </si>
  <si>
    <t xml:space="preserve">Levelling up, tech policy.</t>
  </si>
  <si>
    <t xml:space="preserve">The King's Fund</t>
  </si>
  <si>
    <t xml:space="preserve">King's Fund</t>
  </si>
  <si>
    <t xml:space="preserve">https://www.kingsfund.org.uk/</t>
  </si>
  <si>
    <t xml:space="preserve">Health policy authority.</t>
  </si>
  <si>
    <t xml:space="preserve">Nuffield Trust</t>
  </si>
  <si>
    <t xml:space="preserve">https://www.nuffieldtrust.org.uk/</t>
  </si>
  <si>
    <t xml:space="preserve">Health services research.</t>
  </si>
  <si>
    <t xml:space="preserve">Health Foundation</t>
  </si>
  <si>
    <t xml:space="preserve">https://www.health.org.uk/</t>
  </si>
  <si>
    <t xml:space="preserve">Independent health charity/think tank.</t>
  </si>
  <si>
    <t xml:space="preserve">Centre for Policing Research and Learning</t>
  </si>
  <si>
    <t xml:space="preserve">CPRL (Open Univ)</t>
  </si>
  <si>
    <t xml:space="preserve">https://www.open.ac.uk/research/centres/policing/</t>
  </si>
  <si>
    <t xml:space="preserve">Academic but policy-relevant.</t>
  </si>
  <si>
    <t xml:space="preserve">Centre for Justice Innovation</t>
  </si>
  <si>
    <t xml:space="preserve">CJI</t>
  </si>
  <si>
    <t xml:space="preserve">https://justiceinnovation.org/</t>
  </si>
  <si>
    <t xml:space="preserve">Court and sentencing reform.</t>
  </si>
  <si>
    <t xml:space="preserve">Scottish Government publications</t>
  </si>
  <si>
    <t xml:space="preserve">Scottish Gov</t>
  </si>
  <si>
    <t xml:space="preserve">https://www.gov.scot/publications/</t>
  </si>
  <si>
    <t xml:space="preserve">Scottish equivalent of GOV.UK.</t>
  </si>
  <si>
    <t xml:space="preserve">Welsh Government publications</t>
  </si>
  <si>
    <t xml:space="preserve">Welsh Gov</t>
  </si>
  <si>
    <t xml:space="preserve">https://www.gov.wales/</t>
  </si>
  <si>
    <t xml:space="preserve">Welsh equivalent.</t>
  </si>
  <si>
    <t xml:space="preserve">NI Executive publications</t>
  </si>
  <si>
    <t xml:space="preserve">https://www.northernireland.gov.uk/</t>
  </si>
  <si>
    <t xml:space="preserve">Northern Ireland.</t>
  </si>
  <si>
    <t xml:space="preserve">Greater London Authority publications</t>
  </si>
  <si>
    <t xml:space="preserve">GLA</t>
  </si>
  <si>
    <t xml:space="preserve">https://www.london.gov.uk/</t>
  </si>
  <si>
    <t xml:space="preserve">Mayor's office, TfL parent.</t>
  </si>
  <si>
    <t xml:space="preserve">Combined Authorities publications</t>
  </si>
  <si>
    <t xml:space="preserve">Various CAs</t>
  </si>
  <si>
    <t xml:space="preserve">GMCA, WMCA, WYCA, Liverpool CR, North-East CA etc.</t>
  </si>
  <si>
    <t xml:space="preserve">LGInform</t>
  </si>
  <si>
    <t xml:space="preserve">https://lginform.local.gov.uk/</t>
  </si>
  <si>
    <t xml:space="preserve">Council performance data aggregator.</t>
  </si>
  <si>
    <t xml:space="preserve">mySociety (TheyWorkForYou, WhatDoTheyKnow)</t>
  </si>
  <si>
    <t xml:space="preserve">mySociety</t>
  </si>
  <si>
    <t xml:space="preserve">https://www.mysociety.org/</t>
  </si>
  <si>
    <t xml:space="preserve">FOI corpus, parliament scrape — excellent for signals.</t>
  </si>
  <si>
    <t xml:space="preserve">Holyrood Magazine</t>
  </si>
  <si>
    <t xml:space="preserve">Dods</t>
  </si>
  <si>
    <t xml:space="preserve">https://www.holyrood.com/</t>
  </si>
  <si>
    <t xml:space="preserve">Scottish politics &amp; policy journalism.</t>
  </si>
  <si>
    <t xml:space="preserve">Local council meeting papers (CMIS feeds)</t>
  </si>
  <si>
    <t xml:space="preserve">Councils</t>
  </si>
  <si>
    <t xml:space="preserve">Cabinet papers reveal forthcoming contracts. Council-by-council.</t>
  </si>
  <si>
    <t xml:space="preserve">Public Sector Executive (PSE)</t>
  </si>
  <si>
    <t xml:space="preserve">Cognitive Publishing</t>
  </si>
  <si>
    <t xml:space="preserve">https://www.publicsectorexecutive.com/</t>
  </si>
  <si>
    <t xml:space="preserve">Local gov trade news.</t>
  </si>
  <si>
    <t xml:space="preserve">PublicTechnology</t>
  </si>
  <si>
    <t xml:space="preserve">https://www.publictechnology.net/</t>
  </si>
  <si>
    <t xml:space="preserve">The benchmark to beat. Know their coverage model.</t>
  </si>
  <si>
    <t xml:space="preserve">UKAuthority</t>
  </si>
  <si>
    <t xml:space="preserve">UKAuthority Ltd</t>
  </si>
  <si>
    <t xml:space="preserve">https://www.ukauthority.com/</t>
  </si>
  <si>
    <t xml:space="preserve">Local &amp; central gov IT news.</t>
  </si>
  <si>
    <t xml:space="preserve">Civil Service World</t>
  </si>
  <si>
    <t xml:space="preserve">https://www.civilserviceworld.com/</t>
  </si>
  <si>
    <t xml:space="preserve">Civil service jobs, moves, policy.</t>
  </si>
  <si>
    <t xml:space="preserve">Government Computing</t>
  </si>
  <si>
    <t xml:space="preserve">BPL Business Media</t>
  </si>
  <si>
    <t xml:space="preserve">https://www.governmentcomputing.com/</t>
  </si>
  <si>
    <t xml:space="preserve">Gov IT trade press.</t>
  </si>
  <si>
    <t xml:space="preserve">Global Government Forum</t>
  </si>
  <si>
    <t xml:space="preserve">Pendragon Intl Media</t>
  </si>
  <si>
    <t xml:space="preserve">https://www.globalgovernmentforum.com/</t>
  </si>
  <si>
    <t xml:space="preserve">International comparisons; UK focus.</t>
  </si>
  <si>
    <t xml:space="preserve">Health Service Journal (HSJ)</t>
  </si>
  <si>
    <t xml:space="preserve">Wilmington Healthcare</t>
  </si>
  <si>
    <t xml:space="preserve">https://www.hsj.co.uk/</t>
  </si>
  <si>
    <t xml:space="preserve">NHS bible. Paywall but essential.</t>
  </si>
  <si>
    <t xml:space="preserve">Digital Health</t>
  </si>
  <si>
    <t xml:space="preserve">Digital Health Intelligence</t>
  </si>
  <si>
    <t xml:space="preserve">https://www.digitalhealth.net/</t>
  </si>
  <si>
    <t xml:space="preserve">NHS digital specialist.</t>
  </si>
  <si>
    <t xml:space="preserve">Police Oracle</t>
  </si>
  <si>
    <t xml:space="preserve">https://www.policeoracle.com/</t>
  </si>
  <si>
    <t xml:space="preserve">Police trade press.</t>
  </si>
  <si>
    <t xml:space="preserve">Police Professional</t>
  </si>
  <si>
    <t xml:space="preserve">Pavilion Publishing</t>
  </si>
  <si>
    <t xml:space="preserve">https://www.policeprofessional.com/</t>
  </si>
  <si>
    <t xml:space="preserve">Policing magazine.</t>
  </si>
  <si>
    <t xml:space="preserve">Fire Magazine</t>
  </si>
  <si>
    <t xml:space="preserve">https://fire-magazine.com/</t>
  </si>
  <si>
    <t xml:space="preserve">FRS trade press.</t>
  </si>
  <si>
    <t xml:space="preserve">Ambulance Today</t>
  </si>
  <si>
    <t xml:space="preserve">https://www.ambulancetoday.co.uk/</t>
  </si>
  <si>
    <t xml:space="preserve">Ambulance service specialist.</t>
  </si>
  <si>
    <t xml:space="preserve">Defence News UK (Shephard Media, Janes)</t>
  </si>
  <si>
    <t xml:space="preserve">https://www.shephardmedia.com/</t>
  </si>
  <si>
    <t xml:space="preserve">Shephard, Janes — both paid, authoritative.</t>
  </si>
  <si>
    <t xml:space="preserve">UK Defence Journal</t>
  </si>
  <si>
    <t xml:space="preserve">UKDJ</t>
  </si>
  <si>
    <t xml:space="preserve">https://ukdefencejournal.org.uk/</t>
  </si>
  <si>
    <t xml:space="preserve">Free UK defence coverage.</t>
  </si>
  <si>
    <t xml:space="preserve">Transport Network / TransportXtra</t>
  </si>
  <si>
    <t xml:space="preserve">Landor LINKS</t>
  </si>
  <si>
    <t xml:space="preserve">https://www.transportxtra.com/</t>
  </si>
  <si>
    <t xml:space="preserve">Highways, public transport.</t>
  </si>
  <si>
    <t xml:space="preserve">Rail Magazine / RailBusinessDaily</t>
  </si>
  <si>
    <t xml:space="preserve">https://railbusinessdaily.com/</t>
  </si>
  <si>
    <t xml:space="preserve">Rail trade press.</t>
  </si>
  <si>
    <t xml:space="preserve">The Law Society Gazette</t>
  </si>
  <si>
    <t xml:space="preserve">Law Society</t>
  </si>
  <si>
    <t xml:space="preserve">https://www.lawgazette.co.uk/</t>
  </si>
  <si>
    <t xml:space="preserve">Legal profession — courts reform angles.</t>
  </si>
  <si>
    <t xml:space="preserve">Local Government Chronicle (LGC)</t>
  </si>
  <si>
    <t xml:space="preserve">EMAP</t>
  </si>
  <si>
    <t xml:space="preserve">https://www.lgcplus.com/</t>
  </si>
  <si>
    <t xml:space="preserve">LGC is to local gov what HSJ is to NHS.</t>
  </si>
  <si>
    <t xml:space="preserve">MJ (Municipal Journal)</t>
  </si>
  <si>
    <t xml:space="preserve">Hemming Group</t>
  </si>
  <si>
    <t xml:space="preserve">https://www.themj.co.uk/</t>
  </si>
  <si>
    <t xml:space="preserve">Local gov leadership audience.</t>
  </si>
  <si>
    <t xml:space="preserve">Sector Hotspots — priority sources by vertical</t>
  </si>
  <si>
    <t xml:space="preserve">For each sector: the 'must-scan' sources plus one-line reasoning</t>
  </si>
  <si>
    <t xml:space="preserve">Sector</t>
  </si>
  <si>
    <t xml:space="preserve">Must-scan sources (minimum viable scan)</t>
  </si>
  <si>
    <t xml:space="preserve">Secondary sources</t>
  </si>
  <si>
    <t xml:space="preserve">Sector-specific signals to watch for</t>
  </si>
  <si>
    <t xml:space="preserve">Strategic Defence Review; Defence Industrial Strategy; Defence Investment Plan; Find a Tender (MOD filter); Defence Digital blog; CSOC blog; UKDI announcements; Defence Committee; NAO defence reports; techUK/ADS defence programmes; Janes/Shephard; RUSI.</t>
  </si>
  <si>
    <t xml:space="preserve">DE&amp;S industry engagement; Dstl R-Cloud; Team Defence Information; UK Defence Journal; MOD annual report &amp; accounts; IPA GMPP defence entries.</t>
  </si>
  <si>
    <t xml:space="preserve">Framework refresh cycles (Serapis, DOS); UKDI challenge calls; SRO appointments on major programmes; NAO gate review findings; National Armaments Director statements; Digital Backbone / Digital Targeting Web milestones.</t>
  </si>
  <si>
    <t xml:space="preserve">MoJ publications; HMCTS Inside blog; MoJ Digital blog; HMI Prisons reports; HMI Probation reports; Justice Committee; NAO justice reports; MoJ ARA; CCS/GCA justice-adjacent frameworks.</t>
  </si>
  <si>
    <t xml:space="preserve">Law Society Gazette; Centre for Justice Innovation; sentencing reviews; Prison Reform Trust; courts reform programme updates.</t>
  </si>
  <si>
    <t xml:space="preserve">Prison capacity crisis spend; electronic monitoring/tagging contracts; Common Platform / courts reform milestones; probation reunification fallout; CJS data sharing programmes.</t>
  </si>
  <si>
    <t xml:space="preserve">Health &amp; Social Care</t>
  </si>
  <si>
    <t xml:space="preserve">NHS England Transformation blog; NHS Long Term Plan refreshes; HSJ; Digital Health; CQC inspection reports; Health &amp; Social Care Committee; NAO health reports; NHS Supply Chain pipeline; DHSC publications.</t>
  </si>
  <si>
    <t xml:space="preserve">King's Fund; Nuffield Trust; Health Foundation; NHS Confederation; NHS Providers; ICS-level board papers; Federated Data Platform announcements.</t>
  </si>
  <si>
    <t xml:space="preserve">FDP rollout/expansion; ICB financial plans; elective recovery programmes; social care reform movement; primary care digital procurements; NHS App expansion.</t>
  </si>
  <si>
    <t xml:space="preserve">Home Office Digital blog; HMICFRS reports; Home Affairs Committee; ESN programme updates; Police Oracle; Police Professional; Fire Magazine; College of Policing publications.</t>
  </si>
  <si>
    <t xml:space="preserve">APCC (Police &amp; Crime Commissioners); NPCC announcements; Ambulance Today; NFCC (Fire Chiefs); blue-light digital transformation programmes.</t>
  </si>
  <si>
    <t xml:space="preserve">ESN (Emergency Services Network) progression — now Motorola Airwave replacement; force-level IT consolidation; body-worn video refreshes; control room modernisation; 101/999 digital upgrades.</t>
  </si>
  <si>
    <t xml:space="preserve">Local Gov &amp; Devolved</t>
  </si>
  <si>
    <t xml:space="preserve">LGA publications; Socitm; LGInform; Scottish/Welsh/NI gov feeds; GLA publications; Combined Authority plans; UKAuthority; LGC; The MJ.</t>
  </si>
  <si>
    <t xml:space="preserve">mySociety; council cabinet papers (CMIS feeds); PSE; Holyrood Magazine; devolved committee scrutiny; mayoral combined authorities.</t>
  </si>
  <si>
    <t xml:space="preserve">Section 114 notices (bankruptcy); devolution deals expansion; local gov funding settlement annual cycle; levelling up fund wave decisions; planning reform impact; adult social care delivery contracts.</t>
  </si>
  <si>
    <t xml:space="preserve">Central Gov &amp; Cabinet Office</t>
  </si>
  <si>
    <t xml:space="preserve">GDS blog; ex-CDDO blog; AI Opportunities Action Plan tracking; Blueprint for Modern Digital Government; DWP/HMRC/DfE/DVSA digital blogs; Cabinet Office publications; Civil Service World; PublicTechnology.</t>
  </si>
  <si>
    <t xml:space="preserve">IfG analysis; Commons Science, Innovation &amp; Technology Committee; IPA project reviews; Algorithmic Transparency Recording Standard (ATRS) registrations; Civil Service Data Challenge outputs.</t>
  </si>
  <si>
    <t xml:space="preserve">GOV.UK One Login adoption milestones; AI Playbook iterations; legacy IT remediation funding allocations; shared platform onboarding (Pay, Notify, Forms); Spending Review digital settlements.</t>
  </si>
  <si>
    <t xml:space="preserve">DfT Digital blog; DVSA blog; Transport Committee; NAO transport reports; TransportXtra; RailBusinessDaily; TfL board papers.</t>
  </si>
  <si>
    <t xml:space="preserve">National Highways publications; Network Rail ORR reports; Active Travel England; CAA; Maritime &amp; Coastguard Agency; Office of Rail and Road.</t>
  </si>
  <si>
    <t xml:space="preserve">HS2 scope decisions; Great British Railways transition; road network digital programmes (NRTS 2); DVLA legacy IT remediation; TfL fares/IT tech refresh cycles.</t>
  </si>
  <si>
    <t xml:space="preserve">Content Pipeline — from source to output</t>
  </si>
  <si>
    <t xml:space="preserve">How source types map to specific content outputs for BidEquity (thought leadership) and BIP (bid intelligence)</t>
  </si>
  <si>
    <t xml:space="preserve">Source type</t>
  </si>
  <si>
    <t xml:space="preserve">Signal extracted</t>
  </si>
  <si>
    <t xml:space="preserve">BidEquity content output (thought leadership)</t>
  </si>
  <si>
    <t xml:space="preserve">BIP bid-intel output (pursuit)</t>
  </si>
  <si>
    <t xml:space="preserve">Cadence of output</t>
  </si>
  <si>
    <t xml:space="preserve">Multi-year direction; signalled themes; 'where gov is going'</t>
  </si>
  <si>
    <t xml:space="preserve">Deep-dive LinkedIn article; framework/position paper; webinar anchoring BidEquity's point of view on the implication for pursuit strategy</t>
  </si>
  <si>
    <t xml:space="preserve">Theme alerts: which frameworks &amp; capabilities will be touched; client-specific briefing note</t>
  </si>
  <si>
    <t xml:space="preserve">Within 5 days of publication</t>
  </si>
  <si>
    <t xml:space="preserve">Programme texture; named people; tools chosen; problems emerging</t>
  </si>
  <si>
    <t xml:space="preserve">Short LinkedIn posts reacting to a specific blog; counter-position or commentary; named analysis of leaders/SROs</t>
  </si>
  <si>
    <t xml:space="preserve">Named-SRO alerts; tooling choices signal to aligned vendor clients</t>
  </si>
  <si>
    <t xml:space="preserve">Weekly digest</t>
  </si>
  <si>
    <t xml:space="preserve">Explicit spend; timing; lot structure; incumbent displacement risk</t>
  </si>
  <si>
    <t xml:space="preserve">Quarterly 'State of Bid' report — trend analysis of what's going out to market</t>
  </si>
  <si>
    <t xml:space="preserve">Daily pursuit alerts; bid/no-bid decision support; lot strategy memos</t>
  </si>
  <si>
    <t xml:space="preserve">Programme health; failure narratives; political appetite</t>
  </si>
  <si>
    <t xml:space="preserve">Commentary piece tying NAO/PAC findings to bid dynamics; 'learning-from-failure' series</t>
  </si>
  <si>
    <t xml:space="preserve">Risk flags on incumbent programmes; re-compete probability memos</t>
  </si>
  <si>
    <t xml:space="preserve">Within 48h of publication</t>
  </si>
  <si>
    <t xml:space="preserve">Retrospective spend patterns; forward commitments; supplier concentration</t>
  </si>
  <si>
    <t xml:space="preserve">Annual 'Top 20 suppliers to [sector]' piece; concentration-risk analysis</t>
  </si>
  <si>
    <t xml:space="preserve">Supplier benchmarking; addressable market sizing per client</t>
  </si>
  <si>
    <t xml:space="preserve">Annual + monthly refresh</t>
  </si>
  <si>
    <t xml:space="preserve">Mandated remediation; immediate spend; political pressure</t>
  </si>
  <si>
    <t xml:space="preserve">Rapid commentary on high-profile inspection reports; sector-safety trend analysis</t>
  </si>
  <si>
    <t xml:space="preserve">Remediation pursuit alerts; client-specific 'where could you help fix this' briefings</t>
  </si>
  <si>
    <t xml:space="preserve">Within 24h of publication</t>
  </si>
  <si>
    <t xml:space="preserve">Trade Associations</t>
  </si>
  <si>
    <t xml:space="preserve">Industry-consolidated view; event calendar; gov-industry dynamics</t>
  </si>
  <si>
    <t xml:space="preserve">Conference commentary; position papers picking up association themes</t>
  </si>
  <si>
    <t xml:space="preserve">Event-based relationship-mapping; market-read updates</t>
  </si>
  <si>
    <t xml:space="preserve">Think Tanks</t>
  </si>
  <si>
    <t xml:space="preserve">Next-generation policy ideas; leading-indicator signal</t>
  </si>
  <si>
    <t xml:space="preserve">'Policy radar' series — what's on think-tank desks now, gov desks in 18 months</t>
  </si>
  <si>
    <t xml:space="preserve">Long-horizon pipeline thesis for clients</t>
  </si>
  <si>
    <t xml:space="preserve">Local &amp; Devolved</t>
  </si>
  <si>
    <t xml:space="preserve">Local spend signals; devolution-specific programmes; council failure/reform events</t>
  </si>
  <si>
    <t xml:space="preserve">Local-authority-specific insight pieces; devolved-admin policy watches</t>
  </si>
  <si>
    <t xml:space="preserve">Council-by-council opportunity maps; devolved-gov client targeting</t>
  </si>
  <si>
    <t xml:space="preserve">What the market already knows; baseline; what's underreported</t>
  </si>
  <si>
    <t xml:space="preserve">Counter-programming: covering angles the trade press missed; meta-analysis</t>
  </si>
  <si>
    <t xml:space="preserve">Not primary for bid intel — used for context validation</t>
  </si>
  <si>
    <t xml:space="preserve">Continuous scan</t>
  </si>
  <si>
    <t xml:space="preserve">Competitor Landscape — who else is scanning these sources</t>
  </si>
  <si>
    <t xml:space="preserve">If you're competing with PublicTechnology and adjacent players, this is the field. Identifies white space for BidEquity.</t>
  </si>
  <si>
    <t xml:space="preserve">Player</t>
  </si>
  <si>
    <t xml:space="preserve">Positioning</t>
  </si>
  <si>
    <t xml:space="preserve">Strength</t>
  </si>
  <si>
    <t xml:space="preserve">Weakness</t>
  </si>
  <si>
    <t xml:space="preserve">Implication for BidEquity</t>
  </si>
  <si>
    <t xml:space="preserve">PublicTechnology.net</t>
  </si>
  <si>
    <t xml:space="preserve">Trade press</t>
  </si>
  <si>
    <t xml:space="preserve">UK public-sector digital news site (Dods-owned)</t>
  </si>
  <si>
    <t xml:space="preserve">Established brand; daily cadence; wide reach in civil service</t>
  </si>
  <si>
    <t xml:space="preserve">Reactive/news-led; shallow analysis; no pursuit lens</t>
  </si>
  <si>
    <t xml:space="preserve">White space: pursuit-strategy commentary tying news to bid implications</t>
  </si>
  <si>
    <t xml:space="preserve">Gov-sector IT news with local focus</t>
  </si>
  <si>
    <t xml:space="preserve">Local gov coverage depth; event programme</t>
  </si>
  <si>
    <t xml:space="preserve">Thin on central gov; consumer-grade presentation</t>
  </si>
  <si>
    <t xml:space="preserve">White space: executive-grade analysis vs trade-news format</t>
  </si>
  <si>
    <t xml:space="preserve">Civil service workforce &amp; policy coverage</t>
  </si>
  <si>
    <t xml:space="preserve">People &amp; political coverage; Westminster network</t>
  </si>
  <si>
    <t xml:space="preserve">Light on tech/procurement</t>
  </si>
  <si>
    <t xml:space="preserve">Not a direct competitor — complementary</t>
  </si>
  <si>
    <t xml:space="preserve">Bid-intel platform</t>
  </si>
  <si>
    <t xml:space="preserve">SaaS platform aggregating public-sector tender &amp; contract data</t>
  </si>
  <si>
    <t xml:space="preserve">Data completeness; API; well-funded</t>
  </si>
  <si>
    <t xml:space="preserve">Platform, not perspective; no commentary layer</t>
  </si>
  <si>
    <t xml:space="preserve">Opportunity: partner/consume Tussell data and add BidEquity interpretation</t>
  </si>
  <si>
    <t xml:space="preserve">SaaS bid-intel with AI features, relationship mapping</t>
  </si>
  <si>
    <t xml:space="preserve">Modern UX; fast growth; contact data</t>
  </si>
  <si>
    <t xml:space="preserve">Scattered across sectors; less UK-gov-specialised than Tussell</t>
  </si>
  <si>
    <t xml:space="preserve">Same as Tussell — tool vendor not a commentary competitor</t>
  </si>
  <si>
    <t xml:space="preserve">Analyst</t>
  </si>
  <si>
    <t xml:space="preserve">UK tech sector analyst firm; public-sector coverage</t>
  </si>
  <si>
    <t xml:space="preserve">Respected; analyst-grade publications</t>
  </si>
  <si>
    <t xml:space="preserve">Paid wall; technology supplier focus; less bid-centric</t>
  </si>
  <si>
    <t xml:space="preserve">Benchmark for analyst-grade output quality</t>
  </si>
  <si>
    <t xml:space="preserve">Data/Intel</t>
  </si>
  <si>
    <t xml:space="preserve">Global data platform with public-sector vertical</t>
  </si>
  <si>
    <t xml:space="preserve">Breadth across geographies</t>
  </si>
  <si>
    <t xml:space="preserve">Less UK-deep than Tussell</t>
  </si>
  <si>
    <t xml:space="preserve">Peripheral competitor</t>
  </si>
  <si>
    <t xml:space="preserve">Think tank</t>
  </si>
  <si>
    <t xml:space="preserve">Independent analysis of gov effectiveness</t>
  </si>
  <si>
    <t xml:space="preserve">Authoritative; excellent writing</t>
  </si>
  <si>
    <t xml:space="preserve">Policy/politics angle, not commercial</t>
  </si>
  <si>
    <t xml:space="preserve">Not a competitor — useful content citation</t>
  </si>
  <si>
    <t xml:space="preserve">techUK analysis outputs</t>
  </si>
  <si>
    <t xml:space="preserve">Trade body</t>
  </si>
  <si>
    <t xml:space="preserve">Policy analysis from a vendor-consolidated view</t>
  </si>
  <si>
    <t xml:space="preserve">Access to gov; insider insights</t>
  </si>
  <si>
    <t xml:space="preserve">Always 'industry voice' - not independent</t>
  </si>
  <si>
    <t xml:space="preserve">Use their publications as leading indicators; don't compete</t>
  </si>
  <si>
    <t xml:space="preserve">Individual consultants on LinkedIn</t>
  </si>
  <si>
    <t xml:space="preserve">Independent voices</t>
  </si>
  <si>
    <t xml:space="preserve">Senior ex-gov commentators publishing on LinkedIn</t>
  </si>
  <si>
    <t xml:space="preserve">Authenticity; practitioner credibility</t>
  </si>
  <si>
    <t xml:space="preserve">Inconsistent; individual bandwidth</t>
  </si>
  <si>
    <t xml:space="preserve">The most direct personal-brand competitor layer. BidEquity's key positioning battle is here.</t>
  </si>
  <si>
    <t xml:space="preserve">BidEquity (BIP standalone brand)</t>
  </si>
  <si>
    <t xml:space="preserve">You</t>
  </si>
  <si>
    <t xml:space="preserve">Strategic pursuit consultancy publishing pursuit-centric commentary</t>
  </si>
  <si>
    <t xml:space="preserve">Pursuit-lens expertise; BIP programme depth; integrated content + services</t>
  </si>
  <si>
    <t xml:space="preserve">New brand; trust-to-be-earned; bandwidth</t>
  </si>
  <si>
    <t xml:space="preserve">Core positioning: 'Don't just report the news — interpret it for pursuit strategy.'</t>
  </si>
  <si>
    <t xml:space="preserve">Priority Scoring Model</t>
  </si>
  <si>
    <t xml:space="preserve">How Source Register Priority Score is calculated</t>
  </si>
  <si>
    <t xml:space="preserve">Formula</t>
  </si>
  <si>
    <t xml:space="preserve">Priority Score = Signal + Cadence + Accessibility</t>
  </si>
  <si>
    <t xml:space="preserve">Signal (how directly source indicates forthcoming activity)</t>
  </si>
  <si>
    <t xml:space="preserve">Leading indicator; direct evidence of spend/policy/programme</t>
  </si>
  <si>
    <t xml:space="preserve">Contextual; informs picture but indirect</t>
  </si>
  <si>
    <t xml:space="preserve">Ambient; reputational; low leading-indicator value</t>
  </si>
  <si>
    <t xml:space="preserve">Cadence (update frequency — ability to provide fresh signal)</t>
  </si>
  <si>
    <t xml:space="preserve">Updated most business days</t>
  </si>
  <si>
    <t xml:space="preserve">Updated ~weekly — still highly scannable</t>
  </si>
  <si>
    <t xml:space="preserve">Monthly publishing rhythm</t>
  </si>
  <si>
    <t xml:space="preserve">Quarterly reporting</t>
  </si>
  <si>
    <t xml:space="preserve">Once a year</t>
  </si>
  <si>
    <t xml:space="preserve">No fixed cadence</t>
  </si>
  <si>
    <t xml:space="preserve">Accessibility (automation cost)</t>
  </si>
  <si>
    <t xml:space="preserve">Machine-readable; cheap to ingest agentically</t>
  </si>
  <si>
    <t xml:space="preserve">Scrapable but requires parsing layer</t>
  </si>
  <si>
    <t xml:space="preserve">Costly but often high-signal</t>
  </si>
  <si>
    <t xml:space="preserve">Interpretation</t>
  </si>
  <si>
    <t xml:space="preserve">9</t>
  </si>
  <si>
    <t xml:space="preserve">Tier-1 must-scan, high-signal, high-frequency, easy to ingest. Set up immediately.</t>
  </si>
  <si>
    <t xml:space="preserve">8</t>
  </si>
  <si>
    <t xml:space="preserve">Tier-1. Strong candidates for week-one instrumentation.</t>
  </si>
  <si>
    <t xml:space="preserve">6-7</t>
  </si>
  <si>
    <t xml:space="preserve">Tier-2. Include in scanning after tier-1 is live.</t>
  </si>
  <si>
    <t xml:space="preserve">4-5</t>
  </si>
  <si>
    <t xml:space="preserve">Tier-3. Scan periodically; include in monthly/quarterly sweeps.</t>
  </si>
  <si>
    <t xml:space="preserve">≤3</t>
  </si>
  <si>
    <t xml:space="preserve">Tier-4. Reference library only; consult when needed, don't instrument.</t>
  </si>
  <si>
    <t xml:space="preserve">Tier-1 count (score ≥ 8)</t>
  </si>
  <si>
    <t xml:space="preserve">Total sources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</si>
</sst>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5F1E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5F1E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F1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0"/>
  </cols>
  <sheetData>
    <row r="1" customFormat="false" ht="27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8" hidden="false" customHeight="true" outlineLevel="0" collapsed="false">
      <c r="A3" s="3"/>
      <c r="B3" s="3"/>
    </row>
    <row r="4" customFormat="false" ht="60" hidden="false" customHeight="true" outlineLevel="0" collapsed="false">
      <c r="A4" s="4" t="s">
        <v>2</v>
      </c>
      <c r="B4" s="3" t="s">
        <v>3</v>
      </c>
    </row>
    <row r="5" customFormat="false" ht="18" hidden="false" customHeight="true" outlineLevel="0" collapsed="false">
      <c r="A5" s="3"/>
      <c r="B5" s="3"/>
    </row>
    <row r="6" customFormat="false" ht="60" hidden="false" customHeight="true" outlineLevel="0" collapsed="false">
      <c r="A6" s="4" t="s">
        <v>4</v>
      </c>
      <c r="B6" s="3" t="s">
        <v>5</v>
      </c>
    </row>
    <row r="7" customFormat="false" ht="18" hidden="false" customHeight="true" outlineLevel="0" collapsed="false">
      <c r="A7" s="3"/>
      <c r="B7" s="3"/>
    </row>
    <row r="8" customFormat="false" ht="18" hidden="false" customHeight="true" outlineLevel="0" collapsed="false">
      <c r="A8" s="4" t="s">
        <v>6</v>
      </c>
      <c r="B8" s="3"/>
    </row>
    <row r="9" customFormat="false" ht="30" hidden="false" customHeight="true" outlineLevel="0" collapsed="false">
      <c r="A9" s="3" t="s">
        <v>7</v>
      </c>
      <c r="B9" s="3" t="s">
        <v>8</v>
      </c>
    </row>
    <row r="10" customFormat="false" ht="30" hidden="false" customHeight="true" outlineLevel="0" collapsed="false">
      <c r="A10" s="3" t="s">
        <v>9</v>
      </c>
      <c r="B10" s="3" t="s">
        <v>10</v>
      </c>
    </row>
    <row r="11" customFormat="false" ht="30" hidden="false" customHeight="true" outlineLevel="0" collapsed="false">
      <c r="A11" s="3" t="s">
        <v>11</v>
      </c>
      <c r="B11" s="3" t="s">
        <v>12</v>
      </c>
    </row>
    <row r="12" customFormat="false" ht="30" hidden="false" customHeight="true" outlineLevel="0" collapsed="false">
      <c r="A12" s="3" t="s">
        <v>13</v>
      </c>
      <c r="B12" s="3" t="s">
        <v>14</v>
      </c>
    </row>
    <row r="13" customFormat="false" ht="30" hidden="false" customHeight="true" outlineLevel="0" collapsed="false">
      <c r="A13" s="3" t="s">
        <v>15</v>
      </c>
      <c r="B13" s="3" t="s">
        <v>16</v>
      </c>
    </row>
    <row r="14" customFormat="false" ht="30" hidden="false" customHeight="true" outlineLevel="0" collapsed="false">
      <c r="A14" s="3" t="s">
        <v>17</v>
      </c>
      <c r="B14" s="3" t="s">
        <v>18</v>
      </c>
    </row>
    <row r="15" customFormat="false" ht="18" hidden="false" customHeight="true" outlineLevel="0" collapsed="false">
      <c r="A15" s="3"/>
      <c r="B15" s="3"/>
    </row>
    <row r="16" customFormat="false" ht="18" hidden="false" customHeight="true" outlineLevel="0" collapsed="false">
      <c r="A16" s="4" t="s">
        <v>19</v>
      </c>
      <c r="B16" s="3"/>
    </row>
    <row r="17" customFormat="false" ht="45" hidden="false" customHeight="true" outlineLevel="0" collapsed="false">
      <c r="A17" s="3" t="s">
        <v>20</v>
      </c>
      <c r="B17" s="3" t="s">
        <v>21</v>
      </c>
    </row>
    <row r="18" customFormat="false" ht="30" hidden="false" customHeight="true" outlineLevel="0" collapsed="false">
      <c r="A18" s="3" t="s">
        <v>22</v>
      </c>
      <c r="B18" s="3" t="s">
        <v>23</v>
      </c>
    </row>
    <row r="19" customFormat="false" ht="30" hidden="false" customHeight="true" outlineLevel="0" collapsed="false">
      <c r="A19" s="3" t="s">
        <v>24</v>
      </c>
      <c r="B19" s="3" t="s">
        <v>25</v>
      </c>
    </row>
    <row r="20" customFormat="false" ht="18" hidden="false" customHeight="true" outlineLevel="0" collapsed="false">
      <c r="A20" s="3"/>
      <c r="B20" s="3"/>
    </row>
    <row r="21" customFormat="false" ht="18" hidden="false" customHeight="true" outlineLevel="0" collapsed="false">
      <c r="A21" s="4" t="s">
        <v>26</v>
      </c>
      <c r="B21" s="3"/>
    </row>
    <row r="22" customFormat="false" ht="30" hidden="false" customHeight="true" outlineLevel="0" collapsed="false">
      <c r="A22" s="3" t="s">
        <v>27</v>
      </c>
      <c r="B22" s="3" t="s">
        <v>28</v>
      </c>
    </row>
    <row r="23" customFormat="false" ht="45" hidden="false" customHeight="true" outlineLevel="0" collapsed="false">
      <c r="A23" s="3" t="s">
        <v>29</v>
      </c>
      <c r="B23" s="3" t="s">
        <v>30</v>
      </c>
    </row>
    <row r="24" customFormat="false" ht="30" hidden="false" customHeight="true" outlineLevel="0" collapsed="false">
      <c r="A24" s="3" t="s">
        <v>31</v>
      </c>
      <c r="B24" s="3" t="s">
        <v>32</v>
      </c>
    </row>
    <row r="25" customFormat="false" ht="30" hidden="false" customHeight="true" outlineLevel="0" collapsed="false">
      <c r="A25" s="3" t="s">
        <v>33</v>
      </c>
      <c r="B25" s="3" t="s">
        <v>34</v>
      </c>
    </row>
    <row r="26" customFormat="false" ht="30" hidden="false" customHeight="true" outlineLevel="0" collapsed="false">
      <c r="A26" s="3" t="s">
        <v>35</v>
      </c>
      <c r="B26" s="3" t="s">
        <v>36</v>
      </c>
    </row>
    <row r="27" customFormat="false" ht="18" hidden="false" customHeight="true" outlineLevel="0" collapsed="false">
      <c r="A27" s="3"/>
      <c r="B27" s="3"/>
    </row>
    <row r="28" customFormat="false" ht="18" hidden="false" customHeight="true" outlineLevel="0" collapsed="false">
      <c r="A28" s="4" t="s">
        <v>37</v>
      </c>
      <c r="B28" s="3"/>
    </row>
    <row r="29" customFormat="false" ht="30" hidden="false" customHeight="true" outlineLevel="0" collapsed="false">
      <c r="A29" s="3" t="s">
        <v>38</v>
      </c>
      <c r="B29" s="3" t="s">
        <v>39</v>
      </c>
    </row>
    <row r="30" customFormat="false" ht="30" hidden="false" customHeight="true" outlineLevel="0" collapsed="false">
      <c r="A30" s="3" t="s">
        <v>40</v>
      </c>
      <c r="B30" s="3" t="s">
        <v>41</v>
      </c>
    </row>
    <row r="31" customFormat="false" ht="30" hidden="false" customHeight="true" outlineLevel="0" collapsed="false">
      <c r="A31" s="3" t="s">
        <v>42</v>
      </c>
      <c r="B31" s="3" t="s">
        <v>43</v>
      </c>
    </row>
    <row r="32" customFormat="false" ht="30" hidden="false" customHeight="true" outlineLevel="0" collapsed="false">
      <c r="A32" s="3" t="s">
        <v>44</v>
      </c>
      <c r="B32" s="3" t="s">
        <v>45</v>
      </c>
    </row>
    <row r="33" customFormat="false" ht="30" hidden="false" customHeight="true" outlineLevel="0" collapsed="false">
      <c r="A33" s="3" t="s">
        <v>46</v>
      </c>
      <c r="B33" s="3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4" min="3" style="0" width="50"/>
    <col collapsed="false" customWidth="true" hidden="false" outlineLevel="0" max="5" min="5" style="0" width="30"/>
    <col collapsed="false" customWidth="true" hidden="false" outlineLevel="0" max="6" min="6" style="0" width="60"/>
  </cols>
  <sheetData>
    <row r="1" customFormat="false" ht="24" hidden="false" customHeight="true" outlineLevel="0" collapsed="false">
      <c r="A1" s="5" t="s">
        <v>48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6" t="s">
        <v>49</v>
      </c>
      <c r="B2" s="6"/>
      <c r="C2" s="6"/>
      <c r="D2" s="6"/>
      <c r="E2" s="6"/>
      <c r="F2" s="6"/>
    </row>
    <row r="4" customFormat="false" ht="15" hidden="false" customHeight="false" outlineLevel="0" collapsed="false">
      <c r="A4" s="7" t="s">
        <v>50</v>
      </c>
      <c r="B4" s="7" t="s">
        <v>51</v>
      </c>
      <c r="C4" s="7" t="s">
        <v>52</v>
      </c>
      <c r="D4" s="7" t="s">
        <v>53</v>
      </c>
      <c r="E4" s="7" t="s">
        <v>54</v>
      </c>
      <c r="F4" s="7" t="s">
        <v>55</v>
      </c>
    </row>
    <row r="5" customFormat="false" ht="84.75" hidden="false" customHeight="true" outlineLevel="0" collapsed="false">
      <c r="A5" s="8" t="n">
        <v>1</v>
      </c>
      <c r="B5" s="8" t="s">
        <v>56</v>
      </c>
      <c r="C5" s="8" t="s">
        <v>57</v>
      </c>
      <c r="D5" s="8" t="s">
        <v>58</v>
      </c>
      <c r="E5" s="8" t="s">
        <v>59</v>
      </c>
      <c r="F5" s="8" t="s">
        <v>60</v>
      </c>
    </row>
    <row r="6" customFormat="false" ht="84.75" hidden="false" customHeight="true" outlineLevel="0" collapsed="false">
      <c r="A6" s="9" t="n">
        <v>2</v>
      </c>
      <c r="B6" s="9" t="s">
        <v>61</v>
      </c>
      <c r="C6" s="9" t="s">
        <v>62</v>
      </c>
      <c r="D6" s="9" t="s">
        <v>63</v>
      </c>
      <c r="E6" s="9" t="s">
        <v>64</v>
      </c>
      <c r="F6" s="9" t="s">
        <v>65</v>
      </c>
    </row>
    <row r="7" customFormat="false" ht="84.75" hidden="false" customHeight="true" outlineLevel="0" collapsed="false">
      <c r="A7" s="8" t="n">
        <v>3</v>
      </c>
      <c r="B7" s="8" t="s">
        <v>66</v>
      </c>
      <c r="C7" s="8" t="s">
        <v>67</v>
      </c>
      <c r="D7" s="8" t="s">
        <v>68</v>
      </c>
      <c r="E7" s="8" t="s">
        <v>69</v>
      </c>
      <c r="F7" s="8" t="s">
        <v>70</v>
      </c>
    </row>
    <row r="8" customFormat="false" ht="84.75" hidden="false" customHeight="true" outlineLevel="0" collapsed="false">
      <c r="A8" s="9" t="n">
        <v>4</v>
      </c>
      <c r="B8" s="9" t="s">
        <v>71</v>
      </c>
      <c r="C8" s="9" t="s">
        <v>72</v>
      </c>
      <c r="D8" s="9" t="s">
        <v>73</v>
      </c>
      <c r="E8" s="9" t="s">
        <v>74</v>
      </c>
      <c r="F8" s="9" t="s">
        <v>75</v>
      </c>
    </row>
    <row r="9" customFormat="false" ht="84.75" hidden="false" customHeight="true" outlineLevel="0" collapsed="false">
      <c r="A9" s="8" t="n">
        <v>5</v>
      </c>
      <c r="B9" s="8" t="s">
        <v>76</v>
      </c>
      <c r="C9" s="8" t="s">
        <v>77</v>
      </c>
      <c r="D9" s="8" t="s">
        <v>78</v>
      </c>
      <c r="E9" s="8" t="s">
        <v>79</v>
      </c>
      <c r="F9" s="8" t="s">
        <v>80</v>
      </c>
    </row>
    <row r="10" customFormat="false" ht="84.75" hidden="false" customHeight="true" outlineLevel="0" collapsed="false">
      <c r="A10" s="9" t="n">
        <v>6</v>
      </c>
      <c r="B10" s="9" t="s">
        <v>81</v>
      </c>
      <c r="C10" s="9" t="s">
        <v>82</v>
      </c>
      <c r="D10" s="9" t="s">
        <v>83</v>
      </c>
      <c r="E10" s="9" t="s">
        <v>84</v>
      </c>
      <c r="F10" s="9" t="s">
        <v>85</v>
      </c>
    </row>
    <row r="11" customFormat="false" ht="84.75" hidden="false" customHeight="true" outlineLevel="0" collapsed="false">
      <c r="A11" s="8" t="n">
        <v>7</v>
      </c>
      <c r="B11" s="8" t="s">
        <v>86</v>
      </c>
      <c r="C11" s="8" t="s">
        <v>87</v>
      </c>
      <c r="D11" s="8" t="s">
        <v>88</v>
      </c>
      <c r="E11" s="8" t="s">
        <v>89</v>
      </c>
      <c r="F11" s="8" t="s">
        <v>90</v>
      </c>
    </row>
    <row r="12" customFormat="false" ht="84.75" hidden="false" customHeight="true" outlineLevel="0" collapsed="false">
      <c r="A12" s="9" t="n">
        <v>8</v>
      </c>
      <c r="B12" s="9" t="s">
        <v>91</v>
      </c>
      <c r="C12" s="9" t="s">
        <v>92</v>
      </c>
      <c r="D12" s="9" t="s">
        <v>93</v>
      </c>
      <c r="E12" s="9" t="s">
        <v>94</v>
      </c>
      <c r="F12" s="9" t="s">
        <v>95</v>
      </c>
    </row>
    <row r="13" customFormat="false" ht="84.75" hidden="false" customHeight="true" outlineLevel="0" collapsed="false">
      <c r="A13" s="8" t="n">
        <v>9</v>
      </c>
      <c r="B13" s="8" t="s">
        <v>96</v>
      </c>
      <c r="C13" s="8" t="s">
        <v>97</v>
      </c>
      <c r="D13" s="8" t="s">
        <v>98</v>
      </c>
      <c r="E13" s="8" t="s">
        <v>99</v>
      </c>
      <c r="F13" s="8" t="s">
        <v>100</v>
      </c>
    </row>
    <row r="14" customFormat="false" ht="84.75" hidden="false" customHeight="true" outlineLevel="0" collapsed="false">
      <c r="A14" s="9" t="n">
        <v>10</v>
      </c>
      <c r="B14" s="9" t="s">
        <v>101</v>
      </c>
      <c r="C14" s="9" t="s">
        <v>102</v>
      </c>
      <c r="D14" s="9" t="s">
        <v>103</v>
      </c>
      <c r="E14" s="9" t="s">
        <v>104</v>
      </c>
      <c r="F14" s="9" t="s">
        <v>105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42"/>
    <col collapsed="false" customWidth="true" hidden="false" outlineLevel="0" max="10" min="10" style="0" width="10"/>
    <col collapsed="false" customWidth="true" hidden="false" outlineLevel="0" max="11" min="11" style="0" width="55"/>
  </cols>
  <sheetData>
    <row r="1" customFormat="false" ht="24" hidden="false" customHeight="true" outlineLevel="0" collapsed="false">
      <c r="A1" s="5" t="s">
        <v>106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15" hidden="false" customHeight="false" outlineLevel="0" collapsed="false">
      <c r="A2" s="6" t="s">
        <v>107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customFormat="false" ht="39.55" hidden="false" customHeight="false" outlineLevel="0" collapsed="false">
      <c r="A4" s="7" t="s">
        <v>50</v>
      </c>
      <c r="B4" s="7" t="s">
        <v>108</v>
      </c>
      <c r="C4" s="7" t="s">
        <v>109</v>
      </c>
      <c r="D4" s="7" t="s">
        <v>51</v>
      </c>
      <c r="E4" s="7" t="s">
        <v>110</v>
      </c>
      <c r="F4" s="7" t="s">
        <v>111</v>
      </c>
      <c r="G4" s="7" t="s">
        <v>112</v>
      </c>
      <c r="H4" s="7" t="s">
        <v>113</v>
      </c>
      <c r="I4" s="7" t="s">
        <v>114</v>
      </c>
      <c r="J4" s="7" t="s">
        <v>115</v>
      </c>
      <c r="K4" s="7" t="s">
        <v>116</v>
      </c>
    </row>
    <row r="5" customFormat="false" ht="42" hidden="false" customHeight="true" outlineLevel="0" collapsed="false">
      <c r="A5" s="10" t="n">
        <v>1</v>
      </c>
      <c r="B5" s="8" t="s">
        <v>117</v>
      </c>
      <c r="C5" s="8" t="s">
        <v>118</v>
      </c>
      <c r="D5" s="8" t="s">
        <v>56</v>
      </c>
      <c r="E5" s="8" t="s">
        <v>119</v>
      </c>
      <c r="F5" s="10" t="s">
        <v>120</v>
      </c>
      <c r="G5" s="10" t="s">
        <v>121</v>
      </c>
      <c r="H5" s="10" t="s">
        <v>122</v>
      </c>
      <c r="I5" s="8" t="s">
        <v>123</v>
      </c>
      <c r="J5" s="10" t="n">
        <f aca="false">IFERROR(IF(G5="High",3,IF(G5="Medium",2,IF(G5="Low",1,0)))+IF(OR(F5="Daily",F5="Weekly"),3,IF(F5="Monthly",2,IF(OR(F5="Quarterly",F5="Annual",F5="Irregular"),1,0)))+IF(H5="RSS/Email/API",3,IF(OR(H5="Web/PDF",H5="Paid"),2,0)),0)</f>
        <v>9</v>
      </c>
      <c r="K5" s="8" t="s">
        <v>124</v>
      </c>
    </row>
    <row r="6" customFormat="false" ht="42" hidden="false" customHeight="true" outlineLevel="0" collapsed="false">
      <c r="A6" s="11" t="n">
        <v>2</v>
      </c>
      <c r="B6" s="9" t="s">
        <v>125</v>
      </c>
      <c r="C6" s="9" t="s">
        <v>126</v>
      </c>
      <c r="D6" s="9" t="s">
        <v>56</v>
      </c>
      <c r="E6" s="9" t="s">
        <v>127</v>
      </c>
      <c r="F6" s="11" t="s">
        <v>128</v>
      </c>
      <c r="G6" s="11" t="s">
        <v>121</v>
      </c>
      <c r="H6" s="11" t="s">
        <v>129</v>
      </c>
      <c r="I6" s="9" t="s">
        <v>130</v>
      </c>
      <c r="J6" s="11" t="n">
        <f aca="false">IFERROR(IF(G6="High",3,IF(G6="Medium",2,IF(G6="Low",1,0)))+IF(OR(F6="Daily",F6="Weekly"),3,IF(F6="Monthly",2,IF(OR(F6="Quarterly",F6="Annual",F6="Irregular"),1,0)))+IF(H6="RSS/Email/API",3,IF(OR(H6="Web/PDF",H6="Paid"),2,0)),0)</f>
        <v>6</v>
      </c>
      <c r="K6" s="9" t="s">
        <v>131</v>
      </c>
    </row>
    <row r="7" customFormat="false" ht="42" hidden="false" customHeight="true" outlineLevel="0" collapsed="false">
      <c r="A7" s="10" t="n">
        <v>3</v>
      </c>
      <c r="B7" s="8" t="s">
        <v>132</v>
      </c>
      <c r="C7" s="8" t="s">
        <v>126</v>
      </c>
      <c r="D7" s="8" t="s">
        <v>56</v>
      </c>
      <c r="E7" s="8" t="s">
        <v>127</v>
      </c>
      <c r="F7" s="10" t="s">
        <v>133</v>
      </c>
      <c r="G7" s="10" t="s">
        <v>121</v>
      </c>
      <c r="H7" s="10" t="s">
        <v>129</v>
      </c>
      <c r="I7" s="8" t="s">
        <v>134</v>
      </c>
      <c r="J7" s="10" t="n">
        <f aca="false">IFERROR(IF(G7="High",3,IF(G7="Medium",2,IF(G7="Low",1,0)))+IF(OR(F7="Daily",F7="Weekly"),3,IF(F7="Monthly",2,IF(OR(F7="Quarterly",F7="Annual",F7="Irregular"),1,0)))+IF(H7="RSS/Email/API",3,IF(OR(H7="Web/PDF",H7="Paid"),2,0)),0)</f>
        <v>6</v>
      </c>
      <c r="K7" s="8" t="s">
        <v>135</v>
      </c>
    </row>
    <row r="8" customFormat="false" ht="42" hidden="false" customHeight="true" outlineLevel="0" collapsed="false">
      <c r="A8" s="11" t="n">
        <v>4</v>
      </c>
      <c r="B8" s="9" t="s">
        <v>136</v>
      </c>
      <c r="C8" s="9" t="s">
        <v>126</v>
      </c>
      <c r="D8" s="9" t="s">
        <v>56</v>
      </c>
      <c r="E8" s="9" t="s">
        <v>127</v>
      </c>
      <c r="F8" s="11" t="s">
        <v>128</v>
      </c>
      <c r="G8" s="11" t="s">
        <v>121</v>
      </c>
      <c r="H8" s="11" t="s">
        <v>129</v>
      </c>
      <c r="I8" s="9" t="s">
        <v>137</v>
      </c>
      <c r="J8" s="11" t="n">
        <f aca="false">IFERROR(IF(G8="High",3,IF(G8="Medium",2,IF(G8="Low",1,0)))+IF(OR(F8="Daily",F8="Weekly"),3,IF(F8="Monthly",2,IF(OR(F8="Quarterly",F8="Annual",F8="Irregular"),1,0)))+IF(H8="RSS/Email/API",3,IF(OR(H8="Web/PDF",H8="Paid"),2,0)),0)</f>
        <v>6</v>
      </c>
      <c r="K8" s="9" t="s">
        <v>138</v>
      </c>
    </row>
    <row r="9" customFormat="false" ht="42" hidden="false" customHeight="true" outlineLevel="0" collapsed="false">
      <c r="A9" s="10" t="n">
        <v>5</v>
      </c>
      <c r="B9" s="8" t="s">
        <v>139</v>
      </c>
      <c r="C9" s="8" t="s">
        <v>140</v>
      </c>
      <c r="D9" s="8" t="s">
        <v>56</v>
      </c>
      <c r="E9" s="8" t="s">
        <v>141</v>
      </c>
      <c r="F9" s="10" t="s">
        <v>128</v>
      </c>
      <c r="G9" s="10" t="s">
        <v>121</v>
      </c>
      <c r="H9" s="10" t="s">
        <v>129</v>
      </c>
      <c r="I9" s="8" t="s">
        <v>142</v>
      </c>
      <c r="J9" s="10" t="n">
        <f aca="false">IFERROR(IF(G9="High",3,IF(G9="Medium",2,IF(G9="Low",1,0)))+IF(OR(F9="Daily",F9="Weekly"),3,IF(F9="Monthly",2,IF(OR(F9="Quarterly",F9="Annual",F9="Irregular"),1,0)))+IF(H9="RSS/Email/API",3,IF(OR(H9="Web/PDF",H9="Paid"),2,0)),0)</f>
        <v>6</v>
      </c>
      <c r="K9" s="8" t="s">
        <v>143</v>
      </c>
    </row>
    <row r="10" customFormat="false" ht="42" hidden="false" customHeight="true" outlineLevel="0" collapsed="false">
      <c r="A10" s="11" t="n">
        <v>6</v>
      </c>
      <c r="B10" s="9" t="s">
        <v>144</v>
      </c>
      <c r="C10" s="9" t="s">
        <v>145</v>
      </c>
      <c r="D10" s="9" t="s">
        <v>56</v>
      </c>
      <c r="E10" s="9" t="s">
        <v>141</v>
      </c>
      <c r="F10" s="11" t="s">
        <v>133</v>
      </c>
      <c r="G10" s="11" t="s">
        <v>121</v>
      </c>
      <c r="H10" s="11" t="s">
        <v>129</v>
      </c>
      <c r="I10" s="9" t="s">
        <v>146</v>
      </c>
      <c r="J10" s="11" t="n">
        <f aca="false">IFERROR(IF(G10="High",3,IF(G10="Medium",2,IF(G10="Low",1,0)))+IF(OR(F10="Daily",F10="Weekly"),3,IF(F10="Monthly",2,IF(OR(F10="Quarterly",F10="Annual",F10="Irregular"),1,0)))+IF(H10="RSS/Email/API",3,IF(OR(H10="Web/PDF",H10="Paid"),2,0)),0)</f>
        <v>6</v>
      </c>
      <c r="K10" s="9" t="s">
        <v>147</v>
      </c>
    </row>
    <row r="11" customFormat="false" ht="42" hidden="false" customHeight="true" outlineLevel="0" collapsed="false">
      <c r="A11" s="10" t="n">
        <v>7</v>
      </c>
      <c r="B11" s="8" t="s">
        <v>148</v>
      </c>
      <c r="C11" s="8" t="s">
        <v>149</v>
      </c>
      <c r="D11" s="8" t="s">
        <v>56</v>
      </c>
      <c r="E11" s="8" t="s">
        <v>150</v>
      </c>
      <c r="F11" s="10" t="s">
        <v>133</v>
      </c>
      <c r="G11" s="10" t="s">
        <v>121</v>
      </c>
      <c r="H11" s="10" t="s">
        <v>129</v>
      </c>
      <c r="I11" s="8" t="s">
        <v>151</v>
      </c>
      <c r="J11" s="10" t="n">
        <f aca="false">IFERROR(IF(G11="High",3,IF(G11="Medium",2,IF(G11="Low",1,0)))+IF(OR(F11="Daily",F11="Weekly"),3,IF(F11="Monthly",2,IF(OR(F11="Quarterly",F11="Annual",F11="Irregular"),1,0)))+IF(H11="RSS/Email/API",3,IF(OR(H11="Web/PDF",H11="Paid"),2,0)),0)</f>
        <v>6</v>
      </c>
      <c r="K11" s="8" t="s">
        <v>152</v>
      </c>
    </row>
    <row r="12" customFormat="false" ht="42" hidden="false" customHeight="true" outlineLevel="0" collapsed="false">
      <c r="A12" s="11" t="n">
        <v>8</v>
      </c>
      <c r="B12" s="9" t="s">
        <v>153</v>
      </c>
      <c r="C12" s="9" t="s">
        <v>154</v>
      </c>
      <c r="D12" s="9" t="s">
        <v>56</v>
      </c>
      <c r="E12" s="9" t="s">
        <v>119</v>
      </c>
      <c r="F12" s="11" t="s">
        <v>133</v>
      </c>
      <c r="G12" s="11" t="s">
        <v>121</v>
      </c>
      <c r="H12" s="11" t="s">
        <v>129</v>
      </c>
      <c r="I12" s="9" t="s">
        <v>155</v>
      </c>
      <c r="J12" s="11" t="n">
        <f aca="false">IFERROR(IF(G12="High",3,IF(G12="Medium",2,IF(G12="Low",1,0)))+IF(OR(F12="Daily",F12="Weekly"),3,IF(F12="Monthly",2,IF(OR(F12="Quarterly",F12="Annual",F12="Irregular"),1,0)))+IF(H12="RSS/Email/API",3,IF(OR(H12="Web/PDF",H12="Paid"),2,0)),0)</f>
        <v>6</v>
      </c>
      <c r="K12" s="9" t="s">
        <v>156</v>
      </c>
    </row>
    <row r="13" customFormat="false" ht="42" hidden="false" customHeight="true" outlineLevel="0" collapsed="false">
      <c r="A13" s="10" t="n">
        <v>9</v>
      </c>
      <c r="B13" s="8" t="s">
        <v>157</v>
      </c>
      <c r="C13" s="8" t="s">
        <v>154</v>
      </c>
      <c r="D13" s="8" t="s">
        <v>56</v>
      </c>
      <c r="E13" s="8" t="s">
        <v>119</v>
      </c>
      <c r="F13" s="10" t="s">
        <v>128</v>
      </c>
      <c r="G13" s="10" t="s">
        <v>121</v>
      </c>
      <c r="H13" s="10" t="s">
        <v>129</v>
      </c>
      <c r="I13" s="8" t="s">
        <v>158</v>
      </c>
      <c r="J13" s="10" t="n">
        <f aca="false">IFERROR(IF(G13="High",3,IF(G13="Medium",2,IF(G13="Low",1,0)))+IF(OR(F13="Daily",F13="Weekly"),3,IF(F13="Monthly",2,IF(OR(F13="Quarterly",F13="Annual",F13="Irregular"),1,0)))+IF(H13="RSS/Email/API",3,IF(OR(H13="Web/PDF",H13="Paid"),2,0)),0)</f>
        <v>6</v>
      </c>
      <c r="K13" s="8" t="s">
        <v>159</v>
      </c>
    </row>
    <row r="14" customFormat="false" ht="42" hidden="false" customHeight="true" outlineLevel="0" collapsed="false">
      <c r="A14" s="11" t="n">
        <v>10</v>
      </c>
      <c r="B14" s="9" t="s">
        <v>160</v>
      </c>
      <c r="C14" s="9" t="s">
        <v>161</v>
      </c>
      <c r="D14" s="9" t="s">
        <v>56</v>
      </c>
      <c r="E14" s="9" t="s">
        <v>162</v>
      </c>
      <c r="F14" s="11" t="s">
        <v>133</v>
      </c>
      <c r="G14" s="11" t="s">
        <v>121</v>
      </c>
      <c r="H14" s="11" t="s">
        <v>129</v>
      </c>
      <c r="I14" s="9" t="s">
        <v>163</v>
      </c>
      <c r="J14" s="11" t="n">
        <f aca="false">IFERROR(IF(G14="High",3,IF(G14="Medium",2,IF(G14="Low",1,0)))+IF(OR(F14="Daily",F14="Weekly"),3,IF(F14="Monthly",2,IF(OR(F14="Quarterly",F14="Annual",F14="Irregular"),1,0)))+IF(H14="RSS/Email/API",3,IF(OR(H14="Web/PDF",H14="Paid"),2,0)),0)</f>
        <v>6</v>
      </c>
      <c r="K14" s="9" t="s">
        <v>164</v>
      </c>
    </row>
    <row r="15" customFormat="false" ht="42" hidden="false" customHeight="true" outlineLevel="0" collapsed="false">
      <c r="A15" s="10" t="n">
        <v>11</v>
      </c>
      <c r="B15" s="8" t="s">
        <v>165</v>
      </c>
      <c r="C15" s="8" t="s">
        <v>166</v>
      </c>
      <c r="D15" s="8" t="s">
        <v>56</v>
      </c>
      <c r="E15" s="8" t="s">
        <v>127</v>
      </c>
      <c r="F15" s="10" t="s">
        <v>133</v>
      </c>
      <c r="G15" s="10" t="s">
        <v>121</v>
      </c>
      <c r="H15" s="10" t="s">
        <v>129</v>
      </c>
      <c r="I15" s="8" t="s">
        <v>167</v>
      </c>
      <c r="J15" s="10" t="n">
        <f aca="false">IFERROR(IF(G15="High",3,IF(G15="Medium",2,IF(G15="Low",1,0)))+IF(OR(F15="Daily",F15="Weekly"),3,IF(F15="Monthly",2,IF(OR(F15="Quarterly",F15="Annual",F15="Irregular"),1,0)))+IF(H15="RSS/Email/API",3,IF(OR(H15="Web/PDF",H15="Paid"),2,0)),0)</f>
        <v>6</v>
      </c>
      <c r="K15" s="8" t="s">
        <v>168</v>
      </c>
    </row>
    <row r="16" customFormat="false" ht="42" hidden="false" customHeight="true" outlineLevel="0" collapsed="false">
      <c r="A16" s="11" t="n">
        <v>12</v>
      </c>
      <c r="B16" s="9" t="s">
        <v>169</v>
      </c>
      <c r="C16" s="9" t="s">
        <v>170</v>
      </c>
      <c r="D16" s="9" t="s">
        <v>56</v>
      </c>
      <c r="E16" s="9" t="s">
        <v>119</v>
      </c>
      <c r="F16" s="11" t="s">
        <v>133</v>
      </c>
      <c r="G16" s="11" t="s">
        <v>121</v>
      </c>
      <c r="H16" s="11" t="s">
        <v>129</v>
      </c>
      <c r="I16" s="9" t="s">
        <v>171</v>
      </c>
      <c r="J16" s="11" t="n">
        <f aca="false">IFERROR(IF(G16="High",3,IF(G16="Medium",2,IF(G16="Low",1,0)))+IF(OR(F16="Daily",F16="Weekly"),3,IF(F16="Monthly",2,IF(OR(F16="Quarterly",F16="Annual",F16="Irregular"),1,0)))+IF(H16="RSS/Email/API",3,IF(OR(H16="Web/PDF",H16="Paid"),2,0)),0)</f>
        <v>6</v>
      </c>
      <c r="K16" s="9" t="s">
        <v>172</v>
      </c>
    </row>
    <row r="17" customFormat="false" ht="42" hidden="false" customHeight="true" outlineLevel="0" collapsed="false">
      <c r="A17" s="10" t="n">
        <v>13</v>
      </c>
      <c r="B17" s="8" t="s">
        <v>173</v>
      </c>
      <c r="C17" s="8" t="s">
        <v>174</v>
      </c>
      <c r="D17" s="8" t="s">
        <v>175</v>
      </c>
      <c r="E17" s="8" t="s">
        <v>141</v>
      </c>
      <c r="F17" s="10" t="s">
        <v>176</v>
      </c>
      <c r="G17" s="10" t="s">
        <v>121</v>
      </c>
      <c r="H17" s="10" t="s">
        <v>122</v>
      </c>
      <c r="I17" s="8" t="s">
        <v>177</v>
      </c>
      <c r="J17" s="10" t="n">
        <f aca="false">IFERROR(IF(G17="High",3,IF(G17="Medium",2,IF(G17="Low",1,0)))+IF(OR(F17="Daily",F17="Weekly"),3,IF(F17="Monthly",2,IF(OR(F17="Quarterly",F17="Annual",F17="Irregular"),1,0)))+IF(H17="RSS/Email/API",3,IF(OR(H17="Web/PDF",H17="Paid"),2,0)),0)</f>
        <v>9</v>
      </c>
      <c r="K17" s="8" t="s">
        <v>178</v>
      </c>
    </row>
    <row r="18" customFormat="false" ht="42" hidden="false" customHeight="true" outlineLevel="0" collapsed="false">
      <c r="A18" s="11" t="n">
        <v>14</v>
      </c>
      <c r="B18" s="9" t="s">
        <v>179</v>
      </c>
      <c r="C18" s="9" t="s">
        <v>180</v>
      </c>
      <c r="D18" s="9" t="s">
        <v>175</v>
      </c>
      <c r="E18" s="9" t="s">
        <v>141</v>
      </c>
      <c r="F18" s="11" t="s">
        <v>176</v>
      </c>
      <c r="G18" s="11" t="s">
        <v>121</v>
      </c>
      <c r="H18" s="11" t="s">
        <v>122</v>
      </c>
      <c r="I18" s="9" t="s">
        <v>181</v>
      </c>
      <c r="J18" s="11" t="n">
        <f aca="false">IFERROR(IF(G18="High",3,IF(G18="Medium",2,IF(G18="Low",1,0)))+IF(OR(F18="Daily",F18="Weekly"),3,IF(F18="Monthly",2,IF(OR(F18="Quarterly",F18="Annual",F18="Irregular"),1,0)))+IF(H18="RSS/Email/API",3,IF(OR(H18="Web/PDF",H18="Paid"),2,0)),0)</f>
        <v>9</v>
      </c>
      <c r="K18" s="9" t="s">
        <v>182</v>
      </c>
    </row>
    <row r="19" customFormat="false" ht="42" hidden="false" customHeight="true" outlineLevel="0" collapsed="false">
      <c r="A19" s="10" t="n">
        <v>15</v>
      </c>
      <c r="B19" s="8" t="s">
        <v>183</v>
      </c>
      <c r="C19" s="8" t="s">
        <v>184</v>
      </c>
      <c r="D19" s="8" t="s">
        <v>175</v>
      </c>
      <c r="E19" s="8" t="s">
        <v>127</v>
      </c>
      <c r="F19" s="10" t="s">
        <v>185</v>
      </c>
      <c r="G19" s="10" t="s">
        <v>121</v>
      </c>
      <c r="H19" s="10" t="s">
        <v>122</v>
      </c>
      <c r="I19" s="8" t="s">
        <v>186</v>
      </c>
      <c r="J19" s="10" t="n">
        <f aca="false">IFERROR(IF(G19="High",3,IF(G19="Medium",2,IF(G19="Low",1,0)))+IF(OR(F19="Daily",F19="Weekly"),3,IF(F19="Monthly",2,IF(OR(F19="Quarterly",F19="Annual",F19="Irregular"),1,0)))+IF(H19="RSS/Email/API",3,IF(OR(H19="Web/PDF",H19="Paid"),2,0)),0)</f>
        <v>8</v>
      </c>
      <c r="K19" s="8" t="s">
        <v>187</v>
      </c>
    </row>
    <row r="20" customFormat="false" ht="42" hidden="false" customHeight="true" outlineLevel="0" collapsed="false">
      <c r="A20" s="11" t="n">
        <v>16</v>
      </c>
      <c r="B20" s="9" t="s">
        <v>188</v>
      </c>
      <c r="C20" s="9" t="s">
        <v>189</v>
      </c>
      <c r="D20" s="9" t="s">
        <v>175</v>
      </c>
      <c r="E20" s="9" t="s">
        <v>127</v>
      </c>
      <c r="F20" s="11" t="s">
        <v>176</v>
      </c>
      <c r="G20" s="11" t="s">
        <v>190</v>
      </c>
      <c r="H20" s="11" t="s">
        <v>122</v>
      </c>
      <c r="I20" s="9" t="s">
        <v>191</v>
      </c>
      <c r="J20" s="11" t="n">
        <f aca="false">IFERROR(IF(G20="High",3,IF(G20="Medium",2,IF(G20="Low",1,0)))+IF(OR(F20="Daily",F20="Weekly"),3,IF(F20="Monthly",2,IF(OR(F20="Quarterly",F20="Annual",F20="Irregular"),1,0)))+IF(H20="RSS/Email/API",3,IF(OR(H20="Web/PDF",H20="Paid"),2,0)),0)</f>
        <v>8</v>
      </c>
      <c r="K20" s="9" t="s">
        <v>192</v>
      </c>
    </row>
    <row r="21" customFormat="false" ht="42" hidden="false" customHeight="true" outlineLevel="0" collapsed="false">
      <c r="A21" s="10" t="n">
        <v>17</v>
      </c>
      <c r="B21" s="8" t="s">
        <v>193</v>
      </c>
      <c r="C21" s="8" t="s">
        <v>194</v>
      </c>
      <c r="D21" s="8" t="s">
        <v>175</v>
      </c>
      <c r="E21" s="8" t="s">
        <v>162</v>
      </c>
      <c r="F21" s="10" t="s">
        <v>176</v>
      </c>
      <c r="G21" s="10" t="s">
        <v>121</v>
      </c>
      <c r="H21" s="10" t="s">
        <v>122</v>
      </c>
      <c r="I21" s="8" t="s">
        <v>195</v>
      </c>
      <c r="J21" s="10" t="n">
        <f aca="false">IFERROR(IF(G21="High",3,IF(G21="Medium",2,IF(G21="Low",1,0)))+IF(OR(F21="Daily",F21="Weekly"),3,IF(F21="Monthly",2,IF(OR(F21="Quarterly",F21="Annual",F21="Irregular"),1,0)))+IF(H21="RSS/Email/API",3,IF(OR(H21="Web/PDF",H21="Paid"),2,0)),0)</f>
        <v>9</v>
      </c>
      <c r="K21" s="8" t="s">
        <v>196</v>
      </c>
    </row>
    <row r="22" customFormat="false" ht="42" hidden="false" customHeight="true" outlineLevel="0" collapsed="false">
      <c r="A22" s="11" t="n">
        <v>18</v>
      </c>
      <c r="B22" s="9" t="s">
        <v>197</v>
      </c>
      <c r="C22" s="9" t="s">
        <v>198</v>
      </c>
      <c r="D22" s="9" t="s">
        <v>175</v>
      </c>
      <c r="E22" s="9" t="s">
        <v>199</v>
      </c>
      <c r="F22" s="11" t="s">
        <v>185</v>
      </c>
      <c r="G22" s="11" t="s">
        <v>121</v>
      </c>
      <c r="H22" s="11" t="s">
        <v>122</v>
      </c>
      <c r="I22" s="9" t="s">
        <v>200</v>
      </c>
      <c r="J22" s="11" t="n">
        <f aca="false">IFERROR(IF(G22="High",3,IF(G22="Medium",2,IF(G22="Low",1,0)))+IF(OR(F22="Daily",F22="Weekly"),3,IF(F22="Monthly",2,IF(OR(F22="Quarterly",F22="Annual",F22="Irregular"),1,0)))+IF(H22="RSS/Email/API",3,IF(OR(H22="Web/PDF",H22="Paid"),2,0)),0)</f>
        <v>8</v>
      </c>
      <c r="K22" s="9" t="s">
        <v>201</v>
      </c>
    </row>
    <row r="23" customFormat="false" ht="42" hidden="false" customHeight="true" outlineLevel="0" collapsed="false">
      <c r="A23" s="10" t="n">
        <v>19</v>
      </c>
      <c r="B23" s="8" t="s">
        <v>202</v>
      </c>
      <c r="C23" s="8" t="s">
        <v>203</v>
      </c>
      <c r="D23" s="8" t="s">
        <v>175</v>
      </c>
      <c r="E23" s="8" t="s">
        <v>150</v>
      </c>
      <c r="F23" s="10" t="s">
        <v>176</v>
      </c>
      <c r="G23" s="10" t="s">
        <v>121</v>
      </c>
      <c r="H23" s="10" t="s">
        <v>122</v>
      </c>
      <c r="I23" s="8" t="s">
        <v>204</v>
      </c>
      <c r="J23" s="10" t="n">
        <f aca="false">IFERROR(IF(G23="High",3,IF(G23="Medium",2,IF(G23="Low",1,0)))+IF(OR(F23="Daily",F23="Weekly"),3,IF(F23="Monthly",2,IF(OR(F23="Quarterly",F23="Annual",F23="Irregular"),1,0)))+IF(H23="RSS/Email/API",3,IF(OR(H23="Web/PDF",H23="Paid"),2,0)),0)</f>
        <v>9</v>
      </c>
      <c r="K23" s="8" t="s">
        <v>205</v>
      </c>
    </row>
    <row r="24" customFormat="false" ht="42" hidden="false" customHeight="true" outlineLevel="0" collapsed="false">
      <c r="A24" s="11" t="n">
        <v>20</v>
      </c>
      <c r="B24" s="9" t="s">
        <v>206</v>
      </c>
      <c r="C24" s="9" t="s">
        <v>207</v>
      </c>
      <c r="D24" s="9" t="s">
        <v>175</v>
      </c>
      <c r="E24" s="9" t="s">
        <v>141</v>
      </c>
      <c r="F24" s="11" t="s">
        <v>176</v>
      </c>
      <c r="G24" s="11" t="s">
        <v>190</v>
      </c>
      <c r="H24" s="11" t="s">
        <v>122</v>
      </c>
      <c r="I24" s="9" t="s">
        <v>208</v>
      </c>
      <c r="J24" s="11" t="n">
        <f aca="false">IFERROR(IF(G24="High",3,IF(G24="Medium",2,IF(G24="Low",1,0)))+IF(OR(F24="Daily",F24="Weekly"),3,IF(F24="Monthly",2,IF(OR(F24="Quarterly",F24="Annual",F24="Irregular"),1,0)))+IF(H24="RSS/Email/API",3,IF(OR(H24="Web/PDF",H24="Paid"),2,0)),0)</f>
        <v>8</v>
      </c>
      <c r="K24" s="9" t="s">
        <v>209</v>
      </c>
    </row>
    <row r="25" customFormat="false" ht="42" hidden="false" customHeight="true" outlineLevel="0" collapsed="false">
      <c r="A25" s="10" t="n">
        <v>21</v>
      </c>
      <c r="B25" s="8" t="s">
        <v>210</v>
      </c>
      <c r="C25" s="8" t="s">
        <v>211</v>
      </c>
      <c r="D25" s="8" t="s">
        <v>175</v>
      </c>
      <c r="E25" s="8" t="s">
        <v>141</v>
      </c>
      <c r="F25" s="10" t="s">
        <v>185</v>
      </c>
      <c r="G25" s="10" t="s">
        <v>190</v>
      </c>
      <c r="H25" s="10" t="s">
        <v>122</v>
      </c>
      <c r="I25" s="8" t="s">
        <v>212</v>
      </c>
      <c r="J25" s="10" t="n">
        <f aca="false">IFERROR(IF(G25="High",3,IF(G25="Medium",2,IF(G25="Low",1,0)))+IF(OR(F25="Daily",F25="Weekly"),3,IF(F25="Monthly",2,IF(OR(F25="Quarterly",F25="Annual",F25="Irregular"),1,0)))+IF(H25="RSS/Email/API",3,IF(OR(H25="Web/PDF",H25="Paid"),2,0)),0)</f>
        <v>7</v>
      </c>
      <c r="K25" s="8" t="s">
        <v>213</v>
      </c>
    </row>
    <row r="26" customFormat="false" ht="42" hidden="false" customHeight="true" outlineLevel="0" collapsed="false">
      <c r="A26" s="11" t="n">
        <v>22</v>
      </c>
      <c r="B26" s="9" t="s">
        <v>214</v>
      </c>
      <c r="C26" s="9" t="s">
        <v>215</v>
      </c>
      <c r="D26" s="9" t="s">
        <v>175</v>
      </c>
      <c r="E26" s="9" t="s">
        <v>141</v>
      </c>
      <c r="F26" s="11" t="s">
        <v>185</v>
      </c>
      <c r="G26" s="11" t="s">
        <v>190</v>
      </c>
      <c r="H26" s="11" t="s">
        <v>122</v>
      </c>
      <c r="I26" s="9" t="s">
        <v>216</v>
      </c>
      <c r="J26" s="11" t="n">
        <f aca="false">IFERROR(IF(G26="High",3,IF(G26="Medium",2,IF(G26="Low",1,0)))+IF(OR(F26="Daily",F26="Weekly"),3,IF(F26="Monthly",2,IF(OR(F26="Quarterly",F26="Annual",F26="Irregular"),1,0)))+IF(H26="RSS/Email/API",3,IF(OR(H26="Web/PDF",H26="Paid"),2,0)),0)</f>
        <v>7</v>
      </c>
      <c r="K26" s="9" t="s">
        <v>217</v>
      </c>
    </row>
    <row r="27" customFormat="false" ht="42" hidden="false" customHeight="true" outlineLevel="0" collapsed="false">
      <c r="A27" s="10" t="n">
        <v>23</v>
      </c>
      <c r="B27" s="8" t="s">
        <v>218</v>
      </c>
      <c r="C27" s="8" t="s">
        <v>219</v>
      </c>
      <c r="D27" s="8" t="s">
        <v>175</v>
      </c>
      <c r="E27" s="8" t="s">
        <v>220</v>
      </c>
      <c r="F27" s="10" t="s">
        <v>185</v>
      </c>
      <c r="G27" s="10" t="s">
        <v>190</v>
      </c>
      <c r="H27" s="10" t="s">
        <v>122</v>
      </c>
      <c r="I27" s="8" t="s">
        <v>221</v>
      </c>
      <c r="J27" s="10" t="n">
        <f aca="false">IFERROR(IF(G27="High",3,IF(G27="Medium",2,IF(G27="Low",1,0)))+IF(OR(F27="Daily",F27="Weekly"),3,IF(F27="Monthly",2,IF(OR(F27="Quarterly",F27="Annual",F27="Irregular"),1,0)))+IF(H27="RSS/Email/API",3,IF(OR(H27="Web/PDF",H27="Paid"),2,0)),0)</f>
        <v>7</v>
      </c>
      <c r="K27" s="8" t="s">
        <v>222</v>
      </c>
    </row>
    <row r="28" customFormat="false" ht="42" hidden="false" customHeight="true" outlineLevel="0" collapsed="false">
      <c r="A28" s="11" t="n">
        <v>24</v>
      </c>
      <c r="B28" s="9" t="s">
        <v>223</v>
      </c>
      <c r="C28" s="9" t="s">
        <v>224</v>
      </c>
      <c r="D28" s="9" t="s">
        <v>175</v>
      </c>
      <c r="E28" s="9" t="s">
        <v>220</v>
      </c>
      <c r="F28" s="11" t="s">
        <v>185</v>
      </c>
      <c r="G28" s="11" t="s">
        <v>190</v>
      </c>
      <c r="H28" s="11" t="s">
        <v>122</v>
      </c>
      <c r="I28" s="9" t="s">
        <v>225</v>
      </c>
      <c r="J28" s="11" t="n">
        <f aca="false">IFERROR(IF(G28="High",3,IF(G28="Medium",2,IF(G28="Low",1,0)))+IF(OR(F28="Daily",F28="Weekly"),3,IF(F28="Monthly",2,IF(OR(F28="Quarterly",F28="Annual",F28="Irregular"),1,0)))+IF(H28="RSS/Email/API",3,IF(OR(H28="Web/PDF",H28="Paid"),2,0)),0)</f>
        <v>7</v>
      </c>
      <c r="K28" s="9" t="s">
        <v>226</v>
      </c>
    </row>
    <row r="29" customFormat="false" ht="42" hidden="false" customHeight="true" outlineLevel="0" collapsed="false">
      <c r="A29" s="10" t="n">
        <v>25</v>
      </c>
      <c r="B29" s="8" t="s">
        <v>227</v>
      </c>
      <c r="C29" s="8" t="s">
        <v>228</v>
      </c>
      <c r="D29" s="8" t="s">
        <v>175</v>
      </c>
      <c r="E29" s="8" t="s">
        <v>141</v>
      </c>
      <c r="F29" s="10" t="s">
        <v>185</v>
      </c>
      <c r="G29" s="10" t="s">
        <v>229</v>
      </c>
      <c r="H29" s="10" t="s">
        <v>122</v>
      </c>
      <c r="I29" s="8" t="s">
        <v>230</v>
      </c>
      <c r="J29" s="10" t="n">
        <f aca="false">IFERROR(IF(G29="High",3,IF(G29="Medium",2,IF(G29="Low",1,0)))+IF(OR(F29="Daily",F29="Weekly"),3,IF(F29="Monthly",2,IF(OR(F29="Quarterly",F29="Annual",F29="Irregular"),1,0)))+IF(H29="RSS/Email/API",3,IF(OR(H29="Web/PDF",H29="Paid"),2,0)),0)</f>
        <v>6</v>
      </c>
      <c r="K29" s="8" t="s">
        <v>231</v>
      </c>
    </row>
    <row r="30" customFormat="false" ht="42" hidden="false" customHeight="true" outlineLevel="0" collapsed="false">
      <c r="A30" s="11" t="n">
        <v>26</v>
      </c>
      <c r="B30" s="9" t="s">
        <v>232</v>
      </c>
      <c r="C30" s="9" t="s">
        <v>233</v>
      </c>
      <c r="D30" s="9" t="s">
        <v>175</v>
      </c>
      <c r="E30" s="9" t="s">
        <v>119</v>
      </c>
      <c r="F30" s="11" t="s">
        <v>176</v>
      </c>
      <c r="G30" s="11" t="s">
        <v>121</v>
      </c>
      <c r="H30" s="11" t="s">
        <v>122</v>
      </c>
      <c r="I30" s="9" t="s">
        <v>234</v>
      </c>
      <c r="J30" s="11" t="n">
        <f aca="false">IFERROR(IF(G30="High",3,IF(G30="Medium",2,IF(G30="Low",1,0)))+IF(OR(F30="Daily",F30="Weekly"),3,IF(F30="Monthly",2,IF(OR(F30="Quarterly",F30="Annual",F30="Irregular"),1,0)))+IF(H30="RSS/Email/API",3,IF(OR(H30="Web/PDF",H30="Paid"),2,0)),0)</f>
        <v>9</v>
      </c>
      <c r="K30" s="9" t="s">
        <v>235</v>
      </c>
    </row>
    <row r="31" customFormat="false" ht="42" hidden="false" customHeight="true" outlineLevel="0" collapsed="false">
      <c r="A31" s="10" t="n">
        <v>27</v>
      </c>
      <c r="B31" s="8" t="s">
        <v>236</v>
      </c>
      <c r="C31" s="8" t="s">
        <v>237</v>
      </c>
      <c r="D31" s="8" t="s">
        <v>175</v>
      </c>
      <c r="E31" s="8" t="s">
        <v>127</v>
      </c>
      <c r="F31" s="10" t="s">
        <v>185</v>
      </c>
      <c r="G31" s="10" t="s">
        <v>190</v>
      </c>
      <c r="H31" s="10" t="s">
        <v>122</v>
      </c>
      <c r="I31" s="8" t="s">
        <v>238</v>
      </c>
      <c r="J31" s="10" t="n">
        <f aca="false">IFERROR(IF(G31="High",3,IF(G31="Medium",2,IF(G31="Low",1,0)))+IF(OR(F31="Daily",F31="Weekly"),3,IF(F31="Monthly",2,IF(OR(F31="Quarterly",F31="Annual",F31="Irregular"),1,0)))+IF(H31="RSS/Email/API",3,IF(OR(H31="Web/PDF",H31="Paid"),2,0)),0)</f>
        <v>7</v>
      </c>
      <c r="K31" s="8" t="s">
        <v>239</v>
      </c>
    </row>
    <row r="32" customFormat="false" ht="42" hidden="false" customHeight="true" outlineLevel="0" collapsed="false">
      <c r="A32" s="11" t="n">
        <v>28</v>
      </c>
      <c r="B32" s="9" t="s">
        <v>240</v>
      </c>
      <c r="C32" s="9" t="s">
        <v>241</v>
      </c>
      <c r="D32" s="9" t="s">
        <v>175</v>
      </c>
      <c r="E32" s="9" t="s">
        <v>162</v>
      </c>
      <c r="F32" s="11" t="s">
        <v>176</v>
      </c>
      <c r="G32" s="11" t="s">
        <v>121</v>
      </c>
      <c r="H32" s="11" t="s">
        <v>122</v>
      </c>
      <c r="I32" s="9" t="s">
        <v>242</v>
      </c>
      <c r="J32" s="11" t="n">
        <f aca="false">IFERROR(IF(G32="High",3,IF(G32="Medium",2,IF(G32="Low",1,0)))+IF(OR(F32="Daily",F32="Weekly"),3,IF(F32="Monthly",2,IF(OR(F32="Quarterly",F32="Annual",F32="Irregular"),1,0)))+IF(H32="RSS/Email/API",3,IF(OR(H32="Web/PDF",H32="Paid"),2,0)),0)</f>
        <v>9</v>
      </c>
      <c r="K32" s="9" t="s">
        <v>243</v>
      </c>
    </row>
    <row r="33" customFormat="false" ht="42" hidden="false" customHeight="true" outlineLevel="0" collapsed="false">
      <c r="A33" s="10" t="n">
        <v>29</v>
      </c>
      <c r="B33" s="8" t="s">
        <v>244</v>
      </c>
      <c r="C33" s="8" t="s">
        <v>166</v>
      </c>
      <c r="D33" s="8" t="s">
        <v>175</v>
      </c>
      <c r="E33" s="8" t="s">
        <v>141</v>
      </c>
      <c r="F33" s="10" t="s">
        <v>176</v>
      </c>
      <c r="G33" s="10" t="s">
        <v>190</v>
      </c>
      <c r="H33" s="10" t="s">
        <v>122</v>
      </c>
      <c r="I33" s="8" t="s">
        <v>245</v>
      </c>
      <c r="J33" s="10" t="n">
        <f aca="false">IFERROR(IF(G33="High",3,IF(G33="Medium",2,IF(G33="Low",1,0)))+IF(OR(F33="Daily",F33="Weekly"),3,IF(F33="Monthly",2,IF(OR(F33="Quarterly",F33="Annual",F33="Irregular"),1,0)))+IF(H33="RSS/Email/API",3,IF(OR(H33="Web/PDF",H33="Paid"),2,0)),0)</f>
        <v>8</v>
      </c>
      <c r="K33" s="8" t="s">
        <v>246</v>
      </c>
    </row>
    <row r="34" customFormat="false" ht="42" hidden="false" customHeight="true" outlineLevel="0" collapsed="false">
      <c r="A34" s="11" t="n">
        <v>30</v>
      </c>
      <c r="B34" s="9" t="s">
        <v>247</v>
      </c>
      <c r="C34" s="9" t="s">
        <v>166</v>
      </c>
      <c r="D34" s="9" t="s">
        <v>66</v>
      </c>
      <c r="E34" s="9" t="s">
        <v>119</v>
      </c>
      <c r="F34" s="11" t="s">
        <v>120</v>
      </c>
      <c r="G34" s="11" t="s">
        <v>121</v>
      </c>
      <c r="H34" s="11" t="s">
        <v>122</v>
      </c>
      <c r="I34" s="9" t="s">
        <v>248</v>
      </c>
      <c r="J34" s="11" t="n">
        <f aca="false">IFERROR(IF(G34="High",3,IF(G34="Medium",2,IF(G34="Low",1,0)))+IF(OR(F34="Daily",F34="Weekly"),3,IF(F34="Monthly",2,IF(OR(F34="Quarterly",F34="Annual",F34="Irregular"),1,0)))+IF(H34="RSS/Email/API",3,IF(OR(H34="Web/PDF",H34="Paid"),2,0)),0)</f>
        <v>9</v>
      </c>
      <c r="K34" s="9" t="s">
        <v>249</v>
      </c>
    </row>
    <row r="35" customFormat="false" ht="42" hidden="false" customHeight="true" outlineLevel="0" collapsed="false">
      <c r="A35" s="10" t="n">
        <v>31</v>
      </c>
      <c r="B35" s="8" t="s">
        <v>250</v>
      </c>
      <c r="C35" s="8" t="s">
        <v>166</v>
      </c>
      <c r="D35" s="8" t="s">
        <v>66</v>
      </c>
      <c r="E35" s="8" t="s">
        <v>119</v>
      </c>
      <c r="F35" s="10" t="s">
        <v>120</v>
      </c>
      <c r="G35" s="10" t="s">
        <v>121</v>
      </c>
      <c r="H35" s="10" t="s">
        <v>122</v>
      </c>
      <c r="I35" s="8" t="s">
        <v>251</v>
      </c>
      <c r="J35" s="10" t="n">
        <f aca="false">IFERROR(IF(G35="High",3,IF(G35="Medium",2,IF(G35="Low",1,0)))+IF(OR(F35="Daily",F35="Weekly"),3,IF(F35="Monthly",2,IF(OR(F35="Quarterly",F35="Annual",F35="Irregular"),1,0)))+IF(H35="RSS/Email/API",3,IF(OR(H35="Web/PDF",H35="Paid"),2,0)),0)</f>
        <v>9</v>
      </c>
      <c r="K35" s="8" t="s">
        <v>252</v>
      </c>
    </row>
    <row r="36" customFormat="false" ht="42" hidden="false" customHeight="true" outlineLevel="0" collapsed="false">
      <c r="A36" s="11" t="n">
        <v>32</v>
      </c>
      <c r="B36" s="9" t="s">
        <v>253</v>
      </c>
      <c r="C36" s="9" t="s">
        <v>254</v>
      </c>
      <c r="D36" s="9" t="s">
        <v>66</v>
      </c>
      <c r="E36" s="9" t="s">
        <v>119</v>
      </c>
      <c r="F36" s="11" t="s">
        <v>185</v>
      </c>
      <c r="G36" s="11" t="s">
        <v>121</v>
      </c>
      <c r="H36" s="11" t="s">
        <v>129</v>
      </c>
      <c r="I36" s="9" t="s">
        <v>255</v>
      </c>
      <c r="J36" s="11" t="n">
        <f aca="false">IFERROR(IF(G36="High",3,IF(G36="Medium",2,IF(G36="Low",1,0)))+IF(OR(F36="Daily",F36="Weekly"),3,IF(F36="Monthly",2,IF(OR(F36="Quarterly",F36="Annual",F36="Irregular"),1,0)))+IF(H36="RSS/Email/API",3,IF(OR(H36="Web/PDF",H36="Paid"),2,0)),0)</f>
        <v>7</v>
      </c>
      <c r="K36" s="9" t="s">
        <v>256</v>
      </c>
    </row>
    <row r="37" customFormat="false" ht="42" hidden="false" customHeight="true" outlineLevel="0" collapsed="false">
      <c r="A37" s="10" t="n">
        <v>33</v>
      </c>
      <c r="B37" s="8" t="s">
        <v>257</v>
      </c>
      <c r="C37" s="8" t="s">
        <v>258</v>
      </c>
      <c r="D37" s="8" t="s">
        <v>66</v>
      </c>
      <c r="E37" s="8" t="s">
        <v>259</v>
      </c>
      <c r="F37" s="10" t="s">
        <v>120</v>
      </c>
      <c r="G37" s="10" t="s">
        <v>121</v>
      </c>
      <c r="H37" s="10" t="s">
        <v>122</v>
      </c>
      <c r="I37" s="8" t="s">
        <v>260</v>
      </c>
      <c r="J37" s="10" t="n">
        <f aca="false">IFERROR(IF(G37="High",3,IF(G37="Medium",2,IF(G37="Low",1,0)))+IF(OR(F37="Daily",F37="Weekly"),3,IF(F37="Monthly",2,IF(OR(F37="Quarterly",F37="Annual",F37="Irregular"),1,0)))+IF(H37="RSS/Email/API",3,IF(OR(H37="Web/PDF",H37="Paid"),2,0)),0)</f>
        <v>9</v>
      </c>
      <c r="K37" s="8" t="s">
        <v>261</v>
      </c>
    </row>
    <row r="38" customFormat="false" ht="42" hidden="false" customHeight="true" outlineLevel="0" collapsed="false">
      <c r="A38" s="11" t="n">
        <v>34</v>
      </c>
      <c r="B38" s="9" t="s">
        <v>262</v>
      </c>
      <c r="C38" s="9" t="s">
        <v>263</v>
      </c>
      <c r="D38" s="9" t="s">
        <v>66</v>
      </c>
      <c r="E38" s="9" t="s">
        <v>259</v>
      </c>
      <c r="F38" s="11" t="s">
        <v>120</v>
      </c>
      <c r="G38" s="11" t="s">
        <v>121</v>
      </c>
      <c r="H38" s="11" t="s">
        <v>122</v>
      </c>
      <c r="I38" s="9" t="s">
        <v>264</v>
      </c>
      <c r="J38" s="11" t="n">
        <f aca="false">IFERROR(IF(G38="High",3,IF(G38="Medium",2,IF(G38="Low",1,0)))+IF(OR(F38="Daily",F38="Weekly"),3,IF(F38="Monthly",2,IF(OR(F38="Quarterly",F38="Annual",F38="Irregular"),1,0)))+IF(H38="RSS/Email/API",3,IF(OR(H38="Web/PDF",H38="Paid"),2,0)),0)</f>
        <v>9</v>
      </c>
      <c r="K38" s="9" t="s">
        <v>265</v>
      </c>
    </row>
    <row r="39" customFormat="false" ht="42" hidden="false" customHeight="true" outlineLevel="0" collapsed="false">
      <c r="A39" s="10" t="n">
        <v>35</v>
      </c>
      <c r="B39" s="8" t="s">
        <v>266</v>
      </c>
      <c r="C39" s="8" t="s">
        <v>267</v>
      </c>
      <c r="D39" s="8" t="s">
        <v>66</v>
      </c>
      <c r="E39" s="8" t="s">
        <v>259</v>
      </c>
      <c r="F39" s="10" t="s">
        <v>120</v>
      </c>
      <c r="G39" s="10" t="s">
        <v>121</v>
      </c>
      <c r="H39" s="10" t="s">
        <v>122</v>
      </c>
      <c r="I39" s="8" t="s">
        <v>268</v>
      </c>
      <c r="J39" s="10" t="n">
        <f aca="false">IFERROR(IF(G39="High",3,IF(G39="Medium",2,IF(G39="Low",1,0)))+IF(OR(F39="Daily",F39="Weekly"),3,IF(F39="Monthly",2,IF(OR(F39="Quarterly",F39="Annual",F39="Irregular"),1,0)))+IF(H39="RSS/Email/API",3,IF(OR(H39="Web/PDF",H39="Paid"),2,0)),0)</f>
        <v>9</v>
      </c>
      <c r="K39" s="8" t="s">
        <v>269</v>
      </c>
    </row>
    <row r="40" customFormat="false" ht="42" hidden="false" customHeight="true" outlineLevel="0" collapsed="false">
      <c r="A40" s="11" t="n">
        <v>36</v>
      </c>
      <c r="B40" s="9" t="s">
        <v>270</v>
      </c>
      <c r="C40" s="9" t="s">
        <v>271</v>
      </c>
      <c r="D40" s="9" t="s">
        <v>66</v>
      </c>
      <c r="E40" s="9" t="s">
        <v>150</v>
      </c>
      <c r="F40" s="11" t="s">
        <v>272</v>
      </c>
      <c r="G40" s="11" t="s">
        <v>121</v>
      </c>
      <c r="H40" s="11" t="s">
        <v>129</v>
      </c>
      <c r="I40" s="9" t="s">
        <v>273</v>
      </c>
      <c r="J40" s="11" t="n">
        <f aca="false">IFERROR(IF(G40="High",3,IF(G40="Medium",2,IF(G40="Low",1,0)))+IF(OR(F40="Daily",F40="Weekly"),3,IF(F40="Monthly",2,IF(OR(F40="Quarterly",F40="Annual",F40="Irregular"),1,0)))+IF(H40="RSS/Email/API",3,IF(OR(H40="Web/PDF",H40="Paid"),2,0)),0)</f>
        <v>6</v>
      </c>
      <c r="K40" s="9" t="s">
        <v>274</v>
      </c>
    </row>
    <row r="41" customFormat="false" ht="42" hidden="false" customHeight="true" outlineLevel="0" collapsed="false">
      <c r="A41" s="10" t="n">
        <v>37</v>
      </c>
      <c r="B41" s="8" t="s">
        <v>275</v>
      </c>
      <c r="C41" s="8" t="s">
        <v>276</v>
      </c>
      <c r="D41" s="8" t="s">
        <v>66</v>
      </c>
      <c r="E41" s="8" t="s">
        <v>127</v>
      </c>
      <c r="F41" s="10" t="s">
        <v>185</v>
      </c>
      <c r="G41" s="10" t="s">
        <v>121</v>
      </c>
      <c r="H41" s="10" t="s">
        <v>129</v>
      </c>
      <c r="I41" s="8" t="s">
        <v>277</v>
      </c>
      <c r="J41" s="10" t="n">
        <f aca="false">IFERROR(IF(G41="High",3,IF(G41="Medium",2,IF(G41="Low",1,0)))+IF(OR(F41="Daily",F41="Weekly"),3,IF(F41="Monthly",2,IF(OR(F41="Quarterly",F41="Annual",F41="Irregular"),1,0)))+IF(H41="RSS/Email/API",3,IF(OR(H41="Web/PDF",H41="Paid"),2,0)),0)</f>
        <v>7</v>
      </c>
      <c r="K41" s="8" t="s">
        <v>278</v>
      </c>
    </row>
    <row r="42" customFormat="false" ht="42" hidden="false" customHeight="true" outlineLevel="0" collapsed="false">
      <c r="A42" s="11" t="n">
        <v>38</v>
      </c>
      <c r="B42" s="9" t="s">
        <v>279</v>
      </c>
      <c r="C42" s="9" t="s">
        <v>280</v>
      </c>
      <c r="D42" s="9" t="s">
        <v>66</v>
      </c>
      <c r="E42" s="9" t="s">
        <v>127</v>
      </c>
      <c r="F42" s="11" t="s">
        <v>185</v>
      </c>
      <c r="G42" s="11" t="s">
        <v>121</v>
      </c>
      <c r="H42" s="11" t="s">
        <v>129</v>
      </c>
      <c r="I42" s="9" t="s">
        <v>281</v>
      </c>
      <c r="J42" s="11" t="n">
        <f aca="false">IFERROR(IF(G42="High",3,IF(G42="Medium",2,IF(G42="Low",1,0)))+IF(OR(F42="Daily",F42="Weekly"),3,IF(F42="Monthly",2,IF(OR(F42="Quarterly",F42="Annual",F42="Irregular"),1,0)))+IF(H42="RSS/Email/API",3,IF(OR(H42="Web/PDF",H42="Paid"),2,0)),0)</f>
        <v>7</v>
      </c>
      <c r="K42" s="9" t="s">
        <v>282</v>
      </c>
    </row>
    <row r="43" customFormat="false" ht="42" hidden="false" customHeight="true" outlineLevel="0" collapsed="false">
      <c r="A43" s="10" t="n">
        <v>39</v>
      </c>
      <c r="B43" s="8" t="s">
        <v>283</v>
      </c>
      <c r="C43" s="8" t="s">
        <v>284</v>
      </c>
      <c r="D43" s="8" t="s">
        <v>66</v>
      </c>
      <c r="E43" s="8" t="s">
        <v>127</v>
      </c>
      <c r="F43" s="10" t="s">
        <v>185</v>
      </c>
      <c r="G43" s="10" t="s">
        <v>121</v>
      </c>
      <c r="H43" s="10" t="s">
        <v>129</v>
      </c>
      <c r="I43" s="8" t="s">
        <v>285</v>
      </c>
      <c r="J43" s="10" t="n">
        <f aca="false">IFERROR(IF(G43="High",3,IF(G43="Medium",2,IF(G43="Low",1,0)))+IF(OR(F43="Daily",F43="Weekly"),3,IF(F43="Monthly",2,IF(OR(F43="Quarterly",F43="Annual",F43="Irregular"),1,0)))+IF(H43="RSS/Email/API",3,IF(OR(H43="Web/PDF",H43="Paid"),2,0)),0)</f>
        <v>7</v>
      </c>
      <c r="K43" s="8" t="s">
        <v>286</v>
      </c>
    </row>
    <row r="44" customFormat="false" ht="42" hidden="false" customHeight="true" outlineLevel="0" collapsed="false">
      <c r="A44" s="11" t="n">
        <v>40</v>
      </c>
      <c r="B44" s="9" t="s">
        <v>287</v>
      </c>
      <c r="C44" s="9" t="s">
        <v>288</v>
      </c>
      <c r="D44" s="9" t="s">
        <v>66</v>
      </c>
      <c r="E44" s="9" t="s">
        <v>119</v>
      </c>
      <c r="F44" s="11" t="s">
        <v>120</v>
      </c>
      <c r="G44" s="11" t="s">
        <v>121</v>
      </c>
      <c r="H44" s="11" t="s">
        <v>289</v>
      </c>
      <c r="I44" s="9" t="s">
        <v>290</v>
      </c>
      <c r="J44" s="11" t="n">
        <f aca="false">IFERROR(IF(G44="High",3,IF(G44="Medium",2,IF(G44="Low",1,0)))+IF(OR(F44="Daily",F44="Weekly"),3,IF(F44="Monthly",2,IF(OR(F44="Quarterly",F44="Annual",F44="Irregular"),1,0)))+IF(H44="RSS/Email/API",3,IF(OR(H44="Web/PDF",H44="Paid"),2,0)),0)</f>
        <v>8</v>
      </c>
      <c r="K44" s="9" t="s">
        <v>291</v>
      </c>
    </row>
    <row r="45" customFormat="false" ht="42" hidden="false" customHeight="true" outlineLevel="0" collapsed="false">
      <c r="A45" s="10" t="n">
        <v>41</v>
      </c>
      <c r="B45" s="8" t="s">
        <v>292</v>
      </c>
      <c r="C45" s="8" t="s">
        <v>293</v>
      </c>
      <c r="D45" s="8" t="s">
        <v>66</v>
      </c>
      <c r="E45" s="8" t="s">
        <v>119</v>
      </c>
      <c r="F45" s="10" t="s">
        <v>120</v>
      </c>
      <c r="G45" s="10" t="s">
        <v>121</v>
      </c>
      <c r="H45" s="10" t="s">
        <v>289</v>
      </c>
      <c r="I45" s="8" t="s">
        <v>294</v>
      </c>
      <c r="J45" s="10" t="n">
        <f aca="false">IFERROR(IF(G45="High",3,IF(G45="Medium",2,IF(G45="Low",1,0)))+IF(OR(F45="Daily",F45="Weekly"),3,IF(F45="Monthly",2,IF(OR(F45="Quarterly",F45="Annual",F45="Irregular"),1,0)))+IF(H45="RSS/Email/API",3,IF(OR(H45="Web/PDF",H45="Paid"),2,0)),0)</f>
        <v>8</v>
      </c>
      <c r="K45" s="8" t="s">
        <v>295</v>
      </c>
    </row>
    <row r="46" customFormat="false" ht="42" hidden="false" customHeight="true" outlineLevel="0" collapsed="false">
      <c r="A46" s="11" t="n">
        <v>42</v>
      </c>
      <c r="B46" s="9" t="s">
        <v>296</v>
      </c>
      <c r="C46" s="9" t="s">
        <v>297</v>
      </c>
      <c r="D46" s="9" t="s">
        <v>66</v>
      </c>
      <c r="E46" s="9" t="s">
        <v>119</v>
      </c>
      <c r="F46" s="11" t="s">
        <v>120</v>
      </c>
      <c r="G46" s="11" t="s">
        <v>190</v>
      </c>
      <c r="H46" s="11" t="s">
        <v>289</v>
      </c>
      <c r="I46" s="9" t="s">
        <v>298</v>
      </c>
      <c r="J46" s="11" t="n">
        <f aca="false">IFERROR(IF(G46="High",3,IF(G46="Medium",2,IF(G46="Low",1,0)))+IF(OR(F46="Daily",F46="Weekly"),3,IF(F46="Monthly",2,IF(OR(F46="Quarterly",F46="Annual",F46="Irregular"),1,0)))+IF(H46="RSS/Email/API",3,IF(OR(H46="Web/PDF",H46="Paid"),2,0)),0)</f>
        <v>7</v>
      </c>
      <c r="K46" s="9" t="s">
        <v>299</v>
      </c>
    </row>
    <row r="47" customFormat="false" ht="42" hidden="false" customHeight="true" outlineLevel="0" collapsed="false">
      <c r="A47" s="10" t="n">
        <v>43</v>
      </c>
      <c r="B47" s="8" t="s">
        <v>300</v>
      </c>
      <c r="C47" s="8" t="s">
        <v>301</v>
      </c>
      <c r="D47" s="8" t="s">
        <v>66</v>
      </c>
      <c r="E47" s="8" t="s">
        <v>119</v>
      </c>
      <c r="F47" s="10" t="s">
        <v>120</v>
      </c>
      <c r="G47" s="10" t="s">
        <v>190</v>
      </c>
      <c r="H47" s="10" t="s">
        <v>289</v>
      </c>
      <c r="I47" s="8" t="s">
        <v>302</v>
      </c>
      <c r="J47" s="10" t="n">
        <f aca="false">IFERROR(IF(G47="High",3,IF(G47="Medium",2,IF(G47="Low",1,0)))+IF(OR(F47="Daily",F47="Weekly"),3,IF(F47="Monthly",2,IF(OR(F47="Quarterly",F47="Annual",F47="Irregular"),1,0)))+IF(H47="RSS/Email/API",3,IF(OR(H47="Web/PDF",H47="Paid"),2,0)),0)</f>
        <v>7</v>
      </c>
      <c r="K47" s="8" t="s">
        <v>303</v>
      </c>
    </row>
    <row r="48" customFormat="false" ht="42" hidden="false" customHeight="true" outlineLevel="0" collapsed="false">
      <c r="A48" s="11" t="n">
        <v>44</v>
      </c>
      <c r="B48" s="9" t="s">
        <v>304</v>
      </c>
      <c r="C48" s="9" t="s">
        <v>305</v>
      </c>
      <c r="D48" s="9" t="s">
        <v>71</v>
      </c>
      <c r="E48" s="9" t="s">
        <v>119</v>
      </c>
      <c r="F48" s="11" t="s">
        <v>176</v>
      </c>
      <c r="G48" s="11" t="s">
        <v>121</v>
      </c>
      <c r="H48" s="11" t="s">
        <v>122</v>
      </c>
      <c r="I48" s="9" t="s">
        <v>306</v>
      </c>
      <c r="J48" s="11" t="n">
        <f aca="false">IFERROR(IF(G48="High",3,IF(G48="Medium",2,IF(G48="Low",1,0)))+IF(OR(F48="Daily",F48="Weekly"),3,IF(F48="Monthly",2,IF(OR(F48="Quarterly",F48="Annual",F48="Irregular"),1,0)))+IF(H48="RSS/Email/API",3,IF(OR(H48="Web/PDF",H48="Paid"),2,0)),0)</f>
        <v>9</v>
      </c>
      <c r="K48" s="9" t="s">
        <v>307</v>
      </c>
    </row>
    <row r="49" customFormat="false" ht="42" hidden="false" customHeight="true" outlineLevel="0" collapsed="false">
      <c r="A49" s="10" t="n">
        <v>45</v>
      </c>
      <c r="B49" s="8" t="s">
        <v>308</v>
      </c>
      <c r="C49" s="8" t="s">
        <v>309</v>
      </c>
      <c r="D49" s="8" t="s">
        <v>71</v>
      </c>
      <c r="E49" s="8" t="s">
        <v>119</v>
      </c>
      <c r="F49" s="10" t="s">
        <v>176</v>
      </c>
      <c r="G49" s="10" t="s">
        <v>121</v>
      </c>
      <c r="H49" s="10" t="s">
        <v>122</v>
      </c>
      <c r="I49" s="8" t="s">
        <v>310</v>
      </c>
      <c r="J49" s="10" t="n">
        <f aca="false">IFERROR(IF(G49="High",3,IF(G49="Medium",2,IF(G49="Low",1,0)))+IF(OR(F49="Daily",F49="Weekly"),3,IF(F49="Monthly",2,IF(OR(F49="Quarterly",F49="Annual",F49="Irregular"),1,0)))+IF(H49="RSS/Email/API",3,IF(OR(H49="Web/PDF",H49="Paid"),2,0)),0)</f>
        <v>9</v>
      </c>
      <c r="K49" s="8" t="s">
        <v>311</v>
      </c>
    </row>
    <row r="50" customFormat="false" ht="42" hidden="false" customHeight="true" outlineLevel="0" collapsed="false">
      <c r="A50" s="11" t="n">
        <v>46</v>
      </c>
      <c r="B50" s="9" t="s">
        <v>312</v>
      </c>
      <c r="C50" s="9" t="s">
        <v>309</v>
      </c>
      <c r="D50" s="9" t="s">
        <v>71</v>
      </c>
      <c r="E50" s="9" t="s">
        <v>127</v>
      </c>
      <c r="F50" s="11" t="s">
        <v>176</v>
      </c>
      <c r="G50" s="11" t="s">
        <v>121</v>
      </c>
      <c r="H50" s="11" t="s">
        <v>122</v>
      </c>
      <c r="I50" s="9" t="s">
        <v>313</v>
      </c>
      <c r="J50" s="11" t="n">
        <f aca="false">IFERROR(IF(G50="High",3,IF(G50="Medium",2,IF(G50="Low",1,0)))+IF(OR(F50="Daily",F50="Weekly"),3,IF(F50="Monthly",2,IF(OR(F50="Quarterly",F50="Annual",F50="Irregular"),1,0)))+IF(H50="RSS/Email/API",3,IF(OR(H50="Web/PDF",H50="Paid"),2,0)),0)</f>
        <v>9</v>
      </c>
      <c r="K50" s="9" t="s">
        <v>314</v>
      </c>
    </row>
    <row r="51" customFormat="false" ht="42" hidden="false" customHeight="true" outlineLevel="0" collapsed="false">
      <c r="A51" s="10" t="n">
        <v>47</v>
      </c>
      <c r="B51" s="8" t="s">
        <v>315</v>
      </c>
      <c r="C51" s="8" t="s">
        <v>309</v>
      </c>
      <c r="D51" s="8" t="s">
        <v>71</v>
      </c>
      <c r="E51" s="8" t="s">
        <v>162</v>
      </c>
      <c r="F51" s="10" t="s">
        <v>176</v>
      </c>
      <c r="G51" s="10" t="s">
        <v>121</v>
      </c>
      <c r="H51" s="10" t="s">
        <v>122</v>
      </c>
      <c r="I51" s="8" t="s">
        <v>316</v>
      </c>
      <c r="J51" s="10" t="n">
        <f aca="false">IFERROR(IF(G51="High",3,IF(G51="Medium",2,IF(G51="Low",1,0)))+IF(OR(F51="Daily",F51="Weekly"),3,IF(F51="Monthly",2,IF(OR(F51="Quarterly",F51="Annual",F51="Irregular"),1,0)))+IF(H51="RSS/Email/API",3,IF(OR(H51="Web/PDF",H51="Paid"),2,0)),0)</f>
        <v>9</v>
      </c>
      <c r="K51" s="8" t="s">
        <v>317</v>
      </c>
    </row>
    <row r="52" customFormat="false" ht="42" hidden="false" customHeight="true" outlineLevel="0" collapsed="false">
      <c r="A52" s="11" t="n">
        <v>48</v>
      </c>
      <c r="B52" s="9" t="s">
        <v>318</v>
      </c>
      <c r="C52" s="9" t="s">
        <v>309</v>
      </c>
      <c r="D52" s="9" t="s">
        <v>71</v>
      </c>
      <c r="E52" s="9" t="s">
        <v>150</v>
      </c>
      <c r="F52" s="11" t="s">
        <v>176</v>
      </c>
      <c r="G52" s="11" t="s">
        <v>121</v>
      </c>
      <c r="H52" s="11" t="s">
        <v>122</v>
      </c>
      <c r="I52" s="9" t="s">
        <v>319</v>
      </c>
      <c r="J52" s="11" t="n">
        <f aca="false">IFERROR(IF(G52="High",3,IF(G52="Medium",2,IF(G52="Low",1,0)))+IF(OR(F52="Daily",F52="Weekly"),3,IF(F52="Monthly",2,IF(OR(F52="Quarterly",F52="Annual",F52="Irregular"),1,0)))+IF(H52="RSS/Email/API",3,IF(OR(H52="Web/PDF",H52="Paid"),2,0)),0)</f>
        <v>9</v>
      </c>
      <c r="K52" s="9" t="s">
        <v>320</v>
      </c>
    </row>
    <row r="53" customFormat="false" ht="42" hidden="false" customHeight="true" outlineLevel="0" collapsed="false">
      <c r="A53" s="10" t="n">
        <v>49</v>
      </c>
      <c r="B53" s="8" t="s">
        <v>321</v>
      </c>
      <c r="C53" s="8" t="s">
        <v>309</v>
      </c>
      <c r="D53" s="8" t="s">
        <v>71</v>
      </c>
      <c r="E53" s="8" t="s">
        <v>199</v>
      </c>
      <c r="F53" s="10" t="s">
        <v>176</v>
      </c>
      <c r="G53" s="10" t="s">
        <v>121</v>
      </c>
      <c r="H53" s="10" t="s">
        <v>122</v>
      </c>
      <c r="I53" s="8" t="s">
        <v>322</v>
      </c>
      <c r="J53" s="10" t="n">
        <f aca="false">IFERROR(IF(G53="High",3,IF(G53="Medium",2,IF(G53="Low",1,0)))+IF(OR(F53="Daily",F53="Weekly"),3,IF(F53="Monthly",2,IF(OR(F53="Quarterly",F53="Annual",F53="Irregular"),1,0)))+IF(H53="RSS/Email/API",3,IF(OR(H53="Web/PDF",H53="Paid"),2,0)),0)</f>
        <v>9</v>
      </c>
      <c r="K53" s="8" t="s">
        <v>323</v>
      </c>
    </row>
    <row r="54" customFormat="false" ht="42" hidden="false" customHeight="true" outlineLevel="0" collapsed="false">
      <c r="A54" s="11" t="n">
        <v>50</v>
      </c>
      <c r="B54" s="9" t="s">
        <v>324</v>
      </c>
      <c r="C54" s="9" t="s">
        <v>309</v>
      </c>
      <c r="D54" s="9" t="s">
        <v>71</v>
      </c>
      <c r="E54" s="9" t="s">
        <v>220</v>
      </c>
      <c r="F54" s="11" t="s">
        <v>176</v>
      </c>
      <c r="G54" s="11" t="s">
        <v>121</v>
      </c>
      <c r="H54" s="11" t="s">
        <v>122</v>
      </c>
      <c r="I54" s="9" t="s">
        <v>325</v>
      </c>
      <c r="J54" s="11" t="n">
        <f aca="false">IFERROR(IF(G54="High",3,IF(G54="Medium",2,IF(G54="Low",1,0)))+IF(OR(F54="Daily",F54="Weekly"),3,IF(F54="Monthly",2,IF(OR(F54="Quarterly",F54="Annual",F54="Irregular"),1,0)))+IF(H54="RSS/Email/API",3,IF(OR(H54="Web/PDF",H54="Paid"),2,0)),0)</f>
        <v>9</v>
      </c>
      <c r="K54" s="9" t="s">
        <v>326</v>
      </c>
    </row>
    <row r="55" customFormat="false" ht="42" hidden="false" customHeight="true" outlineLevel="0" collapsed="false">
      <c r="A55" s="10" t="n">
        <v>51</v>
      </c>
      <c r="B55" s="8" t="s">
        <v>327</v>
      </c>
      <c r="C55" s="8" t="s">
        <v>309</v>
      </c>
      <c r="D55" s="8" t="s">
        <v>71</v>
      </c>
      <c r="E55" s="8" t="s">
        <v>141</v>
      </c>
      <c r="F55" s="10" t="s">
        <v>176</v>
      </c>
      <c r="G55" s="10" t="s">
        <v>121</v>
      </c>
      <c r="H55" s="10" t="s">
        <v>122</v>
      </c>
      <c r="I55" s="8" t="s">
        <v>328</v>
      </c>
      <c r="J55" s="10" t="n">
        <f aca="false">IFERROR(IF(G55="High",3,IF(G55="Medium",2,IF(G55="Low",1,0)))+IF(OR(F55="Daily",F55="Weekly"),3,IF(F55="Monthly",2,IF(OR(F55="Quarterly",F55="Annual",F55="Irregular"),1,0)))+IF(H55="RSS/Email/API",3,IF(OR(H55="Web/PDF",H55="Paid"),2,0)),0)</f>
        <v>9</v>
      </c>
      <c r="K55" s="8" t="s">
        <v>329</v>
      </c>
    </row>
    <row r="56" customFormat="false" ht="42" hidden="false" customHeight="true" outlineLevel="0" collapsed="false">
      <c r="A56" s="11" t="n">
        <v>52</v>
      </c>
      <c r="B56" s="9" t="s">
        <v>330</v>
      </c>
      <c r="C56" s="9" t="s">
        <v>309</v>
      </c>
      <c r="D56" s="9" t="s">
        <v>71</v>
      </c>
      <c r="E56" s="9" t="s">
        <v>119</v>
      </c>
      <c r="F56" s="11" t="s">
        <v>120</v>
      </c>
      <c r="G56" s="11" t="s">
        <v>190</v>
      </c>
      <c r="H56" s="11" t="s">
        <v>122</v>
      </c>
      <c r="I56" s="9" t="s">
        <v>331</v>
      </c>
      <c r="J56" s="11" t="n">
        <f aca="false">IFERROR(IF(G56="High",3,IF(G56="Medium",2,IF(G56="Low",1,0)))+IF(OR(F56="Daily",F56="Weekly"),3,IF(F56="Monthly",2,IF(OR(F56="Quarterly",F56="Annual",F56="Irregular"),1,0)))+IF(H56="RSS/Email/API",3,IF(OR(H56="Web/PDF",H56="Paid"),2,0)),0)</f>
        <v>8</v>
      </c>
      <c r="K56" s="9" t="s">
        <v>332</v>
      </c>
    </row>
    <row r="57" customFormat="false" ht="42" hidden="false" customHeight="true" outlineLevel="0" collapsed="false">
      <c r="A57" s="10" t="n">
        <v>53</v>
      </c>
      <c r="B57" s="8" t="s">
        <v>333</v>
      </c>
      <c r="C57" s="8" t="s">
        <v>334</v>
      </c>
      <c r="D57" s="8" t="s">
        <v>71</v>
      </c>
      <c r="E57" s="8" t="s">
        <v>119</v>
      </c>
      <c r="F57" s="10" t="s">
        <v>176</v>
      </c>
      <c r="G57" s="10" t="s">
        <v>190</v>
      </c>
      <c r="H57" s="10" t="s">
        <v>122</v>
      </c>
      <c r="I57" s="8" t="s">
        <v>335</v>
      </c>
      <c r="J57" s="10" t="n">
        <f aca="false">IFERROR(IF(G57="High",3,IF(G57="Medium",2,IF(G57="Low",1,0)))+IF(OR(F57="Daily",F57="Weekly"),3,IF(F57="Monthly",2,IF(OR(F57="Quarterly",F57="Annual",F57="Irregular"),1,0)))+IF(H57="RSS/Email/API",3,IF(OR(H57="Web/PDF",H57="Paid"),2,0)),0)</f>
        <v>8</v>
      </c>
      <c r="K57" s="8" t="s">
        <v>336</v>
      </c>
    </row>
    <row r="58" customFormat="false" ht="42" hidden="false" customHeight="true" outlineLevel="0" collapsed="false">
      <c r="A58" s="11" t="n">
        <v>54</v>
      </c>
      <c r="B58" s="9" t="s">
        <v>337</v>
      </c>
      <c r="C58" s="9" t="s">
        <v>338</v>
      </c>
      <c r="D58" s="9" t="s">
        <v>71</v>
      </c>
      <c r="E58" s="9" t="s">
        <v>119</v>
      </c>
      <c r="F58" s="11" t="s">
        <v>120</v>
      </c>
      <c r="G58" s="11" t="s">
        <v>190</v>
      </c>
      <c r="H58" s="11" t="s">
        <v>122</v>
      </c>
      <c r="I58" s="9" t="s">
        <v>339</v>
      </c>
      <c r="J58" s="11" t="n">
        <f aca="false">IFERROR(IF(G58="High",3,IF(G58="Medium",2,IF(G58="Low",1,0)))+IF(OR(F58="Daily",F58="Weekly"),3,IF(F58="Monthly",2,IF(OR(F58="Quarterly",F58="Annual",F58="Irregular"),1,0)))+IF(H58="RSS/Email/API",3,IF(OR(H58="Web/PDF",H58="Paid"),2,0)),0)</f>
        <v>8</v>
      </c>
      <c r="K58" s="9" t="s">
        <v>340</v>
      </c>
    </row>
    <row r="59" customFormat="false" ht="42" hidden="false" customHeight="true" outlineLevel="0" collapsed="false">
      <c r="A59" s="10" t="n">
        <v>55</v>
      </c>
      <c r="B59" s="8" t="s">
        <v>341</v>
      </c>
      <c r="C59" s="8" t="s">
        <v>338</v>
      </c>
      <c r="D59" s="8" t="s">
        <v>71</v>
      </c>
      <c r="E59" s="8" t="s">
        <v>119</v>
      </c>
      <c r="F59" s="10" t="s">
        <v>120</v>
      </c>
      <c r="G59" s="10" t="s">
        <v>190</v>
      </c>
      <c r="H59" s="10" t="s">
        <v>122</v>
      </c>
      <c r="I59" s="8" t="s">
        <v>342</v>
      </c>
      <c r="J59" s="10" t="n">
        <f aca="false">IFERROR(IF(G59="High",3,IF(G59="Medium",2,IF(G59="Low",1,0)))+IF(OR(F59="Daily",F59="Weekly"),3,IF(F59="Monthly",2,IF(OR(F59="Quarterly",F59="Annual",F59="Irregular"),1,0)))+IF(H59="RSS/Email/API",3,IF(OR(H59="Web/PDF",H59="Paid"),2,0)),0)</f>
        <v>8</v>
      </c>
      <c r="K59" s="8" t="s">
        <v>343</v>
      </c>
    </row>
    <row r="60" customFormat="false" ht="42" hidden="false" customHeight="true" outlineLevel="0" collapsed="false">
      <c r="A60" s="11" t="n">
        <v>56</v>
      </c>
      <c r="B60" s="9" t="s">
        <v>344</v>
      </c>
      <c r="C60" s="9" t="s">
        <v>345</v>
      </c>
      <c r="D60" s="9" t="s">
        <v>76</v>
      </c>
      <c r="E60" s="9" t="s">
        <v>119</v>
      </c>
      <c r="F60" s="11" t="s">
        <v>128</v>
      </c>
      <c r="G60" s="11" t="s">
        <v>121</v>
      </c>
      <c r="H60" s="11" t="s">
        <v>129</v>
      </c>
      <c r="I60" s="9" t="s">
        <v>346</v>
      </c>
      <c r="J60" s="11" t="n">
        <f aca="false">IFERROR(IF(G60="High",3,IF(G60="Medium",2,IF(G60="Low",1,0)))+IF(OR(F60="Daily",F60="Weekly"),3,IF(F60="Monthly",2,IF(OR(F60="Quarterly",F60="Annual",F60="Irregular"),1,0)))+IF(H60="RSS/Email/API",3,IF(OR(H60="Web/PDF",H60="Paid"),2,0)),0)</f>
        <v>6</v>
      </c>
      <c r="K60" s="9" t="s">
        <v>347</v>
      </c>
    </row>
    <row r="61" customFormat="false" ht="42" hidden="false" customHeight="true" outlineLevel="0" collapsed="false">
      <c r="A61" s="10" t="n">
        <v>57</v>
      </c>
      <c r="B61" s="8" t="s">
        <v>348</v>
      </c>
      <c r="C61" s="8" t="s">
        <v>345</v>
      </c>
      <c r="D61" s="8" t="s">
        <v>76</v>
      </c>
      <c r="E61" s="8" t="s">
        <v>119</v>
      </c>
      <c r="F61" s="10" t="s">
        <v>185</v>
      </c>
      <c r="G61" s="10" t="s">
        <v>190</v>
      </c>
      <c r="H61" s="10" t="s">
        <v>122</v>
      </c>
      <c r="I61" s="8" t="s">
        <v>346</v>
      </c>
      <c r="J61" s="10" t="n">
        <f aca="false">IFERROR(IF(G61="High",3,IF(G61="Medium",2,IF(G61="Low",1,0)))+IF(OR(F61="Daily",F61="Weekly"),3,IF(F61="Monthly",2,IF(OR(F61="Quarterly",F61="Annual",F61="Irregular"),1,0)))+IF(H61="RSS/Email/API",3,IF(OR(H61="Web/PDF",H61="Paid"),2,0)),0)</f>
        <v>7</v>
      </c>
      <c r="K61" s="8" t="s">
        <v>349</v>
      </c>
    </row>
    <row r="62" customFormat="false" ht="42" hidden="false" customHeight="true" outlineLevel="0" collapsed="false">
      <c r="A62" s="11" t="n">
        <v>58</v>
      </c>
      <c r="B62" s="9" t="s">
        <v>350</v>
      </c>
      <c r="C62" s="9" t="s">
        <v>126</v>
      </c>
      <c r="D62" s="9" t="s">
        <v>76</v>
      </c>
      <c r="E62" s="9" t="s">
        <v>127</v>
      </c>
      <c r="F62" s="11" t="s">
        <v>185</v>
      </c>
      <c r="G62" s="11" t="s">
        <v>121</v>
      </c>
      <c r="H62" s="11" t="s">
        <v>129</v>
      </c>
      <c r="I62" s="9" t="s">
        <v>351</v>
      </c>
      <c r="J62" s="11" t="n">
        <f aca="false">IFERROR(IF(G62="High",3,IF(G62="Medium",2,IF(G62="Low",1,0)))+IF(OR(F62="Daily",F62="Weekly"),3,IF(F62="Monthly",2,IF(OR(F62="Quarterly",F62="Annual",F62="Irregular"),1,0)))+IF(H62="RSS/Email/API",3,IF(OR(H62="Web/PDF",H62="Paid"),2,0)),0)</f>
        <v>7</v>
      </c>
      <c r="K62" s="9" t="s">
        <v>352</v>
      </c>
    </row>
    <row r="63" customFormat="false" ht="42" hidden="false" customHeight="true" outlineLevel="0" collapsed="false">
      <c r="A63" s="10" t="n">
        <v>59</v>
      </c>
      <c r="B63" s="8" t="s">
        <v>353</v>
      </c>
      <c r="C63" s="8" t="s">
        <v>203</v>
      </c>
      <c r="D63" s="8" t="s">
        <v>76</v>
      </c>
      <c r="E63" s="8" t="s">
        <v>150</v>
      </c>
      <c r="F63" s="10" t="s">
        <v>128</v>
      </c>
      <c r="G63" s="10" t="s">
        <v>121</v>
      </c>
      <c r="H63" s="10" t="s">
        <v>129</v>
      </c>
      <c r="I63" s="8" t="s">
        <v>354</v>
      </c>
      <c r="J63" s="10" t="n">
        <f aca="false">IFERROR(IF(G63="High",3,IF(G63="Medium",2,IF(G63="Low",1,0)))+IF(OR(F63="Daily",F63="Weekly"),3,IF(F63="Monthly",2,IF(OR(F63="Quarterly",F63="Annual",F63="Irregular"),1,0)))+IF(H63="RSS/Email/API",3,IF(OR(H63="Web/PDF",H63="Paid"),2,0)),0)</f>
        <v>6</v>
      </c>
      <c r="K63" s="8" t="s">
        <v>355</v>
      </c>
    </row>
    <row r="64" customFormat="false" ht="42" hidden="false" customHeight="true" outlineLevel="0" collapsed="false">
      <c r="A64" s="11" t="n">
        <v>60</v>
      </c>
      <c r="B64" s="9" t="s">
        <v>356</v>
      </c>
      <c r="C64" s="9" t="s">
        <v>357</v>
      </c>
      <c r="D64" s="9" t="s">
        <v>76</v>
      </c>
      <c r="E64" s="9" t="s">
        <v>358</v>
      </c>
      <c r="F64" s="11" t="s">
        <v>128</v>
      </c>
      <c r="G64" s="11" t="s">
        <v>190</v>
      </c>
      <c r="H64" s="11" t="s">
        <v>129</v>
      </c>
      <c r="I64" s="9"/>
      <c r="J64" s="11" t="n">
        <f aca="false">IFERROR(IF(G64="High",3,IF(G64="Medium",2,IF(G64="Low",1,0)))+IF(OR(F64="Daily",F64="Weekly"),3,IF(F64="Monthly",2,IF(OR(F64="Quarterly",F64="Annual",F64="Irregular"),1,0)))+IF(H64="RSS/Email/API",3,IF(OR(H64="Web/PDF",H64="Paid"),2,0)),0)</f>
        <v>5</v>
      </c>
      <c r="K64" s="9" t="s">
        <v>359</v>
      </c>
    </row>
    <row r="65" customFormat="false" ht="42" hidden="false" customHeight="true" outlineLevel="0" collapsed="false">
      <c r="A65" s="10" t="n">
        <v>61</v>
      </c>
      <c r="B65" s="8" t="s">
        <v>360</v>
      </c>
      <c r="C65" s="8" t="s">
        <v>361</v>
      </c>
      <c r="D65" s="8" t="s">
        <v>76</v>
      </c>
      <c r="E65" s="8" t="s">
        <v>119</v>
      </c>
      <c r="F65" s="10" t="s">
        <v>128</v>
      </c>
      <c r="G65" s="10" t="s">
        <v>121</v>
      </c>
      <c r="H65" s="10" t="s">
        <v>129</v>
      </c>
      <c r="I65" s="8" t="s">
        <v>362</v>
      </c>
      <c r="J65" s="10" t="n">
        <f aca="false">IFERROR(IF(G65="High",3,IF(G65="Medium",2,IF(G65="Low",1,0)))+IF(OR(F65="Daily",F65="Weekly"),3,IF(F65="Monthly",2,IF(OR(F65="Quarterly",F65="Annual",F65="Irregular"),1,0)))+IF(H65="RSS/Email/API",3,IF(OR(H65="Web/PDF",H65="Paid"),2,0)),0)</f>
        <v>6</v>
      </c>
      <c r="K65" s="8" t="s">
        <v>363</v>
      </c>
    </row>
    <row r="66" customFormat="false" ht="42" hidden="false" customHeight="true" outlineLevel="0" collapsed="false">
      <c r="A66" s="11" t="n">
        <v>62</v>
      </c>
      <c r="B66" s="9" t="s">
        <v>364</v>
      </c>
      <c r="C66" s="9" t="s">
        <v>365</v>
      </c>
      <c r="D66" s="9" t="s">
        <v>76</v>
      </c>
      <c r="E66" s="9" t="s">
        <v>119</v>
      </c>
      <c r="F66" s="11" t="s">
        <v>272</v>
      </c>
      <c r="G66" s="11" t="s">
        <v>190</v>
      </c>
      <c r="H66" s="11" t="s">
        <v>129</v>
      </c>
      <c r="I66" s="9" t="s">
        <v>366</v>
      </c>
      <c r="J66" s="11" t="n">
        <f aca="false">IFERROR(IF(G66="High",3,IF(G66="Medium",2,IF(G66="Low",1,0)))+IF(OR(F66="Daily",F66="Weekly"),3,IF(F66="Monthly",2,IF(OR(F66="Quarterly",F66="Annual",F66="Irregular"),1,0)))+IF(H66="RSS/Email/API",3,IF(OR(H66="Web/PDF",H66="Paid"),2,0)),0)</f>
        <v>5</v>
      </c>
      <c r="K66" s="9" t="s">
        <v>367</v>
      </c>
    </row>
    <row r="67" customFormat="false" ht="42" hidden="false" customHeight="true" outlineLevel="0" collapsed="false">
      <c r="A67" s="10" t="n">
        <v>63</v>
      </c>
      <c r="B67" s="8" t="s">
        <v>368</v>
      </c>
      <c r="C67" s="8" t="s">
        <v>369</v>
      </c>
      <c r="D67" s="8" t="s">
        <v>81</v>
      </c>
      <c r="E67" s="8" t="s">
        <v>199</v>
      </c>
      <c r="F67" s="10" t="s">
        <v>176</v>
      </c>
      <c r="G67" s="10" t="s">
        <v>121</v>
      </c>
      <c r="H67" s="10" t="s">
        <v>122</v>
      </c>
      <c r="I67" s="8" t="s">
        <v>370</v>
      </c>
      <c r="J67" s="10" t="n">
        <f aca="false">IFERROR(IF(G67="High",3,IF(G67="Medium",2,IF(G67="Low",1,0)))+IF(OR(F67="Daily",F67="Weekly"),3,IF(F67="Monthly",2,IF(OR(F67="Quarterly",F67="Annual",F67="Irregular"),1,0)))+IF(H67="RSS/Email/API",3,IF(OR(H67="Web/PDF",H67="Paid"),2,0)),0)</f>
        <v>9</v>
      </c>
      <c r="K67" s="8" t="s">
        <v>371</v>
      </c>
    </row>
    <row r="68" customFormat="false" ht="42" hidden="false" customHeight="true" outlineLevel="0" collapsed="false">
      <c r="A68" s="11" t="n">
        <v>64</v>
      </c>
      <c r="B68" s="9" t="s">
        <v>372</v>
      </c>
      <c r="C68" s="9" t="s">
        <v>373</v>
      </c>
      <c r="D68" s="9" t="s">
        <v>81</v>
      </c>
      <c r="E68" s="9" t="s">
        <v>162</v>
      </c>
      <c r="F68" s="11" t="s">
        <v>176</v>
      </c>
      <c r="G68" s="11" t="s">
        <v>121</v>
      </c>
      <c r="H68" s="11" t="s">
        <v>122</v>
      </c>
      <c r="I68" s="9" t="s">
        <v>374</v>
      </c>
      <c r="J68" s="11" t="n">
        <f aca="false">IFERROR(IF(G68="High",3,IF(G68="Medium",2,IF(G68="Low",1,0)))+IF(OR(F68="Daily",F68="Weekly"),3,IF(F68="Monthly",2,IF(OR(F68="Quarterly",F68="Annual",F68="Irregular"),1,0)))+IF(H68="RSS/Email/API",3,IF(OR(H68="Web/PDF",H68="Paid"),2,0)),0)</f>
        <v>9</v>
      </c>
      <c r="K68" s="9" t="s">
        <v>375</v>
      </c>
    </row>
    <row r="69" customFormat="false" ht="42" hidden="false" customHeight="true" outlineLevel="0" collapsed="false">
      <c r="A69" s="10" t="n">
        <v>65</v>
      </c>
      <c r="B69" s="8" t="s">
        <v>376</v>
      </c>
      <c r="C69" s="8" t="s">
        <v>377</v>
      </c>
      <c r="D69" s="8" t="s">
        <v>81</v>
      </c>
      <c r="E69" s="8" t="s">
        <v>162</v>
      </c>
      <c r="F69" s="10" t="s">
        <v>176</v>
      </c>
      <c r="G69" s="10" t="s">
        <v>121</v>
      </c>
      <c r="H69" s="10" t="s">
        <v>122</v>
      </c>
      <c r="I69" s="8" t="s">
        <v>378</v>
      </c>
      <c r="J69" s="10" t="n">
        <f aca="false">IFERROR(IF(G69="High",3,IF(G69="Medium",2,IF(G69="Low",1,0)))+IF(OR(F69="Daily",F69="Weekly"),3,IF(F69="Monthly",2,IF(OR(F69="Quarterly",F69="Annual",F69="Irregular"),1,0)))+IF(H69="RSS/Email/API",3,IF(OR(H69="Web/PDF",H69="Paid"),2,0)),0)</f>
        <v>9</v>
      </c>
      <c r="K69" s="8" t="s">
        <v>379</v>
      </c>
    </row>
    <row r="70" customFormat="false" ht="42" hidden="false" customHeight="true" outlineLevel="0" collapsed="false">
      <c r="A70" s="11" t="n">
        <v>66</v>
      </c>
      <c r="B70" s="9" t="s">
        <v>380</v>
      </c>
      <c r="C70" s="9" t="s">
        <v>381</v>
      </c>
      <c r="D70" s="9" t="s">
        <v>81</v>
      </c>
      <c r="E70" s="9" t="s">
        <v>150</v>
      </c>
      <c r="F70" s="11" t="s">
        <v>120</v>
      </c>
      <c r="G70" s="11" t="s">
        <v>121</v>
      </c>
      <c r="H70" s="11" t="s">
        <v>122</v>
      </c>
      <c r="I70" s="9" t="s">
        <v>382</v>
      </c>
      <c r="J70" s="11" t="n">
        <f aca="false">IFERROR(IF(G70="High",3,IF(G70="Medium",2,IF(G70="Low",1,0)))+IF(OR(F70="Daily",F70="Weekly"),3,IF(F70="Monthly",2,IF(OR(F70="Quarterly",F70="Annual",F70="Irregular"),1,0)))+IF(H70="RSS/Email/API",3,IF(OR(H70="Web/PDF",H70="Paid"),2,0)),0)</f>
        <v>9</v>
      </c>
      <c r="K70" s="9" t="s">
        <v>383</v>
      </c>
    </row>
    <row r="71" customFormat="false" ht="42" hidden="false" customHeight="true" outlineLevel="0" collapsed="false">
      <c r="A71" s="10" t="n">
        <v>67</v>
      </c>
      <c r="B71" s="8" t="s">
        <v>384</v>
      </c>
      <c r="C71" s="8" t="s">
        <v>384</v>
      </c>
      <c r="D71" s="8" t="s">
        <v>81</v>
      </c>
      <c r="E71" s="8" t="s">
        <v>141</v>
      </c>
      <c r="F71" s="10" t="s">
        <v>120</v>
      </c>
      <c r="G71" s="10" t="s">
        <v>190</v>
      </c>
      <c r="H71" s="10" t="s">
        <v>122</v>
      </c>
      <c r="I71" s="8" t="s">
        <v>385</v>
      </c>
      <c r="J71" s="10" t="n">
        <f aca="false">IFERROR(IF(G71="High",3,IF(G71="Medium",2,IF(G71="Low",1,0)))+IF(OR(F71="Daily",F71="Weekly"),3,IF(F71="Monthly",2,IF(OR(F71="Quarterly",F71="Annual",F71="Irregular"),1,0)))+IF(H71="RSS/Email/API",3,IF(OR(H71="Web/PDF",H71="Paid"),2,0)),0)</f>
        <v>8</v>
      </c>
      <c r="K71" s="8" t="s">
        <v>386</v>
      </c>
    </row>
    <row r="72" customFormat="false" ht="42" hidden="false" customHeight="true" outlineLevel="0" collapsed="false">
      <c r="A72" s="11" t="n">
        <v>68</v>
      </c>
      <c r="B72" s="9" t="s">
        <v>387</v>
      </c>
      <c r="C72" s="9" t="s">
        <v>388</v>
      </c>
      <c r="D72" s="9" t="s">
        <v>81</v>
      </c>
      <c r="E72" s="9" t="s">
        <v>119</v>
      </c>
      <c r="F72" s="11" t="s">
        <v>176</v>
      </c>
      <c r="G72" s="11" t="s">
        <v>121</v>
      </c>
      <c r="H72" s="11" t="s">
        <v>122</v>
      </c>
      <c r="I72" s="9" t="s">
        <v>389</v>
      </c>
      <c r="J72" s="11" t="n">
        <f aca="false">IFERROR(IF(G72="High",3,IF(G72="Medium",2,IF(G72="Low",1,0)))+IF(OR(F72="Daily",F72="Weekly"),3,IF(F72="Monthly",2,IF(OR(F72="Quarterly",F72="Annual",F72="Irregular"),1,0)))+IF(H72="RSS/Email/API",3,IF(OR(H72="Web/PDF",H72="Paid"),2,0)),0)</f>
        <v>9</v>
      </c>
      <c r="K72" s="9" t="s">
        <v>390</v>
      </c>
    </row>
    <row r="73" customFormat="false" ht="42" hidden="false" customHeight="true" outlineLevel="0" collapsed="false">
      <c r="A73" s="10" t="n">
        <v>69</v>
      </c>
      <c r="B73" s="8" t="s">
        <v>391</v>
      </c>
      <c r="C73" s="8" t="s">
        <v>361</v>
      </c>
      <c r="D73" s="8" t="s">
        <v>81</v>
      </c>
      <c r="E73" s="8" t="s">
        <v>119</v>
      </c>
      <c r="F73" s="10" t="s">
        <v>272</v>
      </c>
      <c r="G73" s="10" t="s">
        <v>121</v>
      </c>
      <c r="H73" s="10" t="s">
        <v>129</v>
      </c>
      <c r="I73" s="8" t="s">
        <v>392</v>
      </c>
      <c r="J73" s="10" t="n">
        <f aca="false">IFERROR(IF(G73="High",3,IF(G73="Medium",2,IF(G73="Low",1,0)))+IF(OR(F73="Daily",F73="Weekly"),3,IF(F73="Monthly",2,IF(OR(F73="Quarterly",F73="Annual",F73="Irregular"),1,0)))+IF(H73="RSS/Email/API",3,IF(OR(H73="Web/PDF",H73="Paid"),2,0)),0)</f>
        <v>6</v>
      </c>
      <c r="K73" s="8" t="s">
        <v>393</v>
      </c>
    </row>
    <row r="74" customFormat="false" ht="42" hidden="false" customHeight="true" outlineLevel="0" collapsed="false">
      <c r="A74" s="11" t="n">
        <v>70</v>
      </c>
      <c r="B74" s="9" t="s">
        <v>394</v>
      </c>
      <c r="C74" s="9" t="s">
        <v>395</v>
      </c>
      <c r="D74" s="9" t="s">
        <v>81</v>
      </c>
      <c r="E74" s="9" t="s">
        <v>119</v>
      </c>
      <c r="F74" s="11" t="s">
        <v>176</v>
      </c>
      <c r="G74" s="11" t="s">
        <v>190</v>
      </c>
      <c r="H74" s="11" t="s">
        <v>122</v>
      </c>
      <c r="I74" s="9" t="s">
        <v>396</v>
      </c>
      <c r="J74" s="11" t="n">
        <f aca="false">IFERROR(IF(G74="High",3,IF(G74="Medium",2,IF(G74="Low",1,0)))+IF(OR(F74="Daily",F74="Weekly"),3,IF(F74="Monthly",2,IF(OR(F74="Quarterly",F74="Annual",F74="Irregular"),1,0)))+IF(H74="RSS/Email/API",3,IF(OR(H74="Web/PDF",H74="Paid"),2,0)),0)</f>
        <v>8</v>
      </c>
      <c r="K74" s="9" t="s">
        <v>397</v>
      </c>
    </row>
    <row r="75" customFormat="false" ht="42" hidden="false" customHeight="true" outlineLevel="0" collapsed="false">
      <c r="A75" s="10" t="n">
        <v>71</v>
      </c>
      <c r="B75" s="8" t="s">
        <v>398</v>
      </c>
      <c r="C75" s="8" t="s">
        <v>398</v>
      </c>
      <c r="D75" s="8" t="s">
        <v>86</v>
      </c>
      <c r="E75" s="8" t="s">
        <v>119</v>
      </c>
      <c r="F75" s="10" t="s">
        <v>176</v>
      </c>
      <c r="G75" s="10" t="s">
        <v>121</v>
      </c>
      <c r="H75" s="10" t="s">
        <v>122</v>
      </c>
      <c r="I75" s="8" t="s">
        <v>399</v>
      </c>
      <c r="J75" s="10" t="n">
        <f aca="false">IFERROR(IF(G75="High",3,IF(G75="Medium",2,IF(G75="Low",1,0)))+IF(OR(F75="Daily",F75="Weekly"),3,IF(F75="Monthly",2,IF(OR(F75="Quarterly",F75="Annual",F75="Irregular"),1,0)))+IF(H75="RSS/Email/API",3,IF(OR(H75="Web/PDF",H75="Paid"),2,0)),0)</f>
        <v>9</v>
      </c>
      <c r="K75" s="8" t="s">
        <v>400</v>
      </c>
    </row>
    <row r="76" customFormat="false" ht="42" hidden="false" customHeight="true" outlineLevel="0" collapsed="false">
      <c r="A76" s="11" t="n">
        <v>72</v>
      </c>
      <c r="B76" s="9" t="s">
        <v>401</v>
      </c>
      <c r="C76" s="9" t="s">
        <v>402</v>
      </c>
      <c r="D76" s="9" t="s">
        <v>86</v>
      </c>
      <c r="E76" s="9" t="s">
        <v>127</v>
      </c>
      <c r="F76" s="11" t="s">
        <v>176</v>
      </c>
      <c r="G76" s="11" t="s">
        <v>190</v>
      </c>
      <c r="H76" s="11" t="s">
        <v>122</v>
      </c>
      <c r="I76" s="9" t="s">
        <v>403</v>
      </c>
      <c r="J76" s="11" t="n">
        <f aca="false">IFERROR(IF(G76="High",3,IF(G76="Medium",2,IF(G76="Low",1,0)))+IF(OR(F76="Daily",F76="Weekly"),3,IF(F76="Monthly",2,IF(OR(F76="Quarterly",F76="Annual",F76="Irregular"),1,0)))+IF(H76="RSS/Email/API",3,IF(OR(H76="Web/PDF",H76="Paid"),2,0)),0)</f>
        <v>8</v>
      </c>
      <c r="K76" s="9" t="s">
        <v>404</v>
      </c>
    </row>
    <row r="77" customFormat="false" ht="42" hidden="false" customHeight="true" outlineLevel="0" collapsed="false">
      <c r="A77" s="10" t="n">
        <v>73</v>
      </c>
      <c r="B77" s="8" t="s">
        <v>405</v>
      </c>
      <c r="C77" s="8" t="s">
        <v>406</v>
      </c>
      <c r="D77" s="8" t="s">
        <v>86</v>
      </c>
      <c r="E77" s="8" t="s">
        <v>358</v>
      </c>
      <c r="F77" s="10" t="s">
        <v>176</v>
      </c>
      <c r="G77" s="10" t="s">
        <v>121</v>
      </c>
      <c r="H77" s="10" t="s">
        <v>122</v>
      </c>
      <c r="I77" s="8" t="s">
        <v>407</v>
      </c>
      <c r="J77" s="10" t="n">
        <f aca="false">IFERROR(IF(G77="High",3,IF(G77="Medium",2,IF(G77="Low",1,0)))+IF(OR(F77="Daily",F77="Weekly"),3,IF(F77="Monthly",2,IF(OR(F77="Quarterly",F77="Annual",F77="Irregular"),1,0)))+IF(H77="RSS/Email/API",3,IF(OR(H77="Web/PDF",H77="Paid"),2,0)),0)</f>
        <v>9</v>
      </c>
      <c r="K77" s="8" t="s">
        <v>408</v>
      </c>
    </row>
    <row r="78" customFormat="false" ht="42" hidden="false" customHeight="true" outlineLevel="0" collapsed="false">
      <c r="A78" s="11" t="n">
        <v>74</v>
      </c>
      <c r="B78" s="9" t="s">
        <v>409</v>
      </c>
      <c r="C78" s="9" t="s">
        <v>410</v>
      </c>
      <c r="D78" s="9" t="s">
        <v>86</v>
      </c>
      <c r="E78" s="9" t="s">
        <v>150</v>
      </c>
      <c r="F78" s="11" t="s">
        <v>176</v>
      </c>
      <c r="G78" s="11" t="s">
        <v>121</v>
      </c>
      <c r="H78" s="11" t="s">
        <v>122</v>
      </c>
      <c r="I78" s="9" t="s">
        <v>411</v>
      </c>
      <c r="J78" s="11" t="n">
        <f aca="false">IFERROR(IF(G78="High",3,IF(G78="Medium",2,IF(G78="Low",1,0)))+IF(OR(F78="Daily",F78="Weekly"),3,IF(F78="Monthly",2,IF(OR(F78="Quarterly",F78="Annual",F78="Irregular"),1,0)))+IF(H78="RSS/Email/API",3,IF(OR(H78="Web/PDF",H78="Paid"),2,0)),0)</f>
        <v>9</v>
      </c>
      <c r="K78" s="9" t="s">
        <v>412</v>
      </c>
    </row>
    <row r="79" customFormat="false" ht="42" hidden="false" customHeight="true" outlineLevel="0" collapsed="false">
      <c r="A79" s="10" t="n">
        <v>75</v>
      </c>
      <c r="B79" s="8" t="s">
        <v>413</v>
      </c>
      <c r="C79" s="8" t="s">
        <v>413</v>
      </c>
      <c r="D79" s="8" t="s">
        <v>86</v>
      </c>
      <c r="E79" s="8" t="s">
        <v>150</v>
      </c>
      <c r="F79" s="10" t="s">
        <v>176</v>
      </c>
      <c r="G79" s="10" t="s">
        <v>190</v>
      </c>
      <c r="H79" s="10" t="s">
        <v>122</v>
      </c>
      <c r="I79" s="8" t="s">
        <v>414</v>
      </c>
      <c r="J79" s="10" t="n">
        <f aca="false">IFERROR(IF(G79="High",3,IF(G79="Medium",2,IF(G79="Low",1,0)))+IF(OR(F79="Daily",F79="Weekly"),3,IF(F79="Monthly",2,IF(OR(F79="Quarterly",F79="Annual",F79="Irregular"),1,0)))+IF(H79="RSS/Email/API",3,IF(OR(H79="Web/PDF",H79="Paid"),2,0)),0)</f>
        <v>8</v>
      </c>
      <c r="K79" s="8" t="s">
        <v>415</v>
      </c>
    </row>
    <row r="80" customFormat="false" ht="42" hidden="false" customHeight="true" outlineLevel="0" collapsed="false">
      <c r="A80" s="11" t="n">
        <v>76</v>
      </c>
      <c r="B80" s="9" t="s">
        <v>416</v>
      </c>
      <c r="C80" s="9" t="s">
        <v>417</v>
      </c>
      <c r="D80" s="9" t="s">
        <v>86</v>
      </c>
      <c r="E80" s="9" t="s">
        <v>141</v>
      </c>
      <c r="F80" s="11" t="s">
        <v>176</v>
      </c>
      <c r="G80" s="11" t="s">
        <v>121</v>
      </c>
      <c r="H80" s="11" t="s">
        <v>289</v>
      </c>
      <c r="I80" s="9" t="s">
        <v>418</v>
      </c>
      <c r="J80" s="11" t="n">
        <f aca="false">IFERROR(IF(G80="High",3,IF(G80="Medium",2,IF(G80="Low",1,0)))+IF(OR(F80="Daily",F80="Weekly"),3,IF(F80="Monthly",2,IF(OR(F80="Quarterly",F80="Annual",F80="Irregular"),1,0)))+IF(H80="RSS/Email/API",3,IF(OR(H80="Web/PDF",H80="Paid"),2,0)),0)</f>
        <v>8</v>
      </c>
      <c r="K80" s="9" t="s">
        <v>419</v>
      </c>
    </row>
    <row r="81" customFormat="false" ht="42" hidden="false" customHeight="true" outlineLevel="0" collapsed="false">
      <c r="A81" s="10" t="n">
        <v>77</v>
      </c>
      <c r="B81" s="8" t="s">
        <v>420</v>
      </c>
      <c r="C81" s="8" t="s">
        <v>421</v>
      </c>
      <c r="D81" s="8" t="s">
        <v>86</v>
      </c>
      <c r="E81" s="8" t="s">
        <v>119</v>
      </c>
      <c r="F81" s="10" t="s">
        <v>185</v>
      </c>
      <c r="G81" s="10" t="s">
        <v>229</v>
      </c>
      <c r="H81" s="10" t="s">
        <v>122</v>
      </c>
      <c r="I81" s="8" t="s">
        <v>422</v>
      </c>
      <c r="J81" s="10" t="n">
        <f aca="false">IFERROR(IF(G81="High",3,IF(G81="Medium",2,IF(G81="Low",1,0)))+IF(OR(F81="Daily",F81="Weekly"),3,IF(F81="Monthly",2,IF(OR(F81="Quarterly",F81="Annual",F81="Irregular"),1,0)))+IF(H81="RSS/Email/API",3,IF(OR(H81="Web/PDF",H81="Paid"),2,0)),0)</f>
        <v>6</v>
      </c>
      <c r="K81" s="8" t="s">
        <v>423</v>
      </c>
    </row>
    <row r="82" customFormat="false" ht="42" hidden="false" customHeight="true" outlineLevel="0" collapsed="false">
      <c r="A82" s="11" t="n">
        <v>78</v>
      </c>
      <c r="B82" s="9" t="s">
        <v>424</v>
      </c>
      <c r="C82" s="9" t="s">
        <v>425</v>
      </c>
      <c r="D82" s="9" t="s">
        <v>86</v>
      </c>
      <c r="E82" s="9" t="s">
        <v>358</v>
      </c>
      <c r="F82" s="11" t="s">
        <v>185</v>
      </c>
      <c r="G82" s="11" t="s">
        <v>190</v>
      </c>
      <c r="H82" s="11" t="s">
        <v>122</v>
      </c>
      <c r="I82" s="9" t="s">
        <v>426</v>
      </c>
      <c r="J82" s="11" t="n">
        <f aca="false">IFERROR(IF(G82="High",3,IF(G82="Medium",2,IF(G82="Low",1,0)))+IF(OR(F82="Daily",F82="Weekly"),3,IF(F82="Monthly",2,IF(OR(F82="Quarterly",F82="Annual",F82="Irregular"),1,0)))+IF(H82="RSS/Email/API",3,IF(OR(H82="Web/PDF",H82="Paid"),2,0)),0)</f>
        <v>7</v>
      </c>
      <c r="K82" s="9" t="s">
        <v>427</v>
      </c>
    </row>
    <row r="83" customFormat="false" ht="42" hidden="false" customHeight="true" outlineLevel="0" collapsed="false">
      <c r="A83" s="10" t="n">
        <v>79</v>
      </c>
      <c r="B83" s="8" t="s">
        <v>428</v>
      </c>
      <c r="C83" s="8" t="s">
        <v>429</v>
      </c>
      <c r="D83" s="8" t="s">
        <v>86</v>
      </c>
      <c r="E83" s="8" t="s">
        <v>127</v>
      </c>
      <c r="F83" s="10" t="s">
        <v>185</v>
      </c>
      <c r="G83" s="10" t="s">
        <v>190</v>
      </c>
      <c r="H83" s="10" t="s">
        <v>129</v>
      </c>
      <c r="I83" s="8" t="s">
        <v>430</v>
      </c>
      <c r="J83" s="10" t="n">
        <f aca="false">IFERROR(IF(G83="High",3,IF(G83="Medium",2,IF(G83="Low",1,0)))+IF(OR(F83="Daily",F83="Weekly"),3,IF(F83="Monthly",2,IF(OR(F83="Quarterly",F83="Annual",F83="Irregular"),1,0)))+IF(H83="RSS/Email/API",3,IF(OR(H83="Web/PDF",H83="Paid"),2,0)),0)</f>
        <v>6</v>
      </c>
      <c r="K83" s="8" t="s">
        <v>431</v>
      </c>
    </row>
    <row r="84" customFormat="false" ht="42" hidden="false" customHeight="true" outlineLevel="0" collapsed="false">
      <c r="A84" s="11" t="n">
        <v>80</v>
      </c>
      <c r="B84" s="9" t="s">
        <v>432</v>
      </c>
      <c r="C84" s="9" t="s">
        <v>433</v>
      </c>
      <c r="D84" s="9" t="s">
        <v>91</v>
      </c>
      <c r="E84" s="9" t="s">
        <v>119</v>
      </c>
      <c r="F84" s="11" t="s">
        <v>176</v>
      </c>
      <c r="G84" s="11" t="s">
        <v>121</v>
      </c>
      <c r="H84" s="11" t="s">
        <v>122</v>
      </c>
      <c r="I84" s="9" t="s">
        <v>434</v>
      </c>
      <c r="J84" s="11" t="n">
        <f aca="false">IFERROR(IF(G84="High",3,IF(G84="Medium",2,IF(G84="Low",1,0)))+IF(OR(F84="Daily",F84="Weekly"),3,IF(F84="Monthly",2,IF(OR(F84="Quarterly",F84="Annual",F84="Irregular"),1,0)))+IF(H84="RSS/Email/API",3,IF(OR(H84="Web/PDF",H84="Paid"),2,0)),0)</f>
        <v>9</v>
      </c>
      <c r="K84" s="9" t="s">
        <v>435</v>
      </c>
    </row>
    <row r="85" customFormat="false" ht="42" hidden="false" customHeight="true" outlineLevel="0" collapsed="false">
      <c r="A85" s="10" t="n">
        <v>81</v>
      </c>
      <c r="B85" s="8" t="s">
        <v>436</v>
      </c>
      <c r="C85" s="8" t="s">
        <v>437</v>
      </c>
      <c r="D85" s="8" t="s">
        <v>91</v>
      </c>
      <c r="E85" s="8" t="s">
        <v>127</v>
      </c>
      <c r="F85" s="10" t="s">
        <v>176</v>
      </c>
      <c r="G85" s="10" t="s">
        <v>121</v>
      </c>
      <c r="H85" s="10" t="s">
        <v>122</v>
      </c>
      <c r="I85" s="8" t="s">
        <v>438</v>
      </c>
      <c r="J85" s="10" t="n">
        <f aca="false">IFERROR(IF(G85="High",3,IF(G85="Medium",2,IF(G85="Low",1,0)))+IF(OR(F85="Daily",F85="Weekly"),3,IF(F85="Monthly",2,IF(OR(F85="Quarterly",F85="Annual",F85="Irregular"),1,0)))+IF(H85="RSS/Email/API",3,IF(OR(H85="Web/PDF",H85="Paid"),2,0)),0)</f>
        <v>9</v>
      </c>
      <c r="K85" s="8" t="s">
        <v>439</v>
      </c>
    </row>
    <row r="86" customFormat="false" ht="42" hidden="false" customHeight="true" outlineLevel="0" collapsed="false">
      <c r="A86" s="11" t="n">
        <v>82</v>
      </c>
      <c r="B86" s="9" t="s">
        <v>440</v>
      </c>
      <c r="C86" s="9" t="s">
        <v>440</v>
      </c>
      <c r="D86" s="9" t="s">
        <v>91</v>
      </c>
      <c r="E86" s="9" t="s">
        <v>119</v>
      </c>
      <c r="F86" s="11" t="s">
        <v>185</v>
      </c>
      <c r="G86" s="11" t="s">
        <v>190</v>
      </c>
      <c r="H86" s="11" t="s">
        <v>122</v>
      </c>
      <c r="I86" s="9" t="s">
        <v>441</v>
      </c>
      <c r="J86" s="11" t="n">
        <f aca="false">IFERROR(IF(G86="High",3,IF(G86="Medium",2,IF(G86="Low",1,0)))+IF(OR(F86="Daily",F86="Weekly"),3,IF(F86="Monthly",2,IF(OR(F86="Quarterly",F86="Annual",F86="Irregular"),1,0)))+IF(H86="RSS/Email/API",3,IF(OR(H86="Web/PDF",H86="Paid"),2,0)),0)</f>
        <v>7</v>
      </c>
      <c r="K86" s="9" t="s">
        <v>442</v>
      </c>
    </row>
    <row r="87" customFormat="false" ht="42" hidden="false" customHeight="true" outlineLevel="0" collapsed="false">
      <c r="A87" s="10" t="n">
        <v>83</v>
      </c>
      <c r="B87" s="8" t="s">
        <v>443</v>
      </c>
      <c r="C87" s="8" t="s">
        <v>443</v>
      </c>
      <c r="D87" s="8" t="s">
        <v>91</v>
      </c>
      <c r="E87" s="8" t="s">
        <v>119</v>
      </c>
      <c r="F87" s="10" t="s">
        <v>176</v>
      </c>
      <c r="G87" s="10" t="s">
        <v>190</v>
      </c>
      <c r="H87" s="10" t="s">
        <v>122</v>
      </c>
      <c r="I87" s="8" t="s">
        <v>444</v>
      </c>
      <c r="J87" s="10" t="n">
        <f aca="false">IFERROR(IF(G87="High",3,IF(G87="Medium",2,IF(G87="Low",1,0)))+IF(OR(F87="Daily",F87="Weekly"),3,IF(F87="Monthly",2,IF(OR(F87="Quarterly",F87="Annual",F87="Irregular"),1,0)))+IF(H87="RSS/Email/API",3,IF(OR(H87="Web/PDF",H87="Paid"),2,0)),0)</f>
        <v>8</v>
      </c>
      <c r="K87" s="8" t="s">
        <v>445</v>
      </c>
    </row>
    <row r="88" customFormat="false" ht="42" hidden="false" customHeight="true" outlineLevel="0" collapsed="false">
      <c r="A88" s="11" t="n">
        <v>84</v>
      </c>
      <c r="B88" s="9" t="s">
        <v>446</v>
      </c>
      <c r="C88" s="9" t="s">
        <v>446</v>
      </c>
      <c r="D88" s="9" t="s">
        <v>91</v>
      </c>
      <c r="E88" s="9" t="s">
        <v>119</v>
      </c>
      <c r="F88" s="11" t="s">
        <v>176</v>
      </c>
      <c r="G88" s="11" t="s">
        <v>190</v>
      </c>
      <c r="H88" s="11" t="s">
        <v>122</v>
      </c>
      <c r="I88" s="9" t="s">
        <v>447</v>
      </c>
      <c r="J88" s="11" t="n">
        <f aca="false">IFERROR(IF(G88="High",3,IF(G88="Medium",2,IF(G88="Low",1,0)))+IF(OR(F88="Daily",F88="Weekly"),3,IF(F88="Monthly",2,IF(OR(F88="Quarterly",F88="Annual",F88="Irregular"),1,0)))+IF(H88="RSS/Email/API",3,IF(OR(H88="Web/PDF",H88="Paid"),2,0)),0)</f>
        <v>8</v>
      </c>
      <c r="K88" s="9" t="s">
        <v>448</v>
      </c>
    </row>
    <row r="89" customFormat="false" ht="42" hidden="false" customHeight="true" outlineLevel="0" collapsed="false">
      <c r="A89" s="10" t="n">
        <v>85</v>
      </c>
      <c r="B89" s="8" t="s">
        <v>449</v>
      </c>
      <c r="C89" s="8" t="s">
        <v>449</v>
      </c>
      <c r="D89" s="8" t="s">
        <v>91</v>
      </c>
      <c r="E89" s="8" t="s">
        <v>119</v>
      </c>
      <c r="F89" s="10" t="s">
        <v>176</v>
      </c>
      <c r="G89" s="10" t="s">
        <v>190</v>
      </c>
      <c r="H89" s="10" t="s">
        <v>122</v>
      </c>
      <c r="I89" s="8" t="s">
        <v>450</v>
      </c>
      <c r="J89" s="10" t="n">
        <f aca="false">IFERROR(IF(G89="High",3,IF(G89="Medium",2,IF(G89="Low",1,0)))+IF(OR(F89="Daily",F89="Weekly"),3,IF(F89="Monthly",2,IF(OR(F89="Quarterly",F89="Annual",F89="Irregular"),1,0)))+IF(H89="RSS/Email/API",3,IF(OR(H89="Web/PDF",H89="Paid"),2,0)),0)</f>
        <v>8</v>
      </c>
      <c r="K89" s="8" t="s">
        <v>451</v>
      </c>
    </row>
    <row r="90" customFormat="false" ht="42" hidden="false" customHeight="true" outlineLevel="0" collapsed="false">
      <c r="A90" s="11" t="n">
        <v>86</v>
      </c>
      <c r="B90" s="9" t="s">
        <v>452</v>
      </c>
      <c r="C90" s="9" t="s">
        <v>453</v>
      </c>
      <c r="D90" s="9" t="s">
        <v>91</v>
      </c>
      <c r="E90" s="9" t="s">
        <v>141</v>
      </c>
      <c r="F90" s="11" t="s">
        <v>185</v>
      </c>
      <c r="G90" s="11" t="s">
        <v>121</v>
      </c>
      <c r="H90" s="11" t="s">
        <v>122</v>
      </c>
      <c r="I90" s="9" t="s">
        <v>454</v>
      </c>
      <c r="J90" s="11" t="n">
        <f aca="false">IFERROR(IF(G90="High",3,IF(G90="Medium",2,IF(G90="Low",1,0)))+IF(OR(F90="Daily",F90="Weekly"),3,IF(F90="Monthly",2,IF(OR(F90="Quarterly",F90="Annual",F90="Irregular"),1,0)))+IF(H90="RSS/Email/API",3,IF(OR(H90="Web/PDF",H90="Paid"),2,0)),0)</f>
        <v>8</v>
      </c>
      <c r="K90" s="9" t="s">
        <v>455</v>
      </c>
    </row>
    <row r="91" customFormat="false" ht="42" hidden="false" customHeight="true" outlineLevel="0" collapsed="false">
      <c r="A91" s="10" t="n">
        <v>87</v>
      </c>
      <c r="B91" s="8" t="s">
        <v>456</v>
      </c>
      <c r="C91" s="8" t="s">
        <v>457</v>
      </c>
      <c r="D91" s="8" t="s">
        <v>91</v>
      </c>
      <c r="E91" s="8" t="s">
        <v>119</v>
      </c>
      <c r="F91" s="10" t="s">
        <v>185</v>
      </c>
      <c r="G91" s="10" t="s">
        <v>190</v>
      </c>
      <c r="H91" s="10" t="s">
        <v>122</v>
      </c>
      <c r="I91" s="8" t="s">
        <v>458</v>
      </c>
      <c r="J91" s="10" t="n">
        <f aca="false">IFERROR(IF(G91="High",3,IF(G91="Medium",2,IF(G91="Low",1,0)))+IF(OR(F91="Daily",F91="Weekly"),3,IF(F91="Monthly",2,IF(OR(F91="Quarterly",F91="Annual",F91="Irregular"),1,0)))+IF(H91="RSS/Email/API",3,IF(OR(H91="Web/PDF",H91="Paid"),2,0)),0)</f>
        <v>7</v>
      </c>
      <c r="K91" s="8" t="s">
        <v>459</v>
      </c>
    </row>
    <row r="92" customFormat="false" ht="42" hidden="false" customHeight="true" outlineLevel="0" collapsed="false">
      <c r="A92" s="11" t="n">
        <v>88</v>
      </c>
      <c r="B92" s="9" t="s">
        <v>460</v>
      </c>
      <c r="C92" s="9" t="s">
        <v>460</v>
      </c>
      <c r="D92" s="9" t="s">
        <v>91</v>
      </c>
      <c r="E92" s="9" t="s">
        <v>141</v>
      </c>
      <c r="F92" s="11" t="s">
        <v>185</v>
      </c>
      <c r="G92" s="11" t="s">
        <v>190</v>
      </c>
      <c r="H92" s="11" t="s">
        <v>122</v>
      </c>
      <c r="I92" s="9" t="s">
        <v>461</v>
      </c>
      <c r="J92" s="11" t="n">
        <f aca="false">IFERROR(IF(G92="High",3,IF(G92="Medium",2,IF(G92="Low",1,0)))+IF(OR(F92="Daily",F92="Weekly"),3,IF(F92="Monthly",2,IF(OR(F92="Quarterly",F92="Annual",F92="Irregular"),1,0)))+IF(H92="RSS/Email/API",3,IF(OR(H92="Web/PDF",H92="Paid"),2,0)),0)</f>
        <v>7</v>
      </c>
      <c r="K92" s="9" t="s">
        <v>462</v>
      </c>
    </row>
    <row r="93" customFormat="false" ht="42" hidden="false" customHeight="true" outlineLevel="0" collapsed="false">
      <c r="A93" s="10" t="n">
        <v>89</v>
      </c>
      <c r="B93" s="8" t="s">
        <v>463</v>
      </c>
      <c r="C93" s="8" t="s">
        <v>464</v>
      </c>
      <c r="D93" s="8" t="s">
        <v>91</v>
      </c>
      <c r="E93" s="8" t="s">
        <v>150</v>
      </c>
      <c r="F93" s="10" t="s">
        <v>176</v>
      </c>
      <c r="G93" s="10" t="s">
        <v>121</v>
      </c>
      <c r="H93" s="10" t="s">
        <v>122</v>
      </c>
      <c r="I93" s="8" t="s">
        <v>465</v>
      </c>
      <c r="J93" s="10" t="n">
        <f aca="false">IFERROR(IF(G93="High",3,IF(G93="Medium",2,IF(G93="Low",1,0)))+IF(OR(F93="Daily",F93="Weekly"),3,IF(F93="Monthly",2,IF(OR(F93="Quarterly",F93="Annual",F93="Irregular"),1,0)))+IF(H93="RSS/Email/API",3,IF(OR(H93="Web/PDF",H93="Paid"),2,0)),0)</f>
        <v>9</v>
      </c>
      <c r="K93" s="8" t="s">
        <v>466</v>
      </c>
    </row>
    <row r="94" customFormat="false" ht="42" hidden="false" customHeight="true" outlineLevel="0" collapsed="false">
      <c r="A94" s="11" t="n">
        <v>90</v>
      </c>
      <c r="B94" s="9" t="s">
        <v>467</v>
      </c>
      <c r="C94" s="9" t="s">
        <v>467</v>
      </c>
      <c r="D94" s="9" t="s">
        <v>91</v>
      </c>
      <c r="E94" s="9" t="s">
        <v>150</v>
      </c>
      <c r="F94" s="11" t="s">
        <v>176</v>
      </c>
      <c r="G94" s="11" t="s">
        <v>121</v>
      </c>
      <c r="H94" s="11" t="s">
        <v>122</v>
      </c>
      <c r="I94" s="9" t="s">
        <v>468</v>
      </c>
      <c r="J94" s="11" t="n">
        <f aca="false">IFERROR(IF(G94="High",3,IF(G94="Medium",2,IF(G94="Low",1,0)))+IF(OR(F94="Daily",F94="Weekly"),3,IF(F94="Monthly",2,IF(OR(F94="Quarterly",F94="Annual",F94="Irregular"),1,0)))+IF(H94="RSS/Email/API",3,IF(OR(H94="Web/PDF",H94="Paid"),2,0)),0)</f>
        <v>9</v>
      </c>
      <c r="K94" s="9" t="s">
        <v>469</v>
      </c>
    </row>
    <row r="95" customFormat="false" ht="42" hidden="false" customHeight="true" outlineLevel="0" collapsed="false">
      <c r="A95" s="10" t="n">
        <v>91</v>
      </c>
      <c r="B95" s="8" t="s">
        <v>470</v>
      </c>
      <c r="C95" s="8" t="s">
        <v>470</v>
      </c>
      <c r="D95" s="8" t="s">
        <v>91</v>
      </c>
      <c r="E95" s="8" t="s">
        <v>150</v>
      </c>
      <c r="F95" s="10" t="s">
        <v>176</v>
      </c>
      <c r="G95" s="10" t="s">
        <v>190</v>
      </c>
      <c r="H95" s="10" t="s">
        <v>122</v>
      </c>
      <c r="I95" s="8" t="s">
        <v>471</v>
      </c>
      <c r="J95" s="10" t="n">
        <f aca="false">IFERROR(IF(G95="High",3,IF(G95="Medium",2,IF(G95="Low",1,0)))+IF(OR(F95="Daily",F95="Weekly"),3,IF(F95="Monthly",2,IF(OR(F95="Quarterly",F95="Annual",F95="Irregular"),1,0)))+IF(H95="RSS/Email/API",3,IF(OR(H95="Web/PDF",H95="Paid"),2,0)),0)</f>
        <v>8</v>
      </c>
      <c r="K95" s="8" t="s">
        <v>472</v>
      </c>
    </row>
    <row r="96" customFormat="false" ht="42" hidden="false" customHeight="true" outlineLevel="0" collapsed="false">
      <c r="A96" s="11" t="n">
        <v>92</v>
      </c>
      <c r="B96" s="9" t="s">
        <v>473</v>
      </c>
      <c r="C96" s="9" t="s">
        <v>474</v>
      </c>
      <c r="D96" s="9" t="s">
        <v>91</v>
      </c>
      <c r="E96" s="9" t="s">
        <v>199</v>
      </c>
      <c r="F96" s="11" t="s">
        <v>185</v>
      </c>
      <c r="G96" s="11" t="s">
        <v>229</v>
      </c>
      <c r="H96" s="11" t="s">
        <v>129</v>
      </c>
      <c r="I96" s="9" t="s">
        <v>475</v>
      </c>
      <c r="J96" s="11" t="n">
        <f aca="false">IFERROR(IF(G96="High",3,IF(G96="Medium",2,IF(G96="Low",1,0)))+IF(OR(F96="Daily",F96="Weekly"),3,IF(F96="Monthly",2,IF(OR(F96="Quarterly",F96="Annual",F96="Irregular"),1,0)))+IF(H96="RSS/Email/API",3,IF(OR(H96="Web/PDF",H96="Paid"),2,0)),0)</f>
        <v>5</v>
      </c>
      <c r="K96" s="9" t="s">
        <v>476</v>
      </c>
    </row>
    <row r="97" customFormat="false" ht="42" hidden="false" customHeight="true" outlineLevel="0" collapsed="false">
      <c r="A97" s="10" t="n">
        <v>93</v>
      </c>
      <c r="B97" s="8" t="s">
        <v>477</v>
      </c>
      <c r="C97" s="8" t="s">
        <v>478</v>
      </c>
      <c r="D97" s="8" t="s">
        <v>91</v>
      </c>
      <c r="E97" s="8" t="s">
        <v>162</v>
      </c>
      <c r="F97" s="10" t="s">
        <v>185</v>
      </c>
      <c r="G97" s="10" t="s">
        <v>190</v>
      </c>
      <c r="H97" s="10" t="s">
        <v>122</v>
      </c>
      <c r="I97" s="8" t="s">
        <v>479</v>
      </c>
      <c r="J97" s="10" t="n">
        <f aca="false">IFERROR(IF(G97="High",3,IF(G97="Medium",2,IF(G97="Low",1,0)))+IF(OR(F97="Daily",F97="Weekly"),3,IF(F97="Monthly",2,IF(OR(F97="Quarterly",F97="Annual",F97="Irregular"),1,0)))+IF(H97="RSS/Email/API",3,IF(OR(H97="Web/PDF",H97="Paid"),2,0)),0)</f>
        <v>7</v>
      </c>
      <c r="K97" s="8" t="s">
        <v>480</v>
      </c>
    </row>
    <row r="98" customFormat="false" ht="42" hidden="false" customHeight="true" outlineLevel="0" collapsed="false">
      <c r="A98" s="11" t="n">
        <v>94</v>
      </c>
      <c r="B98" s="9" t="s">
        <v>481</v>
      </c>
      <c r="C98" s="9" t="s">
        <v>482</v>
      </c>
      <c r="D98" s="9" t="s">
        <v>96</v>
      </c>
      <c r="E98" s="9" t="s">
        <v>259</v>
      </c>
      <c r="F98" s="11" t="s">
        <v>120</v>
      </c>
      <c r="G98" s="11" t="s">
        <v>121</v>
      </c>
      <c r="H98" s="11" t="s">
        <v>122</v>
      </c>
      <c r="I98" s="9" t="s">
        <v>483</v>
      </c>
      <c r="J98" s="11" t="n">
        <f aca="false">IFERROR(IF(G98="High",3,IF(G98="Medium",2,IF(G98="Low",1,0)))+IF(OR(F98="Daily",F98="Weekly"),3,IF(F98="Monthly",2,IF(OR(F98="Quarterly",F98="Annual",F98="Irregular"),1,0)))+IF(H98="RSS/Email/API",3,IF(OR(H98="Web/PDF",H98="Paid"),2,0)),0)</f>
        <v>9</v>
      </c>
      <c r="K98" s="9" t="s">
        <v>484</v>
      </c>
    </row>
    <row r="99" customFormat="false" ht="42" hidden="false" customHeight="true" outlineLevel="0" collapsed="false">
      <c r="A99" s="10" t="n">
        <v>95</v>
      </c>
      <c r="B99" s="8" t="s">
        <v>485</v>
      </c>
      <c r="C99" s="8" t="s">
        <v>486</v>
      </c>
      <c r="D99" s="8" t="s">
        <v>96</v>
      </c>
      <c r="E99" s="8" t="s">
        <v>259</v>
      </c>
      <c r="F99" s="10" t="s">
        <v>120</v>
      </c>
      <c r="G99" s="10" t="s">
        <v>121</v>
      </c>
      <c r="H99" s="10" t="s">
        <v>122</v>
      </c>
      <c r="I99" s="8" t="s">
        <v>487</v>
      </c>
      <c r="J99" s="10" t="n">
        <f aca="false">IFERROR(IF(G99="High",3,IF(G99="Medium",2,IF(G99="Low",1,0)))+IF(OR(F99="Daily",F99="Weekly"),3,IF(F99="Monthly",2,IF(OR(F99="Quarterly",F99="Annual",F99="Irregular"),1,0)))+IF(H99="RSS/Email/API",3,IF(OR(H99="Web/PDF",H99="Paid"),2,0)),0)</f>
        <v>9</v>
      </c>
      <c r="K99" s="8" t="s">
        <v>488</v>
      </c>
    </row>
    <row r="100" customFormat="false" ht="42" hidden="false" customHeight="true" outlineLevel="0" collapsed="false">
      <c r="A100" s="11" t="n">
        <v>96</v>
      </c>
      <c r="B100" s="9" t="s">
        <v>489</v>
      </c>
      <c r="C100" s="9" t="s">
        <v>267</v>
      </c>
      <c r="D100" s="9" t="s">
        <v>96</v>
      </c>
      <c r="E100" s="9" t="s">
        <v>259</v>
      </c>
      <c r="F100" s="11" t="s">
        <v>120</v>
      </c>
      <c r="G100" s="11" t="s">
        <v>121</v>
      </c>
      <c r="H100" s="11" t="s">
        <v>122</v>
      </c>
      <c r="I100" s="9" t="s">
        <v>490</v>
      </c>
      <c r="J100" s="11" t="n">
        <f aca="false">IFERROR(IF(G100="High",3,IF(G100="Medium",2,IF(G100="Low",1,0)))+IF(OR(F100="Daily",F100="Weekly"),3,IF(F100="Monthly",2,IF(OR(F100="Quarterly",F100="Annual",F100="Irregular"),1,0)))+IF(H100="RSS/Email/API",3,IF(OR(H100="Web/PDF",H100="Paid"),2,0)),0)</f>
        <v>9</v>
      </c>
      <c r="K100" s="9" t="s">
        <v>491</v>
      </c>
    </row>
    <row r="101" customFormat="false" ht="42" hidden="false" customHeight="true" outlineLevel="0" collapsed="false">
      <c r="A101" s="10" t="n">
        <v>97</v>
      </c>
      <c r="B101" s="8" t="s">
        <v>492</v>
      </c>
      <c r="C101" s="8" t="s">
        <v>493</v>
      </c>
      <c r="D101" s="8" t="s">
        <v>96</v>
      </c>
      <c r="E101" s="8" t="s">
        <v>358</v>
      </c>
      <c r="F101" s="10" t="s">
        <v>176</v>
      </c>
      <c r="G101" s="10" t="s">
        <v>121</v>
      </c>
      <c r="H101" s="10" t="s">
        <v>122</v>
      </c>
      <c r="I101" s="8" t="s">
        <v>494</v>
      </c>
      <c r="J101" s="10" t="n">
        <f aca="false">IFERROR(IF(G101="High",3,IF(G101="Medium",2,IF(G101="Low",1,0)))+IF(OR(F101="Daily",F101="Weekly"),3,IF(F101="Monthly",2,IF(OR(F101="Quarterly",F101="Annual",F101="Irregular"),1,0)))+IF(H101="RSS/Email/API",3,IF(OR(H101="Web/PDF",H101="Paid"),2,0)),0)</f>
        <v>9</v>
      </c>
      <c r="K101" s="8" t="s">
        <v>495</v>
      </c>
    </row>
    <row r="102" customFormat="false" ht="42" hidden="false" customHeight="true" outlineLevel="0" collapsed="false">
      <c r="A102" s="11" t="n">
        <v>98</v>
      </c>
      <c r="B102" s="9" t="s">
        <v>496</v>
      </c>
      <c r="C102" s="9" t="s">
        <v>497</v>
      </c>
      <c r="D102" s="9" t="s">
        <v>96</v>
      </c>
      <c r="E102" s="9" t="s">
        <v>358</v>
      </c>
      <c r="F102" s="11" t="s">
        <v>176</v>
      </c>
      <c r="G102" s="11" t="s">
        <v>190</v>
      </c>
      <c r="H102" s="11" t="s">
        <v>129</v>
      </c>
      <c r="I102" s="9"/>
      <c r="J102" s="11" t="n">
        <f aca="false">IFERROR(IF(G102="High",3,IF(G102="Medium",2,IF(G102="Low",1,0)))+IF(OR(F102="Daily",F102="Weekly"),3,IF(F102="Monthly",2,IF(OR(F102="Quarterly",F102="Annual",F102="Irregular"),1,0)))+IF(H102="RSS/Email/API",3,IF(OR(H102="Web/PDF",H102="Paid"),2,0)),0)</f>
        <v>7</v>
      </c>
      <c r="K102" s="9" t="s">
        <v>498</v>
      </c>
    </row>
    <row r="103" customFormat="false" ht="42" hidden="false" customHeight="true" outlineLevel="0" collapsed="false">
      <c r="A103" s="10" t="n">
        <v>99</v>
      </c>
      <c r="B103" s="8" t="s">
        <v>499</v>
      </c>
      <c r="C103" s="8" t="s">
        <v>406</v>
      </c>
      <c r="D103" s="8" t="s">
        <v>96</v>
      </c>
      <c r="E103" s="8" t="s">
        <v>358</v>
      </c>
      <c r="F103" s="10" t="s">
        <v>185</v>
      </c>
      <c r="G103" s="10" t="s">
        <v>190</v>
      </c>
      <c r="H103" s="10" t="s">
        <v>122</v>
      </c>
      <c r="I103" s="8" t="s">
        <v>500</v>
      </c>
      <c r="J103" s="10" t="n">
        <f aca="false">IFERROR(IF(G103="High",3,IF(G103="Medium",2,IF(G103="Low",1,0)))+IF(OR(F103="Daily",F103="Weekly"),3,IF(F103="Monthly",2,IF(OR(F103="Quarterly",F103="Annual",F103="Irregular"),1,0)))+IF(H103="RSS/Email/API",3,IF(OR(H103="Web/PDF",H103="Paid"),2,0)),0)</f>
        <v>7</v>
      </c>
      <c r="K103" s="8" t="s">
        <v>501</v>
      </c>
    </row>
    <row r="104" customFormat="false" ht="42" hidden="false" customHeight="true" outlineLevel="0" collapsed="false">
      <c r="A104" s="11" t="n">
        <v>100</v>
      </c>
      <c r="B104" s="9" t="s">
        <v>502</v>
      </c>
      <c r="C104" s="9" t="s">
        <v>503</v>
      </c>
      <c r="D104" s="9" t="s">
        <v>96</v>
      </c>
      <c r="E104" s="9" t="s">
        <v>119</v>
      </c>
      <c r="F104" s="11" t="s">
        <v>120</v>
      </c>
      <c r="G104" s="11" t="s">
        <v>190</v>
      </c>
      <c r="H104" s="11" t="s">
        <v>122</v>
      </c>
      <c r="I104" s="9" t="s">
        <v>504</v>
      </c>
      <c r="J104" s="11" t="n">
        <f aca="false">IFERROR(IF(G104="High",3,IF(G104="Medium",2,IF(G104="Low",1,0)))+IF(OR(F104="Daily",F104="Weekly"),3,IF(F104="Monthly",2,IF(OR(F104="Quarterly",F104="Annual",F104="Irregular"),1,0)))+IF(H104="RSS/Email/API",3,IF(OR(H104="Web/PDF",H104="Paid"),2,0)),0)</f>
        <v>8</v>
      </c>
      <c r="K104" s="9" t="s">
        <v>505</v>
      </c>
    </row>
    <row r="105" customFormat="false" ht="42" hidden="false" customHeight="true" outlineLevel="0" collapsed="false">
      <c r="A105" s="10" t="n">
        <v>101</v>
      </c>
      <c r="B105" s="8" t="s">
        <v>506</v>
      </c>
      <c r="C105" s="8" t="s">
        <v>507</v>
      </c>
      <c r="D105" s="8" t="s">
        <v>96</v>
      </c>
      <c r="E105" s="8" t="s">
        <v>259</v>
      </c>
      <c r="F105" s="10" t="s">
        <v>176</v>
      </c>
      <c r="G105" s="10" t="s">
        <v>190</v>
      </c>
      <c r="H105" s="10" t="s">
        <v>122</v>
      </c>
      <c r="I105" s="8" t="s">
        <v>508</v>
      </c>
      <c r="J105" s="10" t="n">
        <f aca="false">IFERROR(IF(G105="High",3,IF(G105="Medium",2,IF(G105="Low",1,0)))+IF(OR(F105="Daily",F105="Weekly"),3,IF(F105="Monthly",2,IF(OR(F105="Quarterly",F105="Annual",F105="Irregular"),1,0)))+IF(H105="RSS/Email/API",3,IF(OR(H105="Web/PDF",H105="Paid"),2,0)),0)</f>
        <v>8</v>
      </c>
      <c r="K105" s="8" t="s">
        <v>509</v>
      </c>
    </row>
    <row r="106" customFormat="false" ht="42" hidden="false" customHeight="true" outlineLevel="0" collapsed="false">
      <c r="A106" s="11" t="n">
        <v>102</v>
      </c>
      <c r="B106" s="9" t="s">
        <v>510</v>
      </c>
      <c r="C106" s="9" t="s">
        <v>511</v>
      </c>
      <c r="D106" s="9" t="s">
        <v>96</v>
      </c>
      <c r="E106" s="9" t="s">
        <v>358</v>
      </c>
      <c r="F106" s="11" t="s">
        <v>176</v>
      </c>
      <c r="G106" s="11" t="s">
        <v>190</v>
      </c>
      <c r="H106" s="11" t="s">
        <v>129</v>
      </c>
      <c r="I106" s="9"/>
      <c r="J106" s="11" t="n">
        <f aca="false">IFERROR(IF(G106="High",3,IF(G106="Medium",2,IF(G106="Low",1,0)))+IF(OR(F106="Daily",F106="Weekly"),3,IF(F106="Monthly",2,IF(OR(F106="Quarterly",F106="Annual",F106="Irregular"),1,0)))+IF(H106="RSS/Email/API",3,IF(OR(H106="Web/PDF",H106="Paid"),2,0)),0)</f>
        <v>7</v>
      </c>
      <c r="K106" s="9" t="s">
        <v>512</v>
      </c>
    </row>
    <row r="107" customFormat="false" ht="42" hidden="false" customHeight="true" outlineLevel="0" collapsed="false">
      <c r="A107" s="10" t="n">
        <v>103</v>
      </c>
      <c r="B107" s="8" t="s">
        <v>513</v>
      </c>
      <c r="C107" s="8" t="s">
        <v>514</v>
      </c>
      <c r="D107" s="8" t="s">
        <v>96</v>
      </c>
      <c r="E107" s="8" t="s">
        <v>358</v>
      </c>
      <c r="F107" s="10" t="s">
        <v>176</v>
      </c>
      <c r="G107" s="10" t="s">
        <v>190</v>
      </c>
      <c r="H107" s="10" t="s">
        <v>122</v>
      </c>
      <c r="I107" s="8" t="s">
        <v>515</v>
      </c>
      <c r="J107" s="10" t="n">
        <f aca="false">IFERROR(IF(G107="High",3,IF(G107="Medium",2,IF(G107="Low",1,0)))+IF(OR(F107="Daily",F107="Weekly"),3,IF(F107="Monthly",2,IF(OR(F107="Quarterly",F107="Annual",F107="Irregular"),1,0)))+IF(H107="RSS/Email/API",3,IF(OR(H107="Web/PDF",H107="Paid"),2,0)),0)</f>
        <v>8</v>
      </c>
      <c r="K107" s="8" t="s">
        <v>516</v>
      </c>
    </row>
    <row r="108" customFormat="false" ht="42" hidden="false" customHeight="true" outlineLevel="0" collapsed="false">
      <c r="A108" s="11" t="n">
        <v>104</v>
      </c>
      <c r="B108" s="9" t="s">
        <v>517</v>
      </c>
      <c r="C108" s="9" t="s">
        <v>507</v>
      </c>
      <c r="D108" s="9" t="s">
        <v>101</v>
      </c>
      <c r="E108" s="9" t="s">
        <v>141</v>
      </c>
      <c r="F108" s="11" t="s">
        <v>120</v>
      </c>
      <c r="G108" s="11" t="s">
        <v>121</v>
      </c>
      <c r="H108" s="11" t="s">
        <v>122</v>
      </c>
      <c r="I108" s="9" t="s">
        <v>518</v>
      </c>
      <c r="J108" s="11" t="n">
        <f aca="false">IFERROR(IF(G108="High",3,IF(G108="Medium",2,IF(G108="Low",1,0)))+IF(OR(F108="Daily",F108="Weekly"),3,IF(F108="Monthly",2,IF(OR(F108="Quarterly",F108="Annual",F108="Irregular"),1,0)))+IF(H108="RSS/Email/API",3,IF(OR(H108="Web/PDF",H108="Paid"),2,0)),0)</f>
        <v>9</v>
      </c>
      <c r="K108" s="9" t="s">
        <v>519</v>
      </c>
    </row>
    <row r="109" customFormat="false" ht="42" hidden="false" customHeight="true" outlineLevel="0" collapsed="false">
      <c r="A109" s="10" t="n">
        <v>105</v>
      </c>
      <c r="B109" s="8" t="s">
        <v>520</v>
      </c>
      <c r="C109" s="8" t="s">
        <v>521</v>
      </c>
      <c r="D109" s="8" t="s">
        <v>101</v>
      </c>
      <c r="E109" s="8" t="s">
        <v>358</v>
      </c>
      <c r="F109" s="10" t="s">
        <v>120</v>
      </c>
      <c r="G109" s="10" t="s">
        <v>121</v>
      </c>
      <c r="H109" s="10" t="s">
        <v>122</v>
      </c>
      <c r="I109" s="8" t="s">
        <v>522</v>
      </c>
      <c r="J109" s="10" t="n">
        <f aca="false">IFERROR(IF(G109="High",3,IF(G109="Medium",2,IF(G109="Low",1,0)))+IF(OR(F109="Daily",F109="Weekly"),3,IF(F109="Monthly",2,IF(OR(F109="Quarterly",F109="Annual",F109="Irregular"),1,0)))+IF(H109="RSS/Email/API",3,IF(OR(H109="Web/PDF",H109="Paid"),2,0)),0)</f>
        <v>9</v>
      </c>
      <c r="K109" s="8" t="s">
        <v>523</v>
      </c>
    </row>
    <row r="110" customFormat="false" ht="42" hidden="false" customHeight="true" outlineLevel="0" collapsed="false">
      <c r="A110" s="11" t="n">
        <v>106</v>
      </c>
      <c r="B110" s="9" t="s">
        <v>524</v>
      </c>
      <c r="C110" s="9" t="s">
        <v>507</v>
      </c>
      <c r="D110" s="9" t="s">
        <v>101</v>
      </c>
      <c r="E110" s="9" t="s">
        <v>141</v>
      </c>
      <c r="F110" s="11" t="s">
        <v>120</v>
      </c>
      <c r="G110" s="11" t="s">
        <v>190</v>
      </c>
      <c r="H110" s="11" t="s">
        <v>122</v>
      </c>
      <c r="I110" s="9" t="s">
        <v>525</v>
      </c>
      <c r="J110" s="11" t="n">
        <f aca="false">IFERROR(IF(G110="High",3,IF(G110="Medium",2,IF(G110="Low",1,0)))+IF(OR(F110="Daily",F110="Weekly"),3,IF(F110="Monthly",2,IF(OR(F110="Quarterly",F110="Annual",F110="Irregular"),1,0)))+IF(H110="RSS/Email/API",3,IF(OR(H110="Web/PDF",H110="Paid"),2,0)),0)</f>
        <v>8</v>
      </c>
      <c r="K110" s="9" t="s">
        <v>526</v>
      </c>
    </row>
    <row r="111" customFormat="false" ht="42" hidden="false" customHeight="true" outlineLevel="0" collapsed="false">
      <c r="A111" s="10" t="n">
        <v>107</v>
      </c>
      <c r="B111" s="8" t="s">
        <v>527</v>
      </c>
      <c r="C111" s="8" t="s">
        <v>528</v>
      </c>
      <c r="D111" s="8" t="s">
        <v>101</v>
      </c>
      <c r="E111" s="8" t="s">
        <v>141</v>
      </c>
      <c r="F111" s="10" t="s">
        <v>176</v>
      </c>
      <c r="G111" s="10" t="s">
        <v>190</v>
      </c>
      <c r="H111" s="10" t="s">
        <v>122</v>
      </c>
      <c r="I111" s="8" t="s">
        <v>529</v>
      </c>
      <c r="J111" s="10" t="n">
        <f aca="false">IFERROR(IF(G111="High",3,IF(G111="Medium",2,IF(G111="Low",1,0)))+IF(OR(F111="Daily",F111="Weekly"),3,IF(F111="Monthly",2,IF(OR(F111="Quarterly",F111="Annual",F111="Irregular"),1,0)))+IF(H111="RSS/Email/API",3,IF(OR(H111="Web/PDF",H111="Paid"),2,0)),0)</f>
        <v>8</v>
      </c>
      <c r="K111" s="8" t="s">
        <v>530</v>
      </c>
    </row>
    <row r="112" customFormat="false" ht="42" hidden="false" customHeight="true" outlineLevel="0" collapsed="false">
      <c r="A112" s="11" t="n">
        <v>108</v>
      </c>
      <c r="B112" s="9" t="s">
        <v>531</v>
      </c>
      <c r="C112" s="9" t="s">
        <v>532</v>
      </c>
      <c r="D112" s="9" t="s">
        <v>101</v>
      </c>
      <c r="E112" s="9" t="s">
        <v>141</v>
      </c>
      <c r="F112" s="11" t="s">
        <v>176</v>
      </c>
      <c r="G112" s="11" t="s">
        <v>190</v>
      </c>
      <c r="H112" s="11" t="s">
        <v>122</v>
      </c>
      <c r="I112" s="9" t="s">
        <v>533</v>
      </c>
      <c r="J112" s="11" t="n">
        <f aca="false">IFERROR(IF(G112="High",3,IF(G112="Medium",2,IF(G112="Low",1,0)))+IF(OR(F112="Daily",F112="Weekly"),3,IF(F112="Monthly",2,IF(OR(F112="Quarterly",F112="Annual",F112="Irregular"),1,0)))+IF(H112="RSS/Email/API",3,IF(OR(H112="Web/PDF",H112="Paid"),2,0)),0)</f>
        <v>8</v>
      </c>
      <c r="K112" s="9" t="s">
        <v>534</v>
      </c>
    </row>
    <row r="113" customFormat="false" ht="42" hidden="false" customHeight="true" outlineLevel="0" collapsed="false">
      <c r="A113" s="10" t="n">
        <v>109</v>
      </c>
      <c r="B113" s="8" t="s">
        <v>535</v>
      </c>
      <c r="C113" s="8" t="s">
        <v>536</v>
      </c>
      <c r="D113" s="8" t="s">
        <v>101</v>
      </c>
      <c r="E113" s="8" t="s">
        <v>150</v>
      </c>
      <c r="F113" s="10" t="s">
        <v>120</v>
      </c>
      <c r="G113" s="10" t="s">
        <v>121</v>
      </c>
      <c r="H113" s="10" t="s">
        <v>289</v>
      </c>
      <c r="I113" s="8" t="s">
        <v>537</v>
      </c>
      <c r="J113" s="10" t="n">
        <f aca="false">IFERROR(IF(G113="High",3,IF(G113="Medium",2,IF(G113="Low",1,0)))+IF(OR(F113="Daily",F113="Weekly"),3,IF(F113="Monthly",2,IF(OR(F113="Quarterly",F113="Annual",F113="Irregular"),1,0)))+IF(H113="RSS/Email/API",3,IF(OR(H113="Web/PDF",H113="Paid"),2,0)),0)</f>
        <v>8</v>
      </c>
      <c r="K113" s="8" t="s">
        <v>538</v>
      </c>
    </row>
    <row r="114" customFormat="false" ht="42" hidden="false" customHeight="true" outlineLevel="0" collapsed="false">
      <c r="A114" s="11" t="n">
        <v>110</v>
      </c>
      <c r="B114" s="9" t="s">
        <v>539</v>
      </c>
      <c r="C114" s="9" t="s">
        <v>540</v>
      </c>
      <c r="D114" s="9" t="s">
        <v>101</v>
      </c>
      <c r="E114" s="9" t="s">
        <v>150</v>
      </c>
      <c r="F114" s="11" t="s">
        <v>120</v>
      </c>
      <c r="G114" s="11" t="s">
        <v>121</v>
      </c>
      <c r="H114" s="11" t="s">
        <v>122</v>
      </c>
      <c r="I114" s="9" t="s">
        <v>541</v>
      </c>
      <c r="J114" s="11" t="n">
        <f aca="false">IFERROR(IF(G114="High",3,IF(G114="Medium",2,IF(G114="Low",1,0)))+IF(OR(F114="Daily",F114="Weekly"),3,IF(F114="Monthly",2,IF(OR(F114="Quarterly",F114="Annual",F114="Irregular"),1,0)))+IF(H114="RSS/Email/API",3,IF(OR(H114="Web/PDF",H114="Paid"),2,0)),0)</f>
        <v>9</v>
      </c>
      <c r="K114" s="9" t="s">
        <v>542</v>
      </c>
    </row>
    <row r="115" customFormat="false" ht="42" hidden="false" customHeight="true" outlineLevel="0" collapsed="false">
      <c r="A115" s="10" t="n">
        <v>111</v>
      </c>
      <c r="B115" s="8" t="s">
        <v>543</v>
      </c>
      <c r="C115" s="8" t="s">
        <v>543</v>
      </c>
      <c r="D115" s="8" t="s">
        <v>101</v>
      </c>
      <c r="E115" s="8" t="s">
        <v>199</v>
      </c>
      <c r="F115" s="10" t="s">
        <v>120</v>
      </c>
      <c r="G115" s="10" t="s">
        <v>121</v>
      </c>
      <c r="H115" s="10" t="s">
        <v>289</v>
      </c>
      <c r="I115" s="8" t="s">
        <v>544</v>
      </c>
      <c r="J115" s="10" t="n">
        <f aca="false">IFERROR(IF(G115="High",3,IF(G115="Medium",2,IF(G115="Low",1,0)))+IF(OR(F115="Daily",F115="Weekly"),3,IF(F115="Monthly",2,IF(OR(F115="Quarterly",F115="Annual",F115="Irregular"),1,0)))+IF(H115="RSS/Email/API",3,IF(OR(H115="Web/PDF",H115="Paid"),2,0)),0)</f>
        <v>8</v>
      </c>
      <c r="K115" s="8" t="s">
        <v>545</v>
      </c>
    </row>
    <row r="116" customFormat="false" ht="42" hidden="false" customHeight="true" outlineLevel="0" collapsed="false">
      <c r="A116" s="11" t="n">
        <v>112</v>
      </c>
      <c r="B116" s="9" t="s">
        <v>546</v>
      </c>
      <c r="C116" s="9" t="s">
        <v>547</v>
      </c>
      <c r="D116" s="9" t="s">
        <v>101</v>
      </c>
      <c r="E116" s="9" t="s">
        <v>199</v>
      </c>
      <c r="F116" s="11" t="s">
        <v>176</v>
      </c>
      <c r="G116" s="11" t="s">
        <v>190</v>
      </c>
      <c r="H116" s="11" t="s">
        <v>122</v>
      </c>
      <c r="I116" s="9" t="s">
        <v>548</v>
      </c>
      <c r="J116" s="11" t="n">
        <f aca="false">IFERROR(IF(G116="High",3,IF(G116="Medium",2,IF(G116="Low",1,0)))+IF(OR(F116="Daily",F116="Weekly"),3,IF(F116="Monthly",2,IF(OR(F116="Quarterly",F116="Annual",F116="Irregular"),1,0)))+IF(H116="RSS/Email/API",3,IF(OR(H116="Web/PDF",H116="Paid"),2,0)),0)</f>
        <v>8</v>
      </c>
      <c r="K116" s="9" t="s">
        <v>549</v>
      </c>
    </row>
    <row r="117" customFormat="false" ht="42" hidden="false" customHeight="true" outlineLevel="0" collapsed="false">
      <c r="A117" s="10" t="n">
        <v>113</v>
      </c>
      <c r="B117" s="8" t="s">
        <v>550</v>
      </c>
      <c r="C117" s="8" t="s">
        <v>547</v>
      </c>
      <c r="D117" s="8" t="s">
        <v>101</v>
      </c>
      <c r="E117" s="8" t="s">
        <v>199</v>
      </c>
      <c r="F117" s="10" t="s">
        <v>185</v>
      </c>
      <c r="G117" s="10" t="s">
        <v>190</v>
      </c>
      <c r="H117" s="10" t="s">
        <v>122</v>
      </c>
      <c r="I117" s="8" t="s">
        <v>551</v>
      </c>
      <c r="J117" s="10" t="n">
        <f aca="false">IFERROR(IF(G117="High",3,IF(G117="Medium",2,IF(G117="Low",1,0)))+IF(OR(F117="Daily",F117="Weekly"),3,IF(F117="Monthly",2,IF(OR(F117="Quarterly",F117="Annual",F117="Irregular"),1,0)))+IF(H117="RSS/Email/API",3,IF(OR(H117="Web/PDF",H117="Paid"),2,0)),0)</f>
        <v>7</v>
      </c>
      <c r="K117" s="8" t="s">
        <v>552</v>
      </c>
    </row>
    <row r="118" customFormat="false" ht="42" hidden="false" customHeight="true" outlineLevel="0" collapsed="false">
      <c r="A118" s="11" t="n">
        <v>114</v>
      </c>
      <c r="B118" s="9" t="s">
        <v>553</v>
      </c>
      <c r="C118" s="9" t="s">
        <v>553</v>
      </c>
      <c r="D118" s="9" t="s">
        <v>101</v>
      </c>
      <c r="E118" s="9" t="s">
        <v>199</v>
      </c>
      <c r="F118" s="11" t="s">
        <v>185</v>
      </c>
      <c r="G118" s="11" t="s">
        <v>229</v>
      </c>
      <c r="H118" s="11" t="s">
        <v>129</v>
      </c>
      <c r="I118" s="9" t="s">
        <v>554</v>
      </c>
      <c r="J118" s="11" t="n">
        <f aca="false">IFERROR(IF(G118="High",3,IF(G118="Medium",2,IF(G118="Low",1,0)))+IF(OR(F118="Daily",F118="Weekly"),3,IF(F118="Monthly",2,IF(OR(F118="Quarterly",F118="Annual",F118="Irregular"),1,0)))+IF(H118="RSS/Email/API",3,IF(OR(H118="Web/PDF",H118="Paid"),2,0)),0)</f>
        <v>5</v>
      </c>
      <c r="K118" s="9" t="s">
        <v>555</v>
      </c>
    </row>
    <row r="119" customFormat="false" ht="42" hidden="false" customHeight="true" outlineLevel="0" collapsed="false">
      <c r="A119" s="10" t="n">
        <v>115</v>
      </c>
      <c r="B119" s="8" t="s">
        <v>556</v>
      </c>
      <c r="C119" s="8" t="s">
        <v>429</v>
      </c>
      <c r="D119" s="8" t="s">
        <v>101</v>
      </c>
      <c r="E119" s="8" t="s">
        <v>127</v>
      </c>
      <c r="F119" s="10" t="s">
        <v>120</v>
      </c>
      <c r="G119" s="10" t="s">
        <v>121</v>
      </c>
      <c r="H119" s="10" t="s">
        <v>289</v>
      </c>
      <c r="I119" s="8" t="s">
        <v>557</v>
      </c>
      <c r="J119" s="10" t="n">
        <f aca="false">IFERROR(IF(G119="High",3,IF(G119="Medium",2,IF(G119="Low",1,0)))+IF(OR(F119="Daily",F119="Weekly"),3,IF(F119="Monthly",2,IF(OR(F119="Quarterly",F119="Annual",F119="Irregular"),1,0)))+IF(H119="RSS/Email/API",3,IF(OR(H119="Web/PDF",H119="Paid"),2,0)),0)</f>
        <v>8</v>
      </c>
      <c r="K119" s="8" t="s">
        <v>558</v>
      </c>
    </row>
    <row r="120" customFormat="false" ht="42" hidden="false" customHeight="true" outlineLevel="0" collapsed="false">
      <c r="A120" s="11" t="n">
        <v>116</v>
      </c>
      <c r="B120" s="9" t="s">
        <v>559</v>
      </c>
      <c r="C120" s="9" t="s">
        <v>560</v>
      </c>
      <c r="D120" s="9" t="s">
        <v>101</v>
      </c>
      <c r="E120" s="9" t="s">
        <v>127</v>
      </c>
      <c r="F120" s="11" t="s">
        <v>120</v>
      </c>
      <c r="G120" s="11" t="s">
        <v>190</v>
      </c>
      <c r="H120" s="11" t="s">
        <v>122</v>
      </c>
      <c r="I120" s="9" t="s">
        <v>561</v>
      </c>
      <c r="J120" s="11" t="n">
        <f aca="false">IFERROR(IF(G120="High",3,IF(G120="Medium",2,IF(G120="Low",1,0)))+IF(OR(F120="Daily",F120="Weekly"),3,IF(F120="Monthly",2,IF(OR(F120="Quarterly",F120="Annual",F120="Irregular"),1,0)))+IF(H120="RSS/Email/API",3,IF(OR(H120="Web/PDF",H120="Paid"),2,0)),0)</f>
        <v>8</v>
      </c>
      <c r="K120" s="9" t="s">
        <v>562</v>
      </c>
    </row>
    <row r="121" customFormat="false" ht="42" hidden="false" customHeight="true" outlineLevel="0" collapsed="false">
      <c r="A121" s="10" t="n">
        <v>117</v>
      </c>
      <c r="B121" s="8" t="s">
        <v>563</v>
      </c>
      <c r="C121" s="8" t="s">
        <v>564</v>
      </c>
      <c r="D121" s="8" t="s">
        <v>101</v>
      </c>
      <c r="E121" s="8" t="s">
        <v>220</v>
      </c>
      <c r="F121" s="10" t="s">
        <v>120</v>
      </c>
      <c r="G121" s="10" t="s">
        <v>190</v>
      </c>
      <c r="H121" s="10" t="s">
        <v>122</v>
      </c>
      <c r="I121" s="8" t="s">
        <v>565</v>
      </c>
      <c r="J121" s="10" t="n">
        <f aca="false">IFERROR(IF(G121="High",3,IF(G121="Medium",2,IF(G121="Low",1,0)))+IF(OR(F121="Daily",F121="Weekly"),3,IF(F121="Monthly",2,IF(OR(F121="Quarterly",F121="Annual",F121="Irregular"),1,0)))+IF(H121="RSS/Email/API",3,IF(OR(H121="Web/PDF",H121="Paid"),2,0)),0)</f>
        <v>8</v>
      </c>
      <c r="K121" s="8" t="s">
        <v>566</v>
      </c>
    </row>
    <row r="122" customFormat="false" ht="42" hidden="false" customHeight="true" outlineLevel="0" collapsed="false">
      <c r="A122" s="11" t="n">
        <v>118</v>
      </c>
      <c r="B122" s="9" t="s">
        <v>567</v>
      </c>
      <c r="C122" s="9" t="s">
        <v>429</v>
      </c>
      <c r="D122" s="9" t="s">
        <v>101</v>
      </c>
      <c r="E122" s="9" t="s">
        <v>220</v>
      </c>
      <c r="F122" s="11" t="s">
        <v>120</v>
      </c>
      <c r="G122" s="11" t="s">
        <v>190</v>
      </c>
      <c r="H122" s="11" t="s">
        <v>122</v>
      </c>
      <c r="I122" s="9" t="s">
        <v>568</v>
      </c>
      <c r="J122" s="11" t="n">
        <f aca="false">IFERROR(IF(G122="High",3,IF(G122="Medium",2,IF(G122="Low",1,0)))+IF(OR(F122="Daily",F122="Weekly"),3,IF(F122="Monthly",2,IF(OR(F122="Quarterly",F122="Annual",F122="Irregular"),1,0)))+IF(H122="RSS/Email/API",3,IF(OR(H122="Web/PDF",H122="Paid"),2,0)),0)</f>
        <v>8</v>
      </c>
      <c r="K122" s="9" t="s">
        <v>569</v>
      </c>
    </row>
    <row r="123" customFormat="false" ht="42" hidden="false" customHeight="true" outlineLevel="0" collapsed="false">
      <c r="A123" s="10" t="n">
        <v>119</v>
      </c>
      <c r="B123" s="8" t="s">
        <v>570</v>
      </c>
      <c r="C123" s="8" t="s">
        <v>571</v>
      </c>
      <c r="D123" s="8" t="s">
        <v>101</v>
      </c>
      <c r="E123" s="8" t="s">
        <v>162</v>
      </c>
      <c r="F123" s="10" t="s">
        <v>120</v>
      </c>
      <c r="G123" s="10" t="s">
        <v>190</v>
      </c>
      <c r="H123" s="10" t="s">
        <v>122</v>
      </c>
      <c r="I123" s="8" t="s">
        <v>572</v>
      </c>
      <c r="J123" s="10" t="n">
        <f aca="false">IFERROR(IF(G123="High",3,IF(G123="Medium",2,IF(G123="Low",1,0)))+IF(OR(F123="Daily",F123="Weekly"),3,IF(F123="Monthly",2,IF(OR(F123="Quarterly",F123="Annual",F123="Irregular"),1,0)))+IF(H123="RSS/Email/API",3,IF(OR(H123="Web/PDF",H123="Paid"),2,0)),0)</f>
        <v>8</v>
      </c>
      <c r="K123" s="8" t="s">
        <v>573</v>
      </c>
    </row>
    <row r="124" customFormat="false" ht="42" hidden="false" customHeight="true" outlineLevel="0" collapsed="false">
      <c r="A124" s="11" t="n">
        <v>120</v>
      </c>
      <c r="B124" s="9" t="s">
        <v>574</v>
      </c>
      <c r="C124" s="9" t="s">
        <v>575</v>
      </c>
      <c r="D124" s="9" t="s">
        <v>101</v>
      </c>
      <c r="E124" s="9" t="s">
        <v>358</v>
      </c>
      <c r="F124" s="11" t="s">
        <v>120</v>
      </c>
      <c r="G124" s="11" t="s">
        <v>121</v>
      </c>
      <c r="H124" s="11" t="s">
        <v>289</v>
      </c>
      <c r="I124" s="9" t="s">
        <v>576</v>
      </c>
      <c r="J124" s="11" t="n">
        <f aca="false">IFERROR(IF(G124="High",3,IF(G124="Medium",2,IF(G124="Low",1,0)))+IF(OR(F124="Daily",F124="Weekly"),3,IF(F124="Monthly",2,IF(OR(F124="Quarterly",F124="Annual",F124="Irregular"),1,0)))+IF(H124="RSS/Email/API",3,IF(OR(H124="Web/PDF",H124="Paid"),2,0)),0)</f>
        <v>8</v>
      </c>
      <c r="K124" s="9" t="s">
        <v>577</v>
      </c>
    </row>
    <row r="125" customFormat="false" ht="42" hidden="false" customHeight="true" outlineLevel="0" collapsed="false">
      <c r="A125" s="10" t="n">
        <v>121</v>
      </c>
      <c r="B125" s="8" t="s">
        <v>578</v>
      </c>
      <c r="C125" s="8" t="s">
        <v>579</v>
      </c>
      <c r="D125" s="8" t="s">
        <v>101</v>
      </c>
      <c r="E125" s="8" t="s">
        <v>358</v>
      </c>
      <c r="F125" s="10" t="s">
        <v>176</v>
      </c>
      <c r="G125" s="10" t="s">
        <v>190</v>
      </c>
      <c r="H125" s="10" t="s">
        <v>122</v>
      </c>
      <c r="I125" s="8" t="s">
        <v>580</v>
      </c>
      <c r="J125" s="10" t="n">
        <f aca="false">IFERROR(IF(G125="High",3,IF(G125="Medium",2,IF(G125="Low",1,0)))+IF(OR(F125="Daily",F125="Weekly"),3,IF(F125="Monthly",2,IF(OR(F125="Quarterly",F125="Annual",F125="Irregular"),1,0)))+IF(H125="RSS/Email/API",3,IF(OR(H125="Web/PDF",H125="Paid"),2,0)),0)</f>
        <v>8</v>
      </c>
      <c r="K125" s="8" t="s">
        <v>581</v>
      </c>
    </row>
  </sheetData>
  <autoFilter ref="A4:K125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  <col collapsed="false" customWidth="true" hidden="false" outlineLevel="0" max="4" min="3" style="0" width="50"/>
  </cols>
  <sheetData>
    <row r="1" customFormat="false" ht="24" hidden="false" customHeight="true" outlineLevel="0" collapsed="false">
      <c r="A1" s="5" t="s">
        <v>582</v>
      </c>
      <c r="B1" s="5"/>
      <c r="C1" s="5"/>
      <c r="D1" s="5"/>
    </row>
    <row r="2" customFormat="false" ht="15" hidden="false" customHeight="false" outlineLevel="0" collapsed="false">
      <c r="A2" s="6" t="s">
        <v>583</v>
      </c>
      <c r="B2" s="6"/>
      <c r="C2" s="6"/>
      <c r="D2" s="6"/>
    </row>
    <row r="4" customFormat="false" ht="15" hidden="false" customHeight="false" outlineLevel="0" collapsed="false">
      <c r="A4" s="7" t="s">
        <v>584</v>
      </c>
      <c r="B4" s="7" t="s">
        <v>585</v>
      </c>
      <c r="C4" s="7" t="s">
        <v>586</v>
      </c>
      <c r="D4" s="7" t="s">
        <v>587</v>
      </c>
    </row>
    <row r="5" customFormat="false" ht="135" hidden="false" customHeight="true" outlineLevel="0" collapsed="false">
      <c r="A5" s="8" t="s">
        <v>127</v>
      </c>
      <c r="B5" s="8" t="s">
        <v>588</v>
      </c>
      <c r="C5" s="8" t="s">
        <v>589</v>
      </c>
      <c r="D5" s="8" t="s">
        <v>590</v>
      </c>
    </row>
    <row r="6" customFormat="false" ht="135" hidden="false" customHeight="true" outlineLevel="0" collapsed="false">
      <c r="A6" s="9" t="s">
        <v>162</v>
      </c>
      <c r="B6" s="9" t="s">
        <v>591</v>
      </c>
      <c r="C6" s="9" t="s">
        <v>592</v>
      </c>
      <c r="D6" s="9" t="s">
        <v>593</v>
      </c>
    </row>
    <row r="7" customFormat="false" ht="135" hidden="false" customHeight="true" outlineLevel="0" collapsed="false">
      <c r="A7" s="8" t="s">
        <v>594</v>
      </c>
      <c r="B7" s="8" t="s">
        <v>595</v>
      </c>
      <c r="C7" s="8" t="s">
        <v>596</v>
      </c>
      <c r="D7" s="8" t="s">
        <v>597</v>
      </c>
    </row>
    <row r="8" customFormat="false" ht="135" hidden="false" customHeight="true" outlineLevel="0" collapsed="false">
      <c r="A8" s="9" t="s">
        <v>199</v>
      </c>
      <c r="B8" s="9" t="s">
        <v>598</v>
      </c>
      <c r="C8" s="9" t="s">
        <v>599</v>
      </c>
      <c r="D8" s="9" t="s">
        <v>600</v>
      </c>
    </row>
    <row r="9" customFormat="false" ht="135" hidden="false" customHeight="true" outlineLevel="0" collapsed="false">
      <c r="A9" s="8" t="s">
        <v>601</v>
      </c>
      <c r="B9" s="8" t="s">
        <v>602</v>
      </c>
      <c r="C9" s="8" t="s">
        <v>603</v>
      </c>
      <c r="D9" s="8" t="s">
        <v>604</v>
      </c>
    </row>
    <row r="10" customFormat="false" ht="135" hidden="false" customHeight="true" outlineLevel="0" collapsed="false">
      <c r="A10" s="9" t="s">
        <v>605</v>
      </c>
      <c r="B10" s="9" t="s">
        <v>606</v>
      </c>
      <c r="C10" s="9" t="s">
        <v>607</v>
      </c>
      <c r="D10" s="9" t="s">
        <v>608</v>
      </c>
    </row>
    <row r="11" customFormat="false" ht="135" hidden="false" customHeight="true" outlineLevel="0" collapsed="false">
      <c r="A11" s="8" t="s">
        <v>220</v>
      </c>
      <c r="B11" s="8" t="s">
        <v>609</v>
      </c>
      <c r="C11" s="8" t="s">
        <v>610</v>
      </c>
      <c r="D11" s="8" t="s">
        <v>611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  <col collapsed="false" customWidth="true" hidden="false" outlineLevel="0" max="3" min="3" style="0" width="45"/>
    <col collapsed="false" customWidth="true" hidden="false" outlineLevel="0" max="4" min="4" style="0" width="40"/>
    <col collapsed="false" customWidth="true" hidden="false" outlineLevel="0" max="5" min="5" style="0" width="18"/>
  </cols>
  <sheetData>
    <row r="1" customFormat="false" ht="24" hidden="false" customHeight="true" outlineLevel="0" collapsed="false">
      <c r="A1" s="5" t="s">
        <v>612</v>
      </c>
      <c r="B1" s="5"/>
      <c r="C1" s="5"/>
      <c r="D1" s="5"/>
      <c r="E1" s="5"/>
    </row>
    <row r="2" customFormat="false" ht="15" hidden="false" customHeight="false" outlineLevel="0" collapsed="false">
      <c r="A2" s="6" t="s">
        <v>613</v>
      </c>
      <c r="B2" s="6"/>
      <c r="C2" s="6"/>
      <c r="D2" s="6"/>
      <c r="E2" s="6"/>
    </row>
    <row r="4" customFormat="false" ht="26.85" hidden="false" customHeight="false" outlineLevel="0" collapsed="false">
      <c r="A4" s="7" t="s">
        <v>614</v>
      </c>
      <c r="B4" s="7" t="s">
        <v>615</v>
      </c>
      <c r="C4" s="7" t="s">
        <v>616</v>
      </c>
      <c r="D4" s="7" t="s">
        <v>617</v>
      </c>
      <c r="E4" s="7" t="s">
        <v>618</v>
      </c>
    </row>
    <row r="5" customFormat="false" ht="78" hidden="false" customHeight="true" outlineLevel="0" collapsed="false">
      <c r="A5" s="8" t="s">
        <v>56</v>
      </c>
      <c r="B5" s="8" t="s">
        <v>619</v>
      </c>
      <c r="C5" s="8" t="s">
        <v>620</v>
      </c>
      <c r="D5" s="8" t="s">
        <v>621</v>
      </c>
      <c r="E5" s="8" t="s">
        <v>622</v>
      </c>
    </row>
    <row r="6" customFormat="false" ht="78" hidden="false" customHeight="true" outlineLevel="0" collapsed="false">
      <c r="A6" s="9" t="s">
        <v>175</v>
      </c>
      <c r="B6" s="9" t="s">
        <v>623</v>
      </c>
      <c r="C6" s="9" t="s">
        <v>624</v>
      </c>
      <c r="D6" s="9" t="s">
        <v>625</v>
      </c>
      <c r="E6" s="9" t="s">
        <v>626</v>
      </c>
    </row>
    <row r="7" customFormat="false" ht="78" hidden="false" customHeight="true" outlineLevel="0" collapsed="false">
      <c r="A7" s="8" t="s">
        <v>66</v>
      </c>
      <c r="B7" s="8" t="s">
        <v>627</v>
      </c>
      <c r="C7" s="8" t="s">
        <v>628</v>
      </c>
      <c r="D7" s="8" t="s">
        <v>629</v>
      </c>
      <c r="E7" s="8" t="s">
        <v>120</v>
      </c>
    </row>
    <row r="8" customFormat="false" ht="78" hidden="false" customHeight="true" outlineLevel="0" collapsed="false">
      <c r="A8" s="9" t="s">
        <v>71</v>
      </c>
      <c r="B8" s="9" t="s">
        <v>630</v>
      </c>
      <c r="C8" s="9" t="s">
        <v>631</v>
      </c>
      <c r="D8" s="9" t="s">
        <v>632</v>
      </c>
      <c r="E8" s="9" t="s">
        <v>633</v>
      </c>
    </row>
    <row r="9" customFormat="false" ht="78" hidden="false" customHeight="true" outlineLevel="0" collapsed="false">
      <c r="A9" s="8" t="s">
        <v>76</v>
      </c>
      <c r="B9" s="8" t="s">
        <v>634</v>
      </c>
      <c r="C9" s="8" t="s">
        <v>635</v>
      </c>
      <c r="D9" s="8" t="s">
        <v>636</v>
      </c>
      <c r="E9" s="8" t="s">
        <v>637</v>
      </c>
    </row>
    <row r="10" customFormat="false" ht="78" hidden="false" customHeight="true" outlineLevel="0" collapsed="false">
      <c r="A10" s="9" t="s">
        <v>81</v>
      </c>
      <c r="B10" s="9" t="s">
        <v>638</v>
      </c>
      <c r="C10" s="9" t="s">
        <v>639</v>
      </c>
      <c r="D10" s="9" t="s">
        <v>640</v>
      </c>
      <c r="E10" s="9" t="s">
        <v>641</v>
      </c>
    </row>
    <row r="11" customFormat="false" ht="78" hidden="false" customHeight="true" outlineLevel="0" collapsed="false">
      <c r="A11" s="8" t="s">
        <v>642</v>
      </c>
      <c r="B11" s="8" t="s">
        <v>643</v>
      </c>
      <c r="C11" s="8" t="s">
        <v>644</v>
      </c>
      <c r="D11" s="8" t="s">
        <v>645</v>
      </c>
      <c r="E11" s="8" t="s">
        <v>176</v>
      </c>
    </row>
    <row r="12" customFormat="false" ht="78" hidden="false" customHeight="true" outlineLevel="0" collapsed="false">
      <c r="A12" s="9" t="s">
        <v>646</v>
      </c>
      <c r="B12" s="9" t="s">
        <v>647</v>
      </c>
      <c r="C12" s="9" t="s">
        <v>648</v>
      </c>
      <c r="D12" s="9" t="s">
        <v>649</v>
      </c>
      <c r="E12" s="9" t="s">
        <v>185</v>
      </c>
    </row>
    <row r="13" customFormat="false" ht="78" hidden="false" customHeight="true" outlineLevel="0" collapsed="false">
      <c r="A13" s="8" t="s">
        <v>650</v>
      </c>
      <c r="B13" s="8" t="s">
        <v>651</v>
      </c>
      <c r="C13" s="8" t="s">
        <v>652</v>
      </c>
      <c r="D13" s="8" t="s">
        <v>653</v>
      </c>
      <c r="E13" s="8" t="s">
        <v>176</v>
      </c>
    </row>
    <row r="14" customFormat="false" ht="78" hidden="false" customHeight="true" outlineLevel="0" collapsed="false">
      <c r="A14" s="9" t="s">
        <v>101</v>
      </c>
      <c r="B14" s="9" t="s">
        <v>654</v>
      </c>
      <c r="C14" s="9" t="s">
        <v>655</v>
      </c>
      <c r="D14" s="9" t="s">
        <v>656</v>
      </c>
      <c r="E14" s="9" t="s">
        <v>657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35"/>
    <col collapsed="false" customWidth="true" hidden="false" outlineLevel="0" max="5" min="4" style="0" width="30"/>
    <col collapsed="false" customWidth="true" hidden="false" outlineLevel="0" max="6" min="6" style="0" width="40"/>
  </cols>
  <sheetData>
    <row r="1" customFormat="false" ht="24" hidden="false" customHeight="true" outlineLevel="0" collapsed="false">
      <c r="A1" s="5" t="s">
        <v>658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6" t="s">
        <v>659</v>
      </c>
      <c r="B2" s="6"/>
      <c r="C2" s="6"/>
      <c r="D2" s="6"/>
      <c r="E2" s="6"/>
      <c r="F2" s="6"/>
    </row>
    <row r="4" customFormat="false" ht="15" hidden="false" customHeight="false" outlineLevel="0" collapsed="false">
      <c r="A4" s="7" t="s">
        <v>660</v>
      </c>
      <c r="B4" s="7" t="s">
        <v>51</v>
      </c>
      <c r="C4" s="7" t="s">
        <v>661</v>
      </c>
      <c r="D4" s="7" t="s">
        <v>662</v>
      </c>
      <c r="E4" s="7" t="s">
        <v>663</v>
      </c>
      <c r="F4" s="7" t="s">
        <v>664</v>
      </c>
    </row>
    <row r="5" customFormat="false" ht="72" hidden="false" customHeight="true" outlineLevel="0" collapsed="false">
      <c r="A5" s="8" t="s">
        <v>665</v>
      </c>
      <c r="B5" s="8" t="s">
        <v>666</v>
      </c>
      <c r="C5" s="8" t="s">
        <v>667</v>
      </c>
      <c r="D5" s="8" t="s">
        <v>668</v>
      </c>
      <c r="E5" s="8" t="s">
        <v>669</v>
      </c>
      <c r="F5" s="8" t="s">
        <v>670</v>
      </c>
    </row>
    <row r="6" customFormat="false" ht="72" hidden="false" customHeight="true" outlineLevel="0" collapsed="false">
      <c r="A6" s="9" t="s">
        <v>520</v>
      </c>
      <c r="B6" s="9" t="s">
        <v>666</v>
      </c>
      <c r="C6" s="9" t="s">
        <v>671</v>
      </c>
      <c r="D6" s="9" t="s">
        <v>672</v>
      </c>
      <c r="E6" s="9" t="s">
        <v>673</v>
      </c>
      <c r="F6" s="9" t="s">
        <v>674</v>
      </c>
    </row>
    <row r="7" customFormat="false" ht="72" hidden="false" customHeight="true" outlineLevel="0" collapsed="false">
      <c r="A7" s="8" t="s">
        <v>524</v>
      </c>
      <c r="B7" s="8" t="s">
        <v>666</v>
      </c>
      <c r="C7" s="8" t="s">
        <v>675</v>
      </c>
      <c r="D7" s="8" t="s">
        <v>676</v>
      </c>
      <c r="E7" s="8" t="s">
        <v>677</v>
      </c>
      <c r="F7" s="8" t="s">
        <v>678</v>
      </c>
    </row>
    <row r="8" customFormat="false" ht="72" hidden="false" customHeight="true" outlineLevel="0" collapsed="false">
      <c r="A8" s="9" t="s">
        <v>287</v>
      </c>
      <c r="B8" s="9" t="s">
        <v>679</v>
      </c>
      <c r="C8" s="9" t="s">
        <v>680</v>
      </c>
      <c r="D8" s="9" t="s">
        <v>681</v>
      </c>
      <c r="E8" s="9" t="s">
        <v>682</v>
      </c>
      <c r="F8" s="9" t="s">
        <v>683</v>
      </c>
    </row>
    <row r="9" customFormat="false" ht="72" hidden="false" customHeight="true" outlineLevel="0" collapsed="false">
      <c r="A9" s="8" t="s">
        <v>292</v>
      </c>
      <c r="B9" s="8" t="s">
        <v>679</v>
      </c>
      <c r="C9" s="8" t="s">
        <v>684</v>
      </c>
      <c r="D9" s="8" t="s">
        <v>685</v>
      </c>
      <c r="E9" s="8" t="s">
        <v>686</v>
      </c>
      <c r="F9" s="8" t="s">
        <v>687</v>
      </c>
    </row>
    <row r="10" customFormat="false" ht="72" hidden="false" customHeight="true" outlineLevel="0" collapsed="false">
      <c r="A10" s="9" t="s">
        <v>416</v>
      </c>
      <c r="B10" s="9" t="s">
        <v>688</v>
      </c>
      <c r="C10" s="9" t="s">
        <v>689</v>
      </c>
      <c r="D10" s="9" t="s">
        <v>690</v>
      </c>
      <c r="E10" s="9" t="s">
        <v>691</v>
      </c>
      <c r="F10" s="9" t="s">
        <v>692</v>
      </c>
    </row>
    <row r="11" customFormat="false" ht="72" hidden="false" customHeight="true" outlineLevel="0" collapsed="false">
      <c r="A11" s="8" t="s">
        <v>296</v>
      </c>
      <c r="B11" s="8" t="s">
        <v>693</v>
      </c>
      <c r="C11" s="8" t="s">
        <v>694</v>
      </c>
      <c r="D11" s="8" t="s">
        <v>695</v>
      </c>
      <c r="E11" s="8" t="s">
        <v>696</v>
      </c>
      <c r="F11" s="8" t="s">
        <v>697</v>
      </c>
    </row>
    <row r="12" customFormat="false" ht="72" hidden="false" customHeight="true" outlineLevel="0" collapsed="false">
      <c r="A12" s="9" t="s">
        <v>432</v>
      </c>
      <c r="B12" s="9" t="s">
        <v>698</v>
      </c>
      <c r="C12" s="9" t="s">
        <v>699</v>
      </c>
      <c r="D12" s="9" t="s">
        <v>700</v>
      </c>
      <c r="E12" s="9" t="s">
        <v>701</v>
      </c>
      <c r="F12" s="9" t="s">
        <v>702</v>
      </c>
    </row>
    <row r="13" customFormat="false" ht="72" hidden="false" customHeight="true" outlineLevel="0" collapsed="false">
      <c r="A13" s="8" t="s">
        <v>703</v>
      </c>
      <c r="B13" s="8" t="s">
        <v>704</v>
      </c>
      <c r="C13" s="8" t="s">
        <v>705</v>
      </c>
      <c r="D13" s="8" t="s">
        <v>706</v>
      </c>
      <c r="E13" s="8" t="s">
        <v>707</v>
      </c>
      <c r="F13" s="8" t="s">
        <v>708</v>
      </c>
    </row>
    <row r="14" customFormat="false" ht="72" hidden="false" customHeight="true" outlineLevel="0" collapsed="false">
      <c r="A14" s="9" t="s">
        <v>709</v>
      </c>
      <c r="B14" s="9" t="s">
        <v>710</v>
      </c>
      <c r="C14" s="9" t="s">
        <v>711</v>
      </c>
      <c r="D14" s="9" t="s">
        <v>712</v>
      </c>
      <c r="E14" s="9" t="s">
        <v>713</v>
      </c>
      <c r="F14" s="9" t="s">
        <v>714</v>
      </c>
    </row>
    <row r="15" customFormat="false" ht="72" hidden="false" customHeight="true" outlineLevel="0" collapsed="false">
      <c r="A15" s="8" t="s">
        <v>715</v>
      </c>
      <c r="B15" s="8" t="s">
        <v>716</v>
      </c>
      <c r="C15" s="8" t="s">
        <v>717</v>
      </c>
      <c r="D15" s="8" t="s">
        <v>718</v>
      </c>
      <c r="E15" s="8" t="s">
        <v>719</v>
      </c>
      <c r="F15" s="8" t="s">
        <v>720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80"/>
  </cols>
  <sheetData>
    <row r="1" customFormat="false" ht="24" hidden="false" customHeight="true" outlineLevel="0" collapsed="false">
      <c r="A1" s="12" t="s">
        <v>721</v>
      </c>
      <c r="B1" s="12"/>
      <c r="C1" s="12"/>
    </row>
    <row r="2" customFormat="false" ht="15" hidden="false" customHeight="true" outlineLevel="0" collapsed="false">
      <c r="A2" s="13" t="s">
        <v>722</v>
      </c>
      <c r="B2" s="13"/>
      <c r="C2" s="13"/>
    </row>
    <row r="4" customFormat="false" ht="68.65" hidden="false" customHeight="false" outlineLevel="0" collapsed="false">
      <c r="A4" s="4" t="s">
        <v>723</v>
      </c>
      <c r="B4" s="14" t="s">
        <v>724</v>
      </c>
    </row>
    <row r="6" customFormat="false" ht="35.05" hidden="false" customHeight="false" outlineLevel="0" collapsed="false">
      <c r="A6" s="4" t="s">
        <v>725</v>
      </c>
    </row>
    <row r="7" customFormat="false" ht="15" hidden="false" customHeight="false" outlineLevel="0" collapsed="false">
      <c r="A7" s="3" t="s">
        <v>121</v>
      </c>
      <c r="B7" s="14" t="n">
        <v>3</v>
      </c>
      <c r="C7" s="3" t="s">
        <v>726</v>
      </c>
    </row>
    <row r="8" customFormat="false" ht="15" hidden="false" customHeight="false" outlineLevel="0" collapsed="false">
      <c r="A8" s="3" t="s">
        <v>190</v>
      </c>
      <c r="B8" s="14" t="n">
        <v>2</v>
      </c>
      <c r="C8" s="3" t="s">
        <v>727</v>
      </c>
    </row>
    <row r="9" customFormat="false" ht="15" hidden="false" customHeight="false" outlineLevel="0" collapsed="false">
      <c r="A9" s="3" t="s">
        <v>229</v>
      </c>
      <c r="B9" s="14" t="n">
        <v>1</v>
      </c>
      <c r="C9" s="3" t="s">
        <v>728</v>
      </c>
    </row>
    <row r="11" customFormat="false" ht="35.05" hidden="false" customHeight="false" outlineLevel="0" collapsed="false">
      <c r="A11" s="4" t="s">
        <v>729</v>
      </c>
    </row>
    <row r="12" customFormat="false" ht="15" hidden="false" customHeight="false" outlineLevel="0" collapsed="false">
      <c r="A12" s="3" t="s">
        <v>120</v>
      </c>
      <c r="B12" s="14" t="n">
        <v>3</v>
      </c>
      <c r="C12" s="3" t="s">
        <v>730</v>
      </c>
    </row>
    <row r="13" customFormat="false" ht="15" hidden="false" customHeight="false" outlineLevel="0" collapsed="false">
      <c r="A13" s="3" t="s">
        <v>176</v>
      </c>
      <c r="B13" s="14" t="n">
        <v>3</v>
      </c>
      <c r="C13" s="3" t="s">
        <v>731</v>
      </c>
    </row>
    <row r="14" customFormat="false" ht="15" hidden="false" customHeight="false" outlineLevel="0" collapsed="false">
      <c r="A14" s="3" t="s">
        <v>185</v>
      </c>
      <c r="B14" s="14" t="n">
        <v>2</v>
      </c>
      <c r="C14" s="3" t="s">
        <v>732</v>
      </c>
    </row>
    <row r="15" customFormat="false" ht="15" hidden="false" customHeight="false" outlineLevel="0" collapsed="false">
      <c r="A15" s="3" t="s">
        <v>272</v>
      </c>
      <c r="B15" s="14" t="n">
        <v>1</v>
      </c>
      <c r="C15" s="3" t="s">
        <v>733</v>
      </c>
    </row>
    <row r="16" customFormat="false" ht="15" hidden="false" customHeight="false" outlineLevel="0" collapsed="false">
      <c r="A16" s="3" t="s">
        <v>128</v>
      </c>
      <c r="B16" s="14" t="n">
        <v>1</v>
      </c>
      <c r="C16" s="3" t="s">
        <v>734</v>
      </c>
    </row>
    <row r="17" customFormat="false" ht="15" hidden="false" customHeight="false" outlineLevel="0" collapsed="false">
      <c r="A17" s="3" t="s">
        <v>133</v>
      </c>
      <c r="B17" s="14" t="n">
        <v>1</v>
      </c>
      <c r="C17" s="3" t="s">
        <v>735</v>
      </c>
    </row>
    <row r="19" customFormat="false" ht="23.85" hidden="false" customHeight="false" outlineLevel="0" collapsed="false">
      <c r="A19" s="4" t="s">
        <v>736</v>
      </c>
    </row>
    <row r="20" customFormat="false" ht="15" hidden="false" customHeight="false" outlineLevel="0" collapsed="false">
      <c r="A20" s="3" t="s">
        <v>122</v>
      </c>
      <c r="B20" s="14" t="n">
        <v>3</v>
      </c>
      <c r="C20" s="3" t="s">
        <v>737</v>
      </c>
    </row>
    <row r="21" customFormat="false" ht="15" hidden="false" customHeight="false" outlineLevel="0" collapsed="false">
      <c r="A21" s="3" t="s">
        <v>129</v>
      </c>
      <c r="B21" s="14" t="n">
        <v>2</v>
      </c>
      <c r="C21" s="3" t="s">
        <v>738</v>
      </c>
    </row>
    <row r="22" customFormat="false" ht="15" hidden="false" customHeight="false" outlineLevel="0" collapsed="false">
      <c r="A22" s="3" t="s">
        <v>289</v>
      </c>
      <c r="B22" s="14" t="n">
        <v>2</v>
      </c>
      <c r="C22" s="3" t="s">
        <v>739</v>
      </c>
    </row>
    <row r="24" customFormat="false" ht="15" hidden="false" customHeight="false" outlineLevel="0" collapsed="false">
      <c r="A24" s="4" t="s">
        <v>740</v>
      </c>
    </row>
    <row r="25" customFormat="false" ht="113.4" hidden="false" customHeight="false" outlineLevel="0" collapsed="false">
      <c r="A25" s="3" t="s">
        <v>741</v>
      </c>
      <c r="B25" s="14" t="s">
        <v>742</v>
      </c>
    </row>
    <row r="26" customFormat="false" ht="79.85" hidden="false" customHeight="false" outlineLevel="0" collapsed="false">
      <c r="A26" s="3" t="s">
        <v>743</v>
      </c>
      <c r="B26" s="14" t="s">
        <v>744</v>
      </c>
    </row>
    <row r="27" customFormat="false" ht="57.45" hidden="false" customHeight="false" outlineLevel="0" collapsed="false">
      <c r="A27" s="3" t="s">
        <v>745</v>
      </c>
      <c r="B27" s="14" t="s">
        <v>746</v>
      </c>
    </row>
    <row r="28" customFormat="false" ht="79.85" hidden="false" customHeight="false" outlineLevel="0" collapsed="false">
      <c r="A28" s="3" t="s">
        <v>747</v>
      </c>
      <c r="B28" s="14" t="s">
        <v>748</v>
      </c>
    </row>
    <row r="29" customFormat="false" ht="91" hidden="false" customHeight="false" outlineLevel="0" collapsed="false">
      <c r="A29" s="3" t="s">
        <v>749</v>
      </c>
      <c r="B29" s="14" t="s">
        <v>750</v>
      </c>
    </row>
    <row r="32" customFormat="false" ht="15" hidden="false" customHeight="false" outlineLevel="0" collapsed="false">
      <c r="A32" s="4" t="s">
        <v>751</v>
      </c>
      <c r="B32" s="14" t="n">
        <f aca="false">COUNTIF('Source Register'!J5:J200,"&gt;=8")</f>
        <v>76</v>
      </c>
    </row>
    <row r="33" customFormat="false" ht="15" hidden="false" customHeight="false" outlineLevel="0" collapsed="false">
      <c r="A33" s="4" t="s">
        <v>752</v>
      </c>
      <c r="B33" s="14" t="n">
        <f aca="false">COUNTA('Source Register'!B5:B200)</f>
        <v>121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2026-04-17T19:04:21Z</dcterms:created>
  <dc:creator>openpyxl</dc:creator>
  <dc:description/>
  <dc:language>en-US</dc:language>
  <cp:lastModifiedBy/>
  <dcterms:modified xsi:type="dcterms:W3CDTF">2026-04-17T19:04:21Z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
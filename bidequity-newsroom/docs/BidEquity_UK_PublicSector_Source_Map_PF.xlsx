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My Drive\Bid Equity\Product\Newsroom\"/>
    </mc:Choice>
  </mc:AlternateContent>
  <xr:revisionPtr revIDLastSave="0" documentId="8_{229D8B99-67C2-47FD-8C8B-B29FD1FBA08F}" xr6:coauthVersionLast="47" xr6:coauthVersionMax="47" xr10:uidLastSave="{00000000-0000-0000-0000-000000000000}"/>
  <bookViews>
    <workbookView xWindow="-120" yWindow="-120" windowWidth="29040" windowHeight="15720" tabRatio="500" firstSheet="4" activeTab="7" xr2:uid="{00000000-000D-0000-FFFF-FFFF00000000}"/>
  </bookViews>
  <sheets>
    <sheet name="Read Me" sheetId="1" r:id="rId1"/>
    <sheet name="Category Overview" sheetId="2" r:id="rId2"/>
    <sheet name="Source Register" sheetId="3" r:id="rId3"/>
    <sheet name="Sector Hotspots" sheetId="4" r:id="rId4"/>
    <sheet name="Content Pipeline" sheetId="5" r:id="rId5"/>
    <sheet name="Competitor Landscape" sheetId="6" r:id="rId6"/>
    <sheet name="Scoring Model" sheetId="7" r:id="rId7"/>
    <sheet name="Heat Map" sheetId="8" r:id="rId8"/>
  </sheets>
  <definedNames>
    <definedName name="_xlnm._FilterDatabase" localSheetId="2" hidden="1">'Source Register'!$A$4:$K$125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4" i="8" l="1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G59" i="8"/>
  <c r="G58" i="8"/>
  <c r="G57" i="8"/>
  <c r="G56" i="8"/>
  <c r="G55" i="8"/>
  <c r="G54" i="8"/>
  <c r="G53" i="8"/>
  <c r="G52" i="8"/>
  <c r="D59" i="8"/>
  <c r="C59" i="8"/>
  <c r="B59" i="8"/>
  <c r="E59" i="8" s="1"/>
  <c r="D58" i="8"/>
  <c r="C58" i="8"/>
  <c r="B58" i="8"/>
  <c r="E58" i="8" s="1"/>
  <c r="F58" i="8" s="1"/>
  <c r="D57" i="8"/>
  <c r="C57" i="8"/>
  <c r="B57" i="8"/>
  <c r="E57" i="8" s="1"/>
  <c r="D56" i="8"/>
  <c r="C56" i="8"/>
  <c r="B56" i="8"/>
  <c r="E56" i="8" s="1"/>
  <c r="F56" i="8" s="1"/>
  <c r="E55" i="8"/>
  <c r="D55" i="8"/>
  <c r="C55" i="8"/>
  <c r="B55" i="8"/>
  <c r="D54" i="8"/>
  <c r="C54" i="8"/>
  <c r="B54" i="8"/>
  <c r="E54" i="8" s="1"/>
  <c r="D53" i="8"/>
  <c r="C53" i="8"/>
  <c r="B53" i="8"/>
  <c r="E53" i="8" s="1"/>
  <c r="E52" i="8"/>
  <c r="D52" i="8"/>
  <c r="C52" i="8"/>
  <c r="B52" i="8"/>
  <c r="B33" i="7"/>
  <c r="B32" i="7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F55" i="8" l="1"/>
  <c r="F59" i="8"/>
  <c r="F52" i="8"/>
  <c r="F53" i="8"/>
  <c r="F54" i="8"/>
  <c r="F57" i="8"/>
</calcChain>
</file>

<file path=xl/sharedStrings.xml><?xml version="1.0" encoding="utf-8"?>
<sst xmlns="http://schemas.openxmlformats.org/spreadsheetml/2006/main" count="1581" uniqueCount="856">
  <si>
    <t>BidEquity — UK Public Sector Source Intelligence Map</t>
  </si>
  <si>
    <t>A 360° map of UK public-sector information sources to feed thought leadership and bid-intelligence pipelines</t>
  </si>
  <si>
    <t>Purpose</t>
  </si>
  <si>
    <t>Identify, categorise and prioritise the public-domain sources a firm competing with Public Technology (or building bid-intelligence like Tussell/GlobalData) would need to scan continuously. Output serves two pipelines: (1) thought-leadership content for BidEquity's brand; (2) early-signal bid-intelligence for BIP and clients.</t>
  </si>
  <si>
    <t>Scope</t>
  </si>
  <si>
    <t>UK-wide: central government, devolved administrations (Scotland, Wales, NI), ALBs/arm's-length bodies, NHS, local government, and relevant regulators / oversight bodies. Covers seven sectors: Defence, Justice, Health &amp; Social Care, Local Gov &amp; Devolved, Central Gov &amp; Cabinet Office, Transport, Emergency Services.</t>
  </si>
  <si>
    <t>How to use this workbook</t>
  </si>
  <si>
    <t xml:space="preserve">  1. Category Overview</t>
  </si>
  <si>
    <t>Start here. 10 source categories with what they are, what signal they carry, and typical cadence.</t>
  </si>
  <si>
    <t xml:space="preserve">  2. Source Register</t>
  </si>
  <si>
    <t>The itemised list. ~120 named sources, each tagged by category, sector, cadence, signal strength, feed availability. This is the scan list.</t>
  </si>
  <si>
    <t xml:space="preserve">  3. Sector Hotspots</t>
  </si>
  <si>
    <t>Quick view of priority sources per sector. Use when briefing content or pursuits in one vertical.</t>
  </si>
  <si>
    <t xml:space="preserve">  4. Content Pipeline</t>
  </si>
  <si>
    <t>Maps source types to specific content outputs (LinkedIn posts, briefings, alerts). Bridges intelligence to content.</t>
  </si>
  <si>
    <t xml:space="preserve">  5. Competitor Landscape</t>
  </si>
  <si>
    <t>Firms and publications already operating in this intelligence space. Benchmarks your positioning.</t>
  </si>
  <si>
    <t xml:space="preserve">  6. Scoring Model</t>
  </si>
  <si>
    <t>Priority score (Signal × Cadence × Accessibility). Use to prioritise first-tranche scanning targets.</t>
  </si>
  <si>
    <t>Key concepts</t>
  </si>
  <si>
    <t xml:space="preserve">  Signal strength</t>
  </si>
  <si>
    <t>How directly the source indicates forthcoming spend / policy shift / procurement. HIGH = leading indicator (e.g. SRO announcements, spending review, framework pipeline). MEDIUM = contextual. LOW = ambient/reputational.</t>
  </si>
  <si>
    <t xml:space="preserve">  Cadence</t>
  </si>
  <si>
    <t>How often the source updates. Daily feeds are scannable; annual reports are deep-dives. Agentic systems need both.</t>
  </si>
  <si>
    <t xml:space="preserve">  Accessibility</t>
  </si>
  <si>
    <t>How machine-readable the source is. RSS/API is best for automation; PDF-in-gov-uk is scrapable but heavier; paywalled is costly but differentiated.</t>
  </si>
  <si>
    <t>Critical 2025-26 context (affects source currency)</t>
  </si>
  <si>
    <t xml:space="preserve">  GDS consolidation</t>
  </si>
  <si>
    <t>CDDO, GDS, Geospatial Commission and i.AI merged into the new Government Digital Service (Jan 2025), now part of DSIT. CDDO blog URLs still live but branded GDS.</t>
  </si>
  <si>
    <t xml:space="preserve">  Defence Reform</t>
  </si>
  <si>
    <t>Apr 2025: 'Quad' structure stood up (PUS / CDS / CDN / National Armaments Director). Defence Digital, DE&amp;S, Dstl, DIO and SDA now sit under the NADG. UK Defence Innovation (UKDI) absorbed DASA, J-Hub and Defence Innovation Unit.</t>
  </si>
  <si>
    <t xml:space="preserve">  StratCom → CSOC</t>
  </si>
  <si>
    <t>Strategic Command renamed Cyber &amp; Specialist Operations Command in Sept 2025, with new CyberEM Command under it.</t>
  </si>
  <si>
    <t xml:space="preserve">  CCS → GCA</t>
  </si>
  <si>
    <t>Crown Commercial Service became Government Commercial Agency on 1 April 2026, absorbing central commercial teams from Cabinet Office.</t>
  </si>
  <si>
    <t xml:space="preserve">  Procurement Act 2023</t>
  </si>
  <si>
    <t>In force from 24 Feb 2025. New notice types (pipeline, preliminary market engagement, transparency) create richer signal via Find a Tender.</t>
  </si>
  <si>
    <t>Next-step actions</t>
  </si>
  <si>
    <t xml:space="preserve">  1. Prioritise</t>
  </si>
  <si>
    <t>Filter Source Register by Priority Score ≥ 8. This is your tier-1 scan list (~25-30 sources).</t>
  </si>
  <si>
    <t xml:space="preserve">  2. Instrument</t>
  </si>
  <si>
    <t>Set up RSS/email/API ingestion for tier-1. For non-feed sources, schedule weekly/monthly scrapes.</t>
  </si>
  <si>
    <t xml:space="preserve">  3. Enrich</t>
  </si>
  <si>
    <t>Layer commercial intel (Tussell, GlobalData, Stotles) over public-domain base. These are paid but compound the signal.</t>
  </si>
  <si>
    <t xml:space="preserve">  4. Classify</t>
  </si>
  <si>
    <t>Build a taxonomy of topics you'll report on — map each to the relevant source types in Content Pipeline.</t>
  </si>
  <si>
    <t xml:space="preserve">  5. Iterate</t>
  </si>
  <si>
    <t>Review the register quarterly. Gov reorgs move URLs. Note the four reorgs captured above — all happened inside 12 months.</t>
  </si>
  <si>
    <t>Source Categories — what to scan, why, and how often</t>
  </si>
  <si>
    <t>Ten functional categories covering the full 360° of UK public-sector information output</t>
  </si>
  <si>
    <t>#</t>
  </si>
  <si>
    <t>Category</t>
  </si>
  <si>
    <t>What it is</t>
  </si>
  <si>
    <t>Why it matters (signal)</t>
  </si>
  <si>
    <t>Typical cadence</t>
  </si>
  <si>
    <t>Example entities</t>
  </si>
  <si>
    <t>Strategy &amp; Policy Publications</t>
  </si>
  <si>
    <t>White papers, strategies, command papers, action plans, ministerial statements. Usually published on GOV.UK or departmental sites.</t>
  </si>
  <si>
    <t>Define multi-year direction of travel — what gov will buy in 2–5 years. Lagging vs procurement but foundational for thought leadership.</t>
  </si>
  <si>
    <t>Irregular — major strategies every 2-5 yrs, refreshes quarterly</t>
  </si>
  <si>
    <t>Strategic Defence Review, AI Opportunities Action Plan, NHS Long Term Plan, Blueprint for Modern Digital Government</t>
  </si>
  <si>
    <t>Official Blogs (GOV.UK blog network)</t>
  </si>
  <si>
    <t>The 70+ GOV.UK blogs run by specific departments, functions and professions — author-led, more candid than press releases.</t>
  </si>
  <si>
    <t>Early signal on programme direction, team hires, tool choices, emerging problems. Richer than official publications.</t>
  </si>
  <si>
    <t>Weekly — most active blogs post 2-5x/week</t>
  </si>
  <si>
    <t>gds.blog.gov.uk, defencedigital.blog.gov.uk, mojdigital.blog.gov.uk, nhsdigital blog</t>
  </si>
  <si>
    <t>Procurement &amp; Commercial Feeds</t>
  </si>
  <si>
    <t>Tender portals, framework pipelines, contract award notices, pre-market engagement notices under the Procurement Act 2023.</t>
  </si>
  <si>
    <t>Highest-value signal for bid intelligence — direct evidence of spend. New PA2023 notices (pipeline, PME, transparency) are leading indicators.</t>
  </si>
  <si>
    <t>Daily feeds; framework pipelines refresh monthly</t>
  </si>
  <si>
    <t>Find a Tender, Contracts Finder, GCA pipeline (formerly CCS), Public Contracts Scotland, Sell2Wales, eTendersNI</t>
  </si>
  <si>
    <t>Parliamentary &amp; Oversight</t>
  </si>
  <si>
    <t>Select Committee inquiries, NAO reports, PAC hearings, Written Questions, Hansard, Library briefings.</t>
  </si>
  <si>
    <t>Independent critique of programmes — often surfaces failures or scope changes before gov publishes. Shapes political appetite.</t>
  </si>
  <si>
    <t>Daily during session; NAO reports ~30/year</t>
  </si>
  <si>
    <t>NAO, PAC, Defence Committee, Justice Committee, Health Committee, Commons Library, Lords Library</t>
  </si>
  <si>
    <t>Spending &amp; Financial Disclosure</t>
  </si>
  <si>
    <t>Annual reports &amp; accounts, spending transparency data (£25k+ transactions), commercial pipelines, spending reviews.</t>
  </si>
  <si>
    <t>The 'receipts' — retroactive evidence of what was actually bought and from whom. Annual reports contain forward commitments.</t>
  </si>
  <si>
    <t>Monthly (£25k spend); Annual (ARA); Spending Review ~every 3 yrs</t>
  </si>
  <si>
    <t>HMT Spending Review, departmental ARAs, NHS England ARA, MOD annual report</t>
  </si>
  <si>
    <t>Regulators &amp; Inspectorates</t>
  </si>
  <si>
    <t>Independent bodies that inspect, regulate, or report on public services. Their findings drive remediation spend.</t>
  </si>
  <si>
    <t>Critical report → near-certain future procurement. Remediation is predictable follow-through spend.</t>
  </si>
  <si>
    <t>Ongoing — multiple inspection reports weekly</t>
  </si>
  <si>
    <t>HMICFRS, HMI Prisons, CQC, Ofsted, ICO, NAO, HMCI</t>
  </si>
  <si>
    <t>Trade Associations &amp; Industry Bodies</t>
  </si>
  <si>
    <t>Sector-specific membership bodies that aggregate industry voice, run events, publish position papers.</t>
  </si>
  <si>
    <t>Pre-digested intelligence — they filter the firehose. Also surface industry pain points that gov may respond to.</t>
  </si>
  <si>
    <t>Weekly news; monthly briefings; annual conferences</t>
  </si>
  <si>
    <t>techUK, ADS Group, BCS, Local Government Association, NHS Confederation, TechMarketView</t>
  </si>
  <si>
    <t>Think Tanks &amp; Policy Institutes</t>
  </si>
  <si>
    <t>Research orgs that propose policy. Some have revolving doors with gov — their ideas often become policy.</t>
  </si>
  <si>
    <t>Leading indicator of policy direction, especially under new administrations. Cited heavily in strategies.</t>
  </si>
  <si>
    <t>Weekly publications; major reports quarterly</t>
  </si>
  <si>
    <t>Institute for Government, RUSI, IPPR, Policy Exchange, Reform, Nesta, Ada Lovelace Institute</t>
  </si>
  <si>
    <t>Local &amp; Devolved Governance</t>
  </si>
  <si>
    <t>Council meeting papers, cabinet decisions, Scottish/Welsh/NI gov publications, mayoralty announcements, combined authority plans.</t>
  </si>
  <si>
    <t>Enormous volume, fragmented — but rich signal on local digital, social care, transport spend. Hardest to cover comprehensively.</t>
  </si>
  <si>
    <t>Weekly (council meetings); continuous (Scot/Wales/NI feeds)</t>
  </si>
  <si>
    <t>LGInform, mySociety, Holyrood, Senedd, NI Executive, Greater London Authority, Combined Authorities</t>
  </si>
  <si>
    <t>Specialist Trade Press</t>
  </si>
  <si>
    <t>Publications that already do the scanning for specific verticals. Competitors and raw material simultaneously.</t>
  </si>
  <si>
    <t>What's already being reported — baseline to know so BidEquity can find the gaps / angles.</t>
  </si>
  <si>
    <t>Daily online; weekly newsletters</t>
  </si>
  <si>
    <t>PublicTechnology.net, Civil Service World, Government Computing, UKAuthority, HSJ, Police Oracle, Defence News</t>
  </si>
  <si>
    <t>Source Register — the scan list</t>
  </si>
  <si>
    <t>Filter on Priority Score ≥ 8 for tier-1 targets. Feed Type 'RSS/Email/API' = automatable; 'Web/PDF' = needs scraping; 'Paid' = commercial subscription.</t>
  </si>
  <si>
    <t>Source</t>
  </si>
  <si>
    <t>Owner/Entity</t>
  </si>
  <si>
    <t>Sector Relevance</t>
  </si>
  <si>
    <t>Cadence</t>
  </si>
  <si>
    <t>Signal</t>
  </si>
  <si>
    <t>Feed Type</t>
  </si>
  <si>
    <t>URL</t>
  </si>
  <si>
    <t>Priority Score</t>
  </si>
  <si>
    <t>Notes</t>
  </si>
  <si>
    <t>GOV.UK publications (whole-site feed)</t>
  </si>
  <si>
    <t>Cabinet Office / all depts</t>
  </si>
  <si>
    <t>All</t>
  </si>
  <si>
    <t>Daily</t>
  </si>
  <si>
    <t>High</t>
  </si>
  <si>
    <t>RSS/Email/API</t>
  </si>
  <si>
    <t>https://www.gov.uk/government/publications</t>
  </si>
  <si>
    <t>Master feed. Filter by department/policy-area. Atom feeds per topic available.</t>
  </si>
  <si>
    <t>Strategic Defence Review 2025</t>
  </si>
  <si>
    <t>MOD</t>
  </si>
  <si>
    <t>Defence</t>
  </si>
  <si>
    <t>Annual</t>
  </si>
  <si>
    <t>Web/PDF</t>
  </si>
  <si>
    <t>https://www.gov.uk/government/publications/the-strategic-defence-review-2025-making-britain-safer-secure-at-home-strong-abroad</t>
  </si>
  <si>
    <t>Foundational doc for next 5yrs of defence spend.</t>
  </si>
  <si>
    <t>Defence Industrial Strategy</t>
  </si>
  <si>
    <t>Irregular</t>
  </si>
  <si>
    <t>https://www.gov.uk/government/publications/uk-defence-industrial-strategy</t>
  </si>
  <si>
    <t>Sept 2025. Sets supply-chain direction.</t>
  </si>
  <si>
    <t>Defence Investment Plan</t>
  </si>
  <si>
    <t>https://www.gov.uk/government/organisations/ministry-of-defence</t>
  </si>
  <si>
    <t>Expected 2026. Granular spend intent.</t>
  </si>
  <si>
    <t>AI Opportunities Action Plan</t>
  </si>
  <si>
    <t>DSIT</t>
  </si>
  <si>
    <t>Central Gov</t>
  </si>
  <si>
    <t>https://www.gov.uk/government/publications/ai-opportunities-action-plan</t>
  </si>
  <si>
    <t>Jan 2025. Drives AI spend across public sector.</t>
  </si>
  <si>
    <t>Blueprint for Modern Digital Government</t>
  </si>
  <si>
    <t>DSIT / GDS</t>
  </si>
  <si>
    <t>https://www.gov.uk/government/publications/a-blueprint-for-modern-digital-government</t>
  </si>
  <si>
    <t>Jan 2026. Replaces Transforming for a Digital Future roadmap.</t>
  </si>
  <si>
    <t>NHS Long Term Plan &amp; successors</t>
  </si>
  <si>
    <t>NHS England / DHSC</t>
  </si>
  <si>
    <t>Health</t>
  </si>
  <si>
    <t>https://www.england.nhs.uk/publication/the-nhs-long-term-plan/</t>
  </si>
  <si>
    <t>Foundation for NHS digital and service reform spend.</t>
  </si>
  <si>
    <t>Spending Review documents</t>
  </si>
  <si>
    <t>HM Treasury</t>
  </si>
  <si>
    <t>https://www.gov.uk/government/collections/spending-review</t>
  </si>
  <si>
    <t>Every ~3yrs. Single most important document for pipeline.</t>
  </si>
  <si>
    <t>Autumn Statement / Budget</t>
  </si>
  <si>
    <t>https://www.gov.uk/government/collections/budget</t>
  </si>
  <si>
    <t>Annual. Signals in-year reprioritisation.</t>
  </si>
  <si>
    <t>Justice White Papers &amp; sentencing reviews</t>
  </si>
  <si>
    <t>MoJ</t>
  </si>
  <si>
    <t>Justice</t>
  </si>
  <si>
    <t>https://www.gov.uk/government/publications?departments%5B%5D=ministry-of-justice</t>
  </si>
  <si>
    <t>Prison capacity, probation, courts — all tied to strategy docs.</t>
  </si>
  <si>
    <t>Integrated Review refresh</t>
  </si>
  <si>
    <t>Cabinet Office</t>
  </si>
  <si>
    <t>https://www.gov.uk/government/publications/integrated-review-refresh-2023-responding-to-a-more-contested-and-volatile-world</t>
  </si>
  <si>
    <t>Sets national security posture.</t>
  </si>
  <si>
    <t>National Cyber Strategy</t>
  </si>
  <si>
    <t>Cabinet Office / NCSC</t>
  </si>
  <si>
    <t>https://www.gov.uk/government/publications/national-cyber-strategy-2022</t>
  </si>
  <si>
    <t>Drives cyber spend across depts.</t>
  </si>
  <si>
    <t>GDS blog</t>
  </si>
  <si>
    <t>Government Digital Service</t>
  </si>
  <si>
    <t>Official Blogs</t>
  </si>
  <si>
    <t>Weekly</t>
  </si>
  <si>
    <t>https://gds.blog.gov.uk/</t>
  </si>
  <si>
    <t>Most important digital blog in gov. Covers One Login, Wallet, roadmap.</t>
  </si>
  <si>
    <t>Government Digital and Data (ex-CDDO) blog</t>
  </si>
  <si>
    <t>GDS (ex-CDDO)</t>
  </si>
  <si>
    <t>https://cddo.blog.gov.uk/</t>
  </si>
  <si>
    <t>AI Playbook, AI Insights series. URL still live post-merger.</t>
  </si>
  <si>
    <t>Defence Digital blog</t>
  </si>
  <si>
    <t>MOD Defence Digital</t>
  </si>
  <si>
    <t>Monthly</t>
  </si>
  <si>
    <t>https://defencedigital.blog.gov.uk/</t>
  </si>
  <si>
    <t>SKYNET, commercial engagement, CTO posts.</t>
  </si>
  <si>
    <t>Cyber &amp; Specialist Operations Command blog</t>
  </si>
  <si>
    <t>MOD CSOC</t>
  </si>
  <si>
    <t>Medium</t>
  </si>
  <si>
    <t>https://stratcommand.blog.gov.uk/</t>
  </si>
  <si>
    <t>Formerly StratCom blog. Cyber, SF, overseas.</t>
  </si>
  <si>
    <t>MoJ Digital &amp; Technology blog</t>
  </si>
  <si>
    <t>Ministry of Justice</t>
  </si>
  <si>
    <t>https://mojdigital.blog.gov.uk/</t>
  </si>
  <si>
    <t>Probation digital, courts reform, tagging.</t>
  </si>
  <si>
    <t>Home Office Digital blog</t>
  </si>
  <si>
    <t>Home Office</t>
  </si>
  <si>
    <t>Emergency Services</t>
  </si>
  <si>
    <t>https://hodigital.blog.gov.uk/</t>
  </si>
  <si>
    <t>ESN, Police IT, borders.</t>
  </si>
  <si>
    <t>NHS England Digital blog / Transformation Directorate</t>
  </si>
  <si>
    <t>NHS England</t>
  </si>
  <si>
    <t>https://transform.england.nhs.uk/blogs/</t>
  </si>
  <si>
    <t>Federated Data Platform, FedIP, NHS App.</t>
  </si>
  <si>
    <t>DWP Digital blog</t>
  </si>
  <si>
    <t>DWP</t>
  </si>
  <si>
    <t>https://dwpdigital.blog.gov.uk/</t>
  </si>
  <si>
    <t>Largest gov dept by volume; prolific DDaT posting.</t>
  </si>
  <si>
    <t>HMRC Digital blog</t>
  </si>
  <si>
    <t>HMRC</t>
  </si>
  <si>
    <t>https://hmrcdigital.blog.gov.uk/</t>
  </si>
  <si>
    <t>Making Tax Digital; customs.</t>
  </si>
  <si>
    <t>DfE Digital blog</t>
  </si>
  <si>
    <t>Department for Education</t>
  </si>
  <si>
    <t>https://dfedigital.blog.gov.uk/</t>
  </si>
  <si>
    <t>Schools data, T-Levels digital.</t>
  </si>
  <si>
    <t>DfT Digital blog</t>
  </si>
  <si>
    <t>Department for Transport</t>
  </si>
  <si>
    <t>Transport</t>
  </si>
  <si>
    <t>https://dftdigital.blog.gov.uk/</t>
  </si>
  <si>
    <t>DVLA, DVSA, central transport tech.</t>
  </si>
  <si>
    <t>DVSA blog</t>
  </si>
  <si>
    <t>DVSA</t>
  </si>
  <si>
    <t>https://despatch.blog.gov.uk/</t>
  </si>
  <si>
    <t>Vehicle standards digital transformation.</t>
  </si>
  <si>
    <t>Defra Digital blog</t>
  </si>
  <si>
    <t>Defra</t>
  </si>
  <si>
    <t>Low</t>
  </si>
  <si>
    <t>https://defradigital.blog.gov.uk/</t>
  </si>
  <si>
    <t>Environmental data, farming payments.</t>
  </si>
  <si>
    <t>NCSC blog</t>
  </si>
  <si>
    <t>National Cyber Security Centre</t>
  </si>
  <si>
    <t>https://www.ncsc.gov.uk/section/keep-up-to-date/ncsc-blog</t>
  </si>
  <si>
    <t>Threat advisories, procurement implications.</t>
  </si>
  <si>
    <t>Dstl blog</t>
  </si>
  <si>
    <t>Defence Science &amp; Tech Lab</t>
  </si>
  <si>
    <t>https://www.gov.uk/government/organisations/defence-science-and-technology-laboratory</t>
  </si>
  <si>
    <t>R-Cloud, science programme signals.</t>
  </si>
  <si>
    <t>Inside HMCTS blog</t>
  </si>
  <si>
    <t>HM Courts &amp; Tribunals Service</t>
  </si>
  <si>
    <t>https://insidehmcts.blog.gov.uk/</t>
  </si>
  <si>
    <t>Courts reform — huge multi-year programme.</t>
  </si>
  <si>
    <t>Civil Service blog</t>
  </si>
  <si>
    <t>https://civilservice.blog.gov.uk/</t>
  </si>
  <si>
    <t>Workforce, reform agenda.</t>
  </si>
  <si>
    <t>Find a Tender Service</t>
  </si>
  <si>
    <t>https://www.find-tender.service.gov.uk/</t>
  </si>
  <si>
    <t>Primary UK tender portal post-Brexit. Procurement Act 2023 notices.</t>
  </si>
  <si>
    <t>Contracts Finder</t>
  </si>
  <si>
    <t>https://www.contractsfinder.service.gov.uk/</t>
  </si>
  <si>
    <t>Contracts &gt;£12k central / &gt;£30k wider. Complements FTS.</t>
  </si>
  <si>
    <t>Government Commercial Agency agreement pipeline</t>
  </si>
  <si>
    <t>GCA (formerly CCS)</t>
  </si>
  <si>
    <t>https://www.gca.gov.uk/agreements/upcoming</t>
  </si>
  <si>
    <t>CCS renamed GCA April 2026. Upcoming frameworks list.</t>
  </si>
  <si>
    <t>Public Contracts Scotland</t>
  </si>
  <si>
    <t>Scottish Government</t>
  </si>
  <si>
    <t>Devolved</t>
  </si>
  <si>
    <t>https://www.publiccontractsscotland.gov.uk/</t>
  </si>
  <si>
    <t>Scotland's tender portal.</t>
  </si>
  <si>
    <t>Sell2Wales</t>
  </si>
  <si>
    <t>Welsh Government</t>
  </si>
  <si>
    <t>https://www.sell2wales.gov.wales/</t>
  </si>
  <si>
    <t>Welsh tender portal.</t>
  </si>
  <si>
    <t>eTendersNI</t>
  </si>
  <si>
    <t>NI Executive</t>
  </si>
  <si>
    <t>https://etendersni.gov.uk/</t>
  </si>
  <si>
    <t>Northern Ireland procurement portal.</t>
  </si>
  <si>
    <t>NHS Supply Chain future pipeline</t>
  </si>
  <si>
    <t>NHS Supply Chain</t>
  </si>
  <si>
    <t>Quarterly</t>
  </si>
  <si>
    <t>https://www.supplychain.nhs.uk/</t>
  </si>
  <si>
    <t>NHS-specific procurement pipeline.</t>
  </si>
  <si>
    <t>MOD contracts &amp; commercial notes</t>
  </si>
  <si>
    <t>MOD Commercial</t>
  </si>
  <si>
    <t>https://www.gov.uk/government/collections/contracts-finder</t>
  </si>
  <si>
    <t>DE&amp;S, DIO, Defence Digital contract awards.</t>
  </si>
  <si>
    <t>DE&amp;S industry engagement</t>
  </si>
  <si>
    <t>DE&amp;S</t>
  </si>
  <si>
    <t>https://des.mod.uk/</t>
  </si>
  <si>
    <t>Framework events, Metis, R-Cloud.</t>
  </si>
  <si>
    <t>UK Defence Innovation (UKDI)</t>
  </si>
  <si>
    <t>MOD / NADG</t>
  </si>
  <si>
    <t>https://www.gov.uk/government/organisations/uk-defence-innovation</t>
  </si>
  <si>
    <t>New since 2025. Absorbed DASA, J-Hub, DIU. £400m ringfence.</t>
  </si>
  <si>
    <t>Tussell</t>
  </si>
  <si>
    <t>Tussell Ltd (commercial)</t>
  </si>
  <si>
    <t>Paid</t>
  </si>
  <si>
    <t>https://www.tussell.com/</t>
  </si>
  <si>
    <t>Most comprehensive UK public-sector market-intel platform. Paid.</t>
  </si>
  <si>
    <t>Stotles</t>
  </si>
  <si>
    <t>Stotles (commercial)</t>
  </si>
  <si>
    <t>https://www.stotles.com/</t>
  </si>
  <si>
    <t>Bid intelligence platform with contacts and signals.</t>
  </si>
  <si>
    <t>GlobalData Public Sector</t>
  </si>
  <si>
    <t>GlobalData</t>
  </si>
  <si>
    <t>https://www.globaldata.com/</t>
  </si>
  <si>
    <t>Broader than Tussell but less UK-gov-specific.</t>
  </si>
  <si>
    <t>Bidstats</t>
  </si>
  <si>
    <t>Bidstats (commercial)</t>
  </si>
  <si>
    <t>https://www.bidstats.uk/</t>
  </si>
  <si>
    <t>Tender aggregator, lighter-weight.</t>
  </si>
  <si>
    <t>National Audit Office reports</t>
  </si>
  <si>
    <t>NAO</t>
  </si>
  <si>
    <t>https://www.nao.org.uk/reports/</t>
  </si>
  <si>
    <t>Gold standard independent scrutiny. ~30 reports/year.</t>
  </si>
  <si>
    <t>Public Accounts Committee hearings</t>
  </si>
  <si>
    <t>House of Commons</t>
  </si>
  <si>
    <t>https://committees.parliament.uk/committee/127/public-accounts-committee/</t>
  </si>
  <si>
    <t>Follows NAO reports; politically potent.</t>
  </si>
  <si>
    <t>Defence Committee</t>
  </si>
  <si>
    <t>https://committees.parliament.uk/committee/24/defence-committee/</t>
  </si>
  <si>
    <t>Ongoing inquiries into MOD programmes.</t>
  </si>
  <si>
    <t>Justice Committee</t>
  </si>
  <si>
    <t>https://committees.parliament.uk/committee/102/justice-committee/</t>
  </si>
  <si>
    <t>Prison, probation, courts scrutiny.</t>
  </si>
  <si>
    <t>Health and Social Care Committee</t>
  </si>
  <si>
    <t>https://committees.parliament.uk/committee/81/health-and-social-care-committee/</t>
  </si>
  <si>
    <t>NHS reform, digital, workforce.</t>
  </si>
  <si>
    <t>Home Affairs Committee</t>
  </si>
  <si>
    <t>https://committees.parliament.uk/committee/83/home-affairs-committee/</t>
  </si>
  <si>
    <t>Police, borders, migration.</t>
  </si>
  <si>
    <t>Transport Committee</t>
  </si>
  <si>
    <t>https://committees.parliament.uk/committee/153/transport-committee/</t>
  </si>
  <si>
    <t>Rail, road, aviation policy.</t>
  </si>
  <si>
    <t>Science, Innovation and Technology Committee</t>
  </si>
  <si>
    <t>https://committees.parliament.uk/committee/135/science-innovation-and-technology-committee/</t>
  </si>
  <si>
    <t>AI, digital regulation, data.</t>
  </si>
  <si>
    <t>Commons Library research briefings</t>
  </si>
  <si>
    <t>https://commonslibrary.parliament.uk/</t>
  </si>
  <si>
    <t>Rich, balanced briefings — excellent background for content.</t>
  </si>
  <si>
    <t>Lords Library briefings</t>
  </si>
  <si>
    <t>House of Lords</t>
  </si>
  <si>
    <t>https://lordslibrary.parliament.uk/</t>
  </si>
  <si>
    <t>Complements Commons Library.</t>
  </si>
  <si>
    <t>Hansard</t>
  </si>
  <si>
    <t>UK Parliament</t>
  </si>
  <si>
    <t>https://hansard.parliament.uk/</t>
  </si>
  <si>
    <t>Written/spoken proceedings. Ministerial statements, WMS.</t>
  </si>
  <si>
    <t>Written Parliamentary Questions</t>
  </si>
  <si>
    <t>https://questions-statements.parliament.uk/</t>
  </si>
  <si>
    <t>WPQs often extract specific data not otherwise published.</t>
  </si>
  <si>
    <t>Departmental Annual Reports &amp; Accounts</t>
  </si>
  <si>
    <t>All depts</t>
  </si>
  <si>
    <t>https://www.gov.uk/government/publications?publication_filter_option=transparency-data</t>
  </si>
  <si>
    <t>Prior year + forward plans. Aug-Jul publishing window.</t>
  </si>
  <si>
    <t>Spend over £25k transparency data</t>
  </si>
  <si>
    <t>Monthly CSV dumps of all transactions &gt;£25k.</t>
  </si>
  <si>
    <t>MOD transparency &amp; procurement data</t>
  </si>
  <si>
    <t>https://www.gov.uk/government/publications/mod-departmental-resources-2023</t>
  </si>
  <si>
    <t>Including forward commitments.</t>
  </si>
  <si>
    <t>NHS Provider Accounts (NHSE consolidated)</t>
  </si>
  <si>
    <t>https://www.england.nhs.uk/publication/annual-report-and-accounts/</t>
  </si>
  <si>
    <t>NHS-wide spending picture.</t>
  </si>
  <si>
    <t>Local authority statements of accounts</t>
  </si>
  <si>
    <t>Local govs</t>
  </si>
  <si>
    <t>Local Gov</t>
  </si>
  <si>
    <t>Council-by-council. LGInform aggregates.</t>
  </si>
  <si>
    <t>Government Major Projects Portfolio (GMPP)</t>
  </si>
  <si>
    <t>Infrastructure &amp; Projects Authority</t>
  </si>
  <si>
    <t>https://www.gov.uk/government/publications/government-major-projects-portfolio-data</t>
  </si>
  <si>
    <t>RAG ratings for top ~150 projects. Essential.</t>
  </si>
  <si>
    <t>OBR Economic and Fiscal Outlook</t>
  </si>
  <si>
    <t>Office for Budget Responsibility</t>
  </si>
  <si>
    <t>https://obr.uk/</t>
  </si>
  <si>
    <t>Macro context for spending envelope.</t>
  </si>
  <si>
    <t>HMICFRS inspection reports</t>
  </si>
  <si>
    <t>HMICFRS</t>
  </si>
  <si>
    <t>https://hmicfrs.justiceinspectorates.gov.uk/</t>
  </si>
  <si>
    <t>Police &amp; fire inspections. Critical findings = remediation spend.</t>
  </si>
  <si>
    <t>HM Inspectorate of Prisons</t>
  </si>
  <si>
    <t>HMIP</t>
  </si>
  <si>
    <t>https://www.justiceinspectorates.gov.uk/hmiprisons/</t>
  </si>
  <si>
    <t>Prison inspections.</t>
  </si>
  <si>
    <t>HM Inspectorate of Probation</t>
  </si>
  <si>
    <t>HMI Probation</t>
  </si>
  <si>
    <t>https://www.justiceinspectorates.gov.uk/hmiprobation/</t>
  </si>
  <si>
    <t>Post-PMB / probation reform scrutiny.</t>
  </si>
  <si>
    <t>Care Quality Commission</t>
  </si>
  <si>
    <t>CQC</t>
  </si>
  <si>
    <t>https://www.cqc.org.uk/</t>
  </si>
  <si>
    <t>Health &amp; social care inspection.</t>
  </si>
  <si>
    <t>Ofsted</t>
  </si>
  <si>
    <t>https://www.gov.uk/government/organisations/ofsted</t>
  </si>
  <si>
    <t>Education, children's social care.</t>
  </si>
  <si>
    <t>Information Commissioner's Office</t>
  </si>
  <si>
    <t>ICO</t>
  </si>
  <si>
    <t>https://ico.org.uk/</t>
  </si>
  <si>
    <t>Data protection, FOI, enforcement actions.</t>
  </si>
  <si>
    <t>IPA project reviews</t>
  </si>
  <si>
    <t>https://www.gov.uk/government/organisations/infrastructure-and-projects-authority</t>
  </si>
  <si>
    <t>Gate reviews, RAG updates on major programmes.</t>
  </si>
  <si>
    <t>Competition and Markets Authority</t>
  </si>
  <si>
    <t>CMA</t>
  </si>
  <si>
    <t>https://www.gov.uk/cma</t>
  </si>
  <si>
    <t>Vendor behaviour, market investigations.</t>
  </si>
  <si>
    <t>techUK</t>
  </si>
  <si>
    <t>https://www.techuk.org/</t>
  </si>
  <si>
    <t>Programmes: Central Gov, Defence, Health, Justice, Local Public Services.</t>
  </si>
  <si>
    <t>ADS Group</t>
  </si>
  <si>
    <t>ADS</t>
  </si>
  <si>
    <t>https://www.adsgroup.org.uk/</t>
  </si>
  <si>
    <t>Aerospace, defence, security, space.</t>
  </si>
  <si>
    <t>Local Government Association</t>
  </si>
  <si>
    <t>LGA</t>
  </si>
  <si>
    <t>https://www.local.gov.uk/</t>
  </si>
  <si>
    <t>Essential for local gov signals. Policy, conferences.</t>
  </si>
  <si>
    <t>NHS Confederation</t>
  </si>
  <si>
    <t>NHS Confed</t>
  </si>
  <si>
    <t>https://www.nhsconfed.org/</t>
  </si>
  <si>
    <t>NHS leaders' views on policy and procurement.</t>
  </si>
  <si>
    <t>NHS Providers</t>
  </si>
  <si>
    <t>https://nhsproviders.org/</t>
  </si>
  <si>
    <t>Trust view of system.</t>
  </si>
  <si>
    <t>TechMarketView</t>
  </si>
  <si>
    <t>TMV</t>
  </si>
  <si>
    <t>https://www.techmarketview.com/</t>
  </si>
  <si>
    <t>Analyst firm — highly cited in UK public-sector tech.</t>
  </si>
  <si>
    <t>BCS The Chartered Institute for IT</t>
  </si>
  <si>
    <t>BCS</t>
  </si>
  <si>
    <t>https://www.bcs.org/</t>
  </si>
  <si>
    <t>Professional body, policy consultations.</t>
  </si>
  <si>
    <t>Society of IT Management (Socitm)</t>
  </si>
  <si>
    <t>Socitm</t>
  </si>
  <si>
    <t>https://socitm.net/</t>
  </si>
  <si>
    <t>Local public-sector IT community.</t>
  </si>
  <si>
    <t>Intellect UK defence suppliers forum</t>
  </si>
  <si>
    <t>Various</t>
  </si>
  <si>
    <t>https://www.teamdefence.info/</t>
  </si>
  <si>
    <t>Team Defence Information — MOD-industry interface.</t>
  </si>
  <si>
    <t>Institute for Government</t>
  </si>
  <si>
    <t>IfG</t>
  </si>
  <si>
    <t>https://www.instituteforgovernment.org.uk/</t>
  </si>
  <si>
    <t>Best-in-class analysis of gov effectiveness.</t>
  </si>
  <si>
    <t>Royal United Services Institute</t>
  </si>
  <si>
    <t>RUSI</t>
  </si>
  <si>
    <t>https://www.rusi.org/</t>
  </si>
  <si>
    <t>Defence &amp; security thought leadership.</t>
  </si>
  <si>
    <t>IPPR</t>
  </si>
  <si>
    <t>https://www.ippr.org/</t>
  </si>
  <si>
    <t>Centre-left policy; health &amp; justice.</t>
  </si>
  <si>
    <t>Reform</t>
  </si>
  <si>
    <t>https://reform.uk/</t>
  </si>
  <si>
    <t>Public services reform think tank.</t>
  </si>
  <si>
    <t>Policy Exchange</t>
  </si>
  <si>
    <t>https://policyexchange.org.uk/</t>
  </si>
  <si>
    <t>Centre-right; influential on current admin.</t>
  </si>
  <si>
    <t>Nesta</t>
  </si>
  <si>
    <t>https://www.nesta.org.uk/</t>
  </si>
  <si>
    <t>Innovation in public services, health, early years.</t>
  </si>
  <si>
    <t>Ada Lovelace Institute</t>
  </si>
  <si>
    <t>Ada Lovelace</t>
  </si>
  <si>
    <t>https://www.adalovelaceinstitute.org/</t>
  </si>
  <si>
    <t>AI policy — highly influential on UK AI gov.</t>
  </si>
  <si>
    <t>Alan Turing Institute</t>
  </si>
  <si>
    <t>ATI</t>
  </si>
  <si>
    <t>https://www.turing.ac.uk/</t>
  </si>
  <si>
    <t>Defence AI, public-sector data science.</t>
  </si>
  <si>
    <t>Onward</t>
  </si>
  <si>
    <t>https://www.ukonward.com/</t>
  </si>
  <si>
    <t>Levelling up, tech policy.</t>
  </si>
  <si>
    <t>The King's Fund</t>
  </si>
  <si>
    <t>King's Fund</t>
  </si>
  <si>
    <t>https://www.kingsfund.org.uk/</t>
  </si>
  <si>
    <t>Health policy authority.</t>
  </si>
  <si>
    <t>Nuffield Trust</t>
  </si>
  <si>
    <t>https://www.nuffieldtrust.org.uk/</t>
  </si>
  <si>
    <t>Health services research.</t>
  </si>
  <si>
    <t>Health Foundation</t>
  </si>
  <si>
    <t>https://www.health.org.uk/</t>
  </si>
  <si>
    <t>Independent health charity/think tank.</t>
  </si>
  <si>
    <t>Centre for Policing Research and Learning</t>
  </si>
  <si>
    <t>CPRL (Open Univ)</t>
  </si>
  <si>
    <t>https://www.open.ac.uk/research/centres/policing/</t>
  </si>
  <si>
    <t>Academic but policy-relevant.</t>
  </si>
  <si>
    <t>Centre for Justice Innovation</t>
  </si>
  <si>
    <t>CJI</t>
  </si>
  <si>
    <t>https://justiceinnovation.org/</t>
  </si>
  <si>
    <t>Court and sentencing reform.</t>
  </si>
  <si>
    <t>Scottish Government publications</t>
  </si>
  <si>
    <t>Scottish Gov</t>
  </si>
  <si>
    <t>https://www.gov.scot/publications/</t>
  </si>
  <si>
    <t>Scottish equivalent of GOV.UK.</t>
  </si>
  <si>
    <t>Welsh Government publications</t>
  </si>
  <si>
    <t>Welsh Gov</t>
  </si>
  <si>
    <t>https://www.gov.wales/</t>
  </si>
  <si>
    <t>Welsh equivalent.</t>
  </si>
  <si>
    <t>NI Executive publications</t>
  </si>
  <si>
    <t>https://www.northernireland.gov.uk/</t>
  </si>
  <si>
    <t>Northern Ireland.</t>
  </si>
  <si>
    <t>Greater London Authority publications</t>
  </si>
  <si>
    <t>GLA</t>
  </si>
  <si>
    <t>https://www.london.gov.uk/</t>
  </si>
  <si>
    <t>Mayor's office, TfL parent.</t>
  </si>
  <si>
    <t>Combined Authorities publications</t>
  </si>
  <si>
    <t>Various CAs</t>
  </si>
  <si>
    <t>GMCA, WMCA, WYCA, Liverpool CR, North-East CA etc.</t>
  </si>
  <si>
    <t>LGInform</t>
  </si>
  <si>
    <t>https://lginform.local.gov.uk/</t>
  </si>
  <si>
    <t>Council performance data aggregator.</t>
  </si>
  <si>
    <t>mySociety (TheyWorkForYou, WhatDoTheyKnow)</t>
  </si>
  <si>
    <t>mySociety</t>
  </si>
  <si>
    <t>https://www.mysociety.org/</t>
  </si>
  <si>
    <t>FOI corpus, parliament scrape — excellent for signals.</t>
  </si>
  <si>
    <t>Holyrood Magazine</t>
  </si>
  <si>
    <t>Dods</t>
  </si>
  <si>
    <t>https://www.holyrood.com/</t>
  </si>
  <si>
    <t>Scottish politics &amp; policy journalism.</t>
  </si>
  <si>
    <t>Local council meeting papers (CMIS feeds)</t>
  </si>
  <si>
    <t>Councils</t>
  </si>
  <si>
    <t>Cabinet papers reveal forthcoming contracts. Council-by-council.</t>
  </si>
  <si>
    <t>Public Sector Executive (PSE)</t>
  </si>
  <si>
    <t>Cognitive Publishing</t>
  </si>
  <si>
    <t>https://www.publicsectorexecutive.com/</t>
  </si>
  <si>
    <t>Local gov trade news.</t>
  </si>
  <si>
    <t>PublicTechnology</t>
  </si>
  <si>
    <t>https://www.publictechnology.net/</t>
  </si>
  <si>
    <t>The benchmark to beat. Know their coverage model.</t>
  </si>
  <si>
    <t>UKAuthority</t>
  </si>
  <si>
    <t>UKAuthority Ltd</t>
  </si>
  <si>
    <t>https://www.ukauthority.com/</t>
  </si>
  <si>
    <t>Local &amp; central gov IT news.</t>
  </si>
  <si>
    <t>Civil Service World</t>
  </si>
  <si>
    <t>https://www.civilserviceworld.com/</t>
  </si>
  <si>
    <t>Civil service jobs, moves, policy.</t>
  </si>
  <si>
    <t>Government Computing</t>
  </si>
  <si>
    <t>BPL Business Media</t>
  </si>
  <si>
    <t>https://www.governmentcomputing.com/</t>
  </si>
  <si>
    <t>Gov IT trade press.</t>
  </si>
  <si>
    <t>Global Government Forum</t>
  </si>
  <si>
    <t>Pendragon Intl Media</t>
  </si>
  <si>
    <t>https://www.globalgovernmentforum.com/</t>
  </si>
  <si>
    <t>International comparisons; UK focus.</t>
  </si>
  <si>
    <t>Health Service Journal (HSJ)</t>
  </si>
  <si>
    <t>Wilmington Healthcare</t>
  </si>
  <si>
    <t>https://www.hsj.co.uk/</t>
  </si>
  <si>
    <t>NHS bible. Paywall but essential.</t>
  </si>
  <si>
    <t>Digital Health</t>
  </si>
  <si>
    <t>Digital Health Intelligence</t>
  </si>
  <si>
    <t>https://www.digitalhealth.net/</t>
  </si>
  <si>
    <t>NHS digital specialist.</t>
  </si>
  <si>
    <t>Police Oracle</t>
  </si>
  <si>
    <t>https://www.policeoracle.com/</t>
  </si>
  <si>
    <t>Police trade press.</t>
  </si>
  <si>
    <t>Police Professional</t>
  </si>
  <si>
    <t>Pavilion Publishing</t>
  </si>
  <si>
    <t>https://www.policeprofessional.com/</t>
  </si>
  <si>
    <t>Policing magazine.</t>
  </si>
  <si>
    <t>Fire Magazine</t>
  </si>
  <si>
    <t>https://fire-magazine.com/</t>
  </si>
  <si>
    <t>FRS trade press.</t>
  </si>
  <si>
    <t>Ambulance Today</t>
  </si>
  <si>
    <t>https://www.ambulancetoday.co.uk/</t>
  </si>
  <si>
    <t>Ambulance service specialist.</t>
  </si>
  <si>
    <t>Defence News UK (Shephard Media, Janes)</t>
  </si>
  <si>
    <t>https://www.shephardmedia.com/</t>
  </si>
  <si>
    <t>Shephard, Janes — both paid, authoritative.</t>
  </si>
  <si>
    <t>UK Defence Journal</t>
  </si>
  <si>
    <t>UKDJ</t>
  </si>
  <si>
    <t>https://ukdefencejournal.org.uk/</t>
  </si>
  <si>
    <t>Free UK defence coverage.</t>
  </si>
  <si>
    <t>Transport Network / TransportXtra</t>
  </si>
  <si>
    <t>Landor LINKS</t>
  </si>
  <si>
    <t>https://www.transportxtra.com/</t>
  </si>
  <si>
    <t>Highways, public transport.</t>
  </si>
  <si>
    <t>Rail Magazine / RailBusinessDaily</t>
  </si>
  <si>
    <t>https://railbusinessdaily.com/</t>
  </si>
  <si>
    <t>Rail trade press.</t>
  </si>
  <si>
    <t>The Law Society Gazette</t>
  </si>
  <si>
    <t>Law Society</t>
  </si>
  <si>
    <t>https://www.lawgazette.co.uk/</t>
  </si>
  <si>
    <t>Legal profession — courts reform angles.</t>
  </si>
  <si>
    <t>Local Government Chronicle (LGC)</t>
  </si>
  <si>
    <t>EMAP</t>
  </si>
  <si>
    <t>https://www.lgcplus.com/</t>
  </si>
  <si>
    <t>LGC is to local gov what HSJ is to NHS.</t>
  </si>
  <si>
    <t>MJ (Municipal Journal)</t>
  </si>
  <si>
    <t>Hemming Group</t>
  </si>
  <si>
    <t>https://www.themj.co.uk/</t>
  </si>
  <si>
    <t>Local gov leadership audience.</t>
  </si>
  <si>
    <t>Sector Hotspots — priority sources by vertical</t>
  </si>
  <si>
    <t>For each sector: the 'must-scan' sources plus one-line reasoning</t>
  </si>
  <si>
    <t>Sector</t>
  </si>
  <si>
    <t>Must-scan sources (minimum viable scan)</t>
  </si>
  <si>
    <t>Secondary sources</t>
  </si>
  <si>
    <t>Sector-specific signals to watch for</t>
  </si>
  <si>
    <t>Strategic Defence Review; Defence Industrial Strategy; Defence Investment Plan; Find a Tender (MOD filter); Defence Digital blog; CSOC blog; UKDI announcements; Defence Committee; NAO defence reports; techUK/ADS defence programmes; Janes/Shephard; RUSI.</t>
  </si>
  <si>
    <t>DE&amp;S industry engagement; Dstl R-Cloud; Team Defence Information; UK Defence Journal; MOD annual report &amp; accounts; IPA GMPP defence entries.</t>
  </si>
  <si>
    <t>Framework refresh cycles (Serapis, DOS); UKDI challenge calls; SRO appointments on major programmes; NAO gate review findings; National Armaments Director statements; Digital Backbone / Digital Targeting Web milestones.</t>
  </si>
  <si>
    <t>MoJ publications; HMCTS Inside blog; MoJ Digital blog; HMI Prisons reports; HMI Probation reports; Justice Committee; NAO justice reports; MoJ ARA; CCS/GCA justice-adjacent frameworks.</t>
  </si>
  <si>
    <t>Law Society Gazette; Centre for Justice Innovation; sentencing reviews; Prison Reform Trust; courts reform programme updates.</t>
  </si>
  <si>
    <t>Prison capacity crisis spend; electronic monitoring/tagging contracts; Common Platform / courts reform milestones; probation reunification fallout; CJS data sharing programmes.</t>
  </si>
  <si>
    <t>Health &amp; Social Care</t>
  </si>
  <si>
    <t>NHS England Transformation blog; NHS Long Term Plan refreshes; HSJ; Digital Health; CQC inspection reports; Health &amp; Social Care Committee; NAO health reports; NHS Supply Chain pipeline; DHSC publications.</t>
  </si>
  <si>
    <t>King's Fund; Nuffield Trust; Health Foundation; NHS Confederation; NHS Providers; ICS-level board papers; Federated Data Platform announcements.</t>
  </si>
  <si>
    <t>FDP rollout/expansion; ICB financial plans; elective recovery programmes; social care reform movement; primary care digital procurements; NHS App expansion.</t>
  </si>
  <si>
    <t>Home Office Digital blog; HMICFRS reports; Home Affairs Committee; ESN programme updates; Police Oracle; Police Professional; Fire Magazine; College of Policing publications.</t>
  </si>
  <si>
    <t>APCC (Police &amp; Crime Commissioners); NPCC announcements; Ambulance Today; NFCC (Fire Chiefs); blue-light digital transformation programmes.</t>
  </si>
  <si>
    <t>ESN (Emergency Services Network) progression — now Motorola Airwave replacement; force-level IT consolidation; body-worn video refreshes; control room modernisation; 101/999 digital upgrades.</t>
  </si>
  <si>
    <t>Local Gov &amp; Devolved</t>
  </si>
  <si>
    <t>LGA publications; Socitm; LGInform; Scottish/Welsh/NI gov feeds; GLA publications; Combined Authority plans; UKAuthority; LGC; The MJ.</t>
  </si>
  <si>
    <t>mySociety; council cabinet papers (CMIS feeds); PSE; Holyrood Magazine; devolved committee scrutiny; mayoral combined authorities.</t>
  </si>
  <si>
    <t>Section 114 notices (bankruptcy); devolution deals expansion; local gov funding settlement annual cycle; levelling up fund wave decisions; planning reform impact; adult social care delivery contracts.</t>
  </si>
  <si>
    <t>Central Gov &amp; Cabinet Office</t>
  </si>
  <si>
    <t>GDS blog; ex-CDDO blog; AI Opportunities Action Plan tracking; Blueprint for Modern Digital Government; DWP/HMRC/DfE/DVSA digital blogs; Cabinet Office publications; Civil Service World; PublicTechnology.</t>
  </si>
  <si>
    <t>IfG analysis; Commons Science, Innovation &amp; Technology Committee; IPA project reviews; Algorithmic Transparency Recording Standard (ATRS) registrations; Civil Service Data Challenge outputs.</t>
  </si>
  <si>
    <t>GOV.UK One Login adoption milestones; AI Playbook iterations; legacy IT remediation funding allocations; shared platform onboarding (Pay, Notify, Forms); Spending Review digital settlements.</t>
  </si>
  <si>
    <t>DfT Digital blog; DVSA blog; Transport Committee; NAO transport reports; TransportXtra; RailBusinessDaily; TfL board papers.</t>
  </si>
  <si>
    <t>National Highways publications; Network Rail ORR reports; Active Travel England; CAA; Maritime &amp; Coastguard Agency; Office of Rail and Road.</t>
  </si>
  <si>
    <t>HS2 scope decisions; Great British Railways transition; road network digital programmes (NRTS 2); DVLA legacy IT remediation; TfL fares/IT tech refresh cycles.</t>
  </si>
  <si>
    <t>Content Pipeline — from source to output</t>
  </si>
  <si>
    <t>How source types map to specific content outputs for BidEquity (thought leadership) and BIP (bid intelligence)</t>
  </si>
  <si>
    <t>Source type</t>
  </si>
  <si>
    <t>Signal extracted</t>
  </si>
  <si>
    <t>BidEquity content output (thought leadership)</t>
  </si>
  <si>
    <t>BIP bid-intel output (pursuit)</t>
  </si>
  <si>
    <t>Cadence of output</t>
  </si>
  <si>
    <t>Multi-year direction; signalled themes; 'where gov is going'</t>
  </si>
  <si>
    <t>Deep-dive LinkedIn article; framework/position paper; webinar anchoring BidEquity's point of view on the implication for pursuit strategy</t>
  </si>
  <si>
    <t>Theme alerts: which frameworks &amp; capabilities will be touched; client-specific briefing note</t>
  </si>
  <si>
    <t>Within 5 days of publication</t>
  </si>
  <si>
    <t>Programme texture; named people; tools chosen; problems emerging</t>
  </si>
  <si>
    <t>Short LinkedIn posts reacting to a specific blog; counter-position or commentary; named analysis of leaders/SROs</t>
  </si>
  <si>
    <t>Named-SRO alerts; tooling choices signal to aligned vendor clients</t>
  </si>
  <si>
    <t>Weekly digest</t>
  </si>
  <si>
    <t>Explicit spend; timing; lot structure; incumbent displacement risk</t>
  </si>
  <si>
    <t>Quarterly 'State of Bid' report — trend analysis of what's going out to market</t>
  </si>
  <si>
    <t>Daily pursuit alerts; bid/no-bid decision support; lot strategy memos</t>
  </si>
  <si>
    <t>Programme health; failure narratives; political appetite</t>
  </si>
  <si>
    <t>Commentary piece tying NAO/PAC findings to bid dynamics; 'learning-from-failure' series</t>
  </si>
  <si>
    <t>Risk flags on incumbent programmes; re-compete probability memos</t>
  </si>
  <si>
    <t>Within 48h of publication</t>
  </si>
  <si>
    <t>Retrospective spend patterns; forward commitments; supplier concentration</t>
  </si>
  <si>
    <t>Annual 'Top 20 suppliers to [sector]' piece; concentration-risk analysis</t>
  </si>
  <si>
    <t>Supplier benchmarking; addressable market sizing per client</t>
  </si>
  <si>
    <t>Annual + monthly refresh</t>
  </si>
  <si>
    <t>Mandated remediation; immediate spend; political pressure</t>
  </si>
  <si>
    <t>Rapid commentary on high-profile inspection reports; sector-safety trend analysis</t>
  </si>
  <si>
    <t>Remediation pursuit alerts; client-specific 'where could you help fix this' briefings</t>
  </si>
  <si>
    <t>Within 24h of publication</t>
  </si>
  <si>
    <t>Trade Associations</t>
  </si>
  <si>
    <t>Industry-consolidated view; event calendar; gov-industry dynamics</t>
  </si>
  <si>
    <t>Conference commentary; position papers picking up association themes</t>
  </si>
  <si>
    <t>Event-based relationship-mapping; market-read updates</t>
  </si>
  <si>
    <t>Think Tanks</t>
  </si>
  <si>
    <t>Next-generation policy ideas; leading-indicator signal</t>
  </si>
  <si>
    <t>'Policy radar' series — what's on think-tank desks now, gov desks in 18 months</t>
  </si>
  <si>
    <t>Long-horizon pipeline thesis for clients</t>
  </si>
  <si>
    <t>Local &amp; Devolved</t>
  </si>
  <si>
    <t>Local spend signals; devolution-specific programmes; council failure/reform events</t>
  </si>
  <si>
    <t>Local-authority-specific insight pieces; devolved-admin policy watches</t>
  </si>
  <si>
    <t>Council-by-council opportunity maps; devolved-gov client targeting</t>
  </si>
  <si>
    <t>What the market already knows; baseline; what's underreported</t>
  </si>
  <si>
    <t>Counter-programming: covering angles the trade press missed; meta-analysis</t>
  </si>
  <si>
    <t>Not primary for bid intel — used for context validation</t>
  </si>
  <si>
    <t>Continuous scan</t>
  </si>
  <si>
    <t>Competitor Landscape — who else is scanning these sources</t>
  </si>
  <si>
    <t>If you're competing with PublicTechnology and adjacent players, this is the field. Identifies white space for BidEquity.</t>
  </si>
  <si>
    <t>Player</t>
  </si>
  <si>
    <t>Positioning</t>
  </si>
  <si>
    <t>Strength</t>
  </si>
  <si>
    <t>Weakness</t>
  </si>
  <si>
    <t>Implication for BidEquity</t>
  </si>
  <si>
    <t>PublicTechnology.net</t>
  </si>
  <si>
    <t>Trade press</t>
  </si>
  <si>
    <t>UK public-sector digital news site (Dods-owned)</t>
  </si>
  <si>
    <t>Established brand; daily cadence; wide reach in civil service</t>
  </si>
  <si>
    <t>Reactive/news-led; shallow analysis; no pursuit lens</t>
  </si>
  <si>
    <t>White space: pursuit-strategy commentary tying news to bid implications</t>
  </si>
  <si>
    <t>Gov-sector IT news with local focus</t>
  </si>
  <si>
    <t>Local gov coverage depth; event programme</t>
  </si>
  <si>
    <t>Thin on central gov; consumer-grade presentation</t>
  </si>
  <si>
    <t>White space: executive-grade analysis vs trade-news format</t>
  </si>
  <si>
    <t>Civil service workforce &amp; policy coverage</t>
  </si>
  <si>
    <t>People &amp; political coverage; Westminster network</t>
  </si>
  <si>
    <t>Light on tech/procurement</t>
  </si>
  <si>
    <t>Not a direct competitor — complementary</t>
  </si>
  <si>
    <t>Bid-intel platform</t>
  </si>
  <si>
    <t>SaaS platform aggregating public-sector tender &amp; contract data</t>
  </si>
  <si>
    <t>Data completeness; API; well-funded</t>
  </si>
  <si>
    <t>Platform, not perspective; no commentary layer</t>
  </si>
  <si>
    <t>Opportunity: partner/consume Tussell data and add BidEquity interpretation</t>
  </si>
  <si>
    <t>SaaS bid-intel with AI features, relationship mapping</t>
  </si>
  <si>
    <t>Modern UX; fast growth; contact data</t>
  </si>
  <si>
    <t>Scattered across sectors; less UK-gov-specialised than Tussell</t>
  </si>
  <si>
    <t>Same as Tussell — tool vendor not a commentary competitor</t>
  </si>
  <si>
    <t>Analyst</t>
  </si>
  <si>
    <t>UK tech sector analyst firm; public-sector coverage</t>
  </si>
  <si>
    <t>Respected; analyst-grade publications</t>
  </si>
  <si>
    <t>Paid wall; technology supplier focus; less bid-centric</t>
  </si>
  <si>
    <t>Benchmark for analyst-grade output quality</t>
  </si>
  <si>
    <t>Data/Intel</t>
  </si>
  <si>
    <t>Global data platform with public-sector vertical</t>
  </si>
  <si>
    <t>Breadth across geographies</t>
  </si>
  <si>
    <t>Less UK-deep than Tussell</t>
  </si>
  <si>
    <t>Peripheral competitor</t>
  </si>
  <si>
    <t>Think tank</t>
  </si>
  <si>
    <t>Independent analysis of gov effectiveness</t>
  </si>
  <si>
    <t>Authoritative; excellent writing</t>
  </si>
  <si>
    <t>Policy/politics angle, not commercial</t>
  </si>
  <si>
    <t>Not a competitor — useful content citation</t>
  </si>
  <si>
    <t>techUK analysis outputs</t>
  </si>
  <si>
    <t>Trade body</t>
  </si>
  <si>
    <t>Policy analysis from a vendor-consolidated view</t>
  </si>
  <si>
    <t>Access to gov; insider insights</t>
  </si>
  <si>
    <t>Always 'industry voice' - not independent</t>
  </si>
  <si>
    <t>Use their publications as leading indicators; don't compete</t>
  </si>
  <si>
    <t>Individual consultants on LinkedIn</t>
  </si>
  <si>
    <t>Independent voices</t>
  </si>
  <si>
    <t>Senior ex-gov commentators publishing on LinkedIn</t>
  </si>
  <si>
    <t>Authenticity; practitioner credibility</t>
  </si>
  <si>
    <t>Inconsistent; individual bandwidth</t>
  </si>
  <si>
    <t>The most direct personal-brand competitor layer. BidEquity's key positioning battle is here.</t>
  </si>
  <si>
    <t>BidEquity (BIP standalone brand)</t>
  </si>
  <si>
    <t>You</t>
  </si>
  <si>
    <t>Strategic pursuit consultancy publishing pursuit-centric commentary</t>
  </si>
  <si>
    <t>Pursuit-lens expertise; BIP programme depth; integrated content + services</t>
  </si>
  <si>
    <t>New brand; trust-to-be-earned; bandwidth</t>
  </si>
  <si>
    <t>Core positioning: 'Don't just report the news — interpret it for pursuit strategy.'</t>
  </si>
  <si>
    <t>Priority Scoring Model</t>
  </si>
  <si>
    <t>How Source Register Priority Score is calculated</t>
  </si>
  <si>
    <t>Formula</t>
  </si>
  <si>
    <t>Priority Score = Signal + Cadence + Accessibility</t>
  </si>
  <si>
    <t>Signal (how directly source indicates forthcoming activity)</t>
  </si>
  <si>
    <t>Leading indicator; direct evidence of spend/policy/programme</t>
  </si>
  <si>
    <t>Contextual; informs picture but indirect</t>
  </si>
  <si>
    <t>Ambient; reputational; low leading-indicator value</t>
  </si>
  <si>
    <t>Cadence (update frequency — ability to provide fresh signal)</t>
  </si>
  <si>
    <t>Updated most business days</t>
  </si>
  <si>
    <t>Updated ~weekly — still highly scannable</t>
  </si>
  <si>
    <t>Monthly publishing rhythm</t>
  </si>
  <si>
    <t>Quarterly reporting</t>
  </si>
  <si>
    <t>Once a year</t>
  </si>
  <si>
    <t>No fixed cadence</t>
  </si>
  <si>
    <t>Accessibility (automation cost)</t>
  </si>
  <si>
    <t>Machine-readable; cheap to ingest agentically</t>
  </si>
  <si>
    <t>Scrapable but requires parsing layer</t>
  </si>
  <si>
    <t>Costly but often high-signal</t>
  </si>
  <si>
    <t>Interpretation</t>
  </si>
  <si>
    <t>9</t>
  </si>
  <si>
    <t>Tier-1 must-scan, high-signal, high-frequency, easy to ingest. Set up immediately.</t>
  </si>
  <si>
    <t>8</t>
  </si>
  <si>
    <t>Tier-1. Strong candidates for week-one instrumentation.</t>
  </si>
  <si>
    <t>6-7</t>
  </si>
  <si>
    <t>Tier-2. Include in scanning after tier-1 is live.</t>
  </si>
  <si>
    <t>4-5</t>
  </si>
  <si>
    <t>Tier-3. Scan periodically; include in monthly/quarterly sweeps.</t>
  </si>
  <si>
    <t>≤3</t>
  </si>
  <si>
    <t>Tier-4. Reference library only; consult when needed, don't instrument.</t>
  </si>
  <si>
    <t>Tier-1 count (score ≥ 8)</t>
  </si>
  <si>
    <t>Total sources</t>
  </si>
  <si>
    <t>BidEquity Source Intelligence Heat Map</t>
  </si>
  <si>
    <t>Average Priority Score by Category × Sector  |  121 sources across 10 categories and 8 sectors</t>
  </si>
  <si>
    <t>Category \ Sector</t>
  </si>
  <si>
    <t>Emergency Svcs</t>
  </si>
  <si>
    <t>Trade Associations &amp; Industry</t>
  </si>
  <si>
    <t>Source Count by Category × Sector</t>
  </si>
  <si>
    <t>Number of intelligence sources available per intersection (includes 'All-sector' sources)</t>
  </si>
  <si>
    <t>Key Insights</t>
  </si>
  <si>
    <t>⭐ Hottest zones (avg score ≥8.4):</t>
  </si>
  <si>
    <t>Parliamentary &amp; Oversight across ALL sectors — uniformly high-signal, high-frequency, easy to ingest</t>
  </si>
  <si>
    <t>⭐ Highest single scores (9.0):</t>
  </si>
  <si>
    <t>Official Blogs in Health, Justice, Local Gov &amp; Devolved — few sources but exceptional quality</t>
  </si>
  <si>
    <t>⚠️ Coldest zone (avg ≤6.2):</t>
  </si>
  <si>
    <t>Spending &amp; Financial Disclosure across all sectors — high signal but low cadence (annual/quarterly) drags scores down</t>
  </si>
  <si>
    <t>⚠️ Coverage gap:</t>
  </si>
  <si>
    <t>Specialist Trade Press for Devolved (0 sources) and Local &amp; Devolved Governance for non-local sectors (1 source each)</t>
  </si>
  <si>
    <t>📊 Deepest coverage:</t>
  </si>
  <si>
    <t>Procurement &amp; Commercial Feeds has 10 sources for Defence and Devolved; Think Tanks has 9 sources for Health</t>
  </si>
  <si>
    <t>Legend</t>
  </si>
  <si>
    <t>Priority Score Matrix (rows 5-14):</t>
  </si>
  <si>
    <t>Red = lower avg priority score  →  Yellow = mid  →  Green = higher avg priority score (scale: 5.0 - 9.0)</t>
  </si>
  <si>
    <t>Source Count Matrix (rows 20-29):</t>
  </si>
  <si>
    <t>Light orange = fewer sources  →  Deep orange = more sources (scale: 0 - 10)</t>
  </si>
  <si>
    <t>Scoring formula:</t>
  </si>
  <si>
    <t>Priority = Signal (1-3) + Cadence (1-3) + Accessibility (1-3)  |  Max = 9  |  Tier-1 ≥ 8</t>
  </si>
  <si>
    <t>Source:</t>
  </si>
  <si>
    <t>Derived from 121 sources in the Source Register sheet</t>
  </si>
  <si>
    <t>STRATEGIC TARGETING — Where Should BidEquity Focus?</t>
  </si>
  <si>
    <t>Recommendations derived from the priority score × source count heat map above</t>
  </si>
  <si>
    <t>1. SECTOR PRIORITY RANKING</t>
  </si>
  <si>
    <t>Composite score = Avg Priority Score across all categories × Total source count  (higher = richer intelligence coverage)</t>
  </si>
  <si>
    <t>Avg Priority</t>
  </si>
  <si>
    <t>Total Sources</t>
  </si>
  <si>
    <t>Tier-1 Sources (≥8)</t>
  </si>
  <si>
    <t>Composite Score</t>
  </si>
  <si>
    <t>Rank</t>
  </si>
  <si>
    <t>Verdict</t>
  </si>
  <si>
    <t>2. ACTION MATRIX — Category Plays by Signal Quality vs Coverage Depth</t>
  </si>
  <si>
    <t>Quadrant analysis: which categories to instrument immediately vs invest in building out</t>
  </si>
  <si>
    <t>Quadrant</t>
  </si>
  <si>
    <t>Avg Score</t>
  </si>
  <si>
    <t>Avg Source Count</t>
  </si>
  <si>
    <t>Action</t>
  </si>
  <si>
    <t>Rationale</t>
  </si>
  <si>
    <t>⚡ QUICK WINS</t>
  </si>
  <si>
    <t>Instrument Week 1</t>
  </si>
  <si>
    <t>Highest avg score (8.4) with 6-7 sources per sector. All RSS/API — fully automatable. NAO + select committees = gold-standard bid signal.</t>
  </si>
  <si>
    <t>Avg 8.5 score — highest signal density. GDS, MoJ Digital, NHS Digital blogs reveal programme direction before official publications. All RSS-enabled.</t>
  </si>
  <si>
    <t>Deepest source pool (7-10 per sector). Find a Tender + Contracts Finder + devolved portals = direct evidence of spend. Core BIP pipeline feed.</t>
  </si>
  <si>
    <t>📈 SCALE UP</t>
  </si>
  <si>
    <t>Subscribe &amp; Monitor</t>
  </si>
  <si>
    <t>High scores where present (8.0-8.5) but thin coverage in some sectors. Add Devolved trade press. HSJ, Police Oracle, LGC are paid but essential — budget for subscriptions.</t>
  </si>
  <si>
    <t>Prioritise Justice &amp; Health</t>
  </si>
  <si>
    <t>Strong scores (7.7-8.2) — critical reports = near-certain remediation spend. Justice highest at 8.2. HMICFRS, CQC, HMIP are RSS-enabled. Unique white-space: bid implications of inspection findings.</t>
  </si>
  <si>
    <t>Thought Leadership Feed</t>
  </si>
  <si>
    <t>Deepest pool for Health (9 sources, 8.1 avg) and Defence (7 sources, 8.0 avg). IfG, RUSI, King's Fund = where policy ideas become procurement 18 months later. BidEquity 'Policy Radar' series.</t>
  </si>
  <si>
    <t>🛠️ INVEST TO BUILD</t>
  </si>
  <si>
    <t>Build Coverage Gradually</t>
  </si>
  <si>
    <t>Good scores (8.0-8.6) but only 1 source for most sectors outside Local Gov/Devolved. Enormous fragmented volume. Start with GLA + devolved gov feeds (already high-score), then expand council-by-council.</t>
  </si>
  <si>
    <t>Selective Engagement</t>
  </si>
  <si>
    <t>Mid-range scores (7.2-8.0) with thin coverage (2-4 sources). Focus on techUK (all-sector, score 9), LGA (local, score 9), NHS Confed (health, score 9). Event calendar = relationship-mapping gold.</t>
  </si>
  <si>
    <t>⏳ LOWER PRIORITY</t>
  </si>
  <si>
    <t>Scan on Publication</t>
  </si>
  <si>
    <t>Foundational but low cadence (irregular/annual) produces lowest scores (6.4-6.8). High signal when published, but can't build daily workflow around them. Deep-dive when they drop, don't instrument.</t>
  </si>
  <si>
    <t>Quarterly Deep Dives</t>
  </si>
  <si>
    <t>Lowest avg score (5.8-6.2) due to annual/quarterly cadence. But £25k spend data is monthly and reveals supplier concentration. Use for annual 'Top Suppliers' content and addressable market sizing.</t>
  </si>
  <si>
    <t>3. SECTOR-SPECIFIC STRATEGIC PLAYS</t>
  </si>
  <si>
    <t>Where to deploy resources for maximum bid-intelligence impact, sector by sector</t>
  </si>
  <si>
    <t>Primary Play</t>
  </si>
  <si>
    <t>Key Sources to Instrument First</t>
  </si>
  <si>
    <t>Content Output</t>
  </si>
  <si>
    <t>⭐ Central Gov</t>
  </si>
  <si>
    <t>Broadest coverage hub — use as anchor for cross-sector intelligence. 52 sources, Rank #1.</t>
  </si>
  <si>
    <t>GDS blog, CDDO blog, PublicTechnology, Civil Service World, Science &amp; Tech Committee, Find a Tender, techUK</t>
  </si>
  <si>
    <t>Weekly 'Digital Gov Pursuit Brief'; quarterly 'State of Central Gov Bid Market' report</t>
  </si>
  <si>
    <t>⭐ Defence</t>
  </si>
  <si>
    <t>Second-highest composite. 10 procurement sources + strong think tank coverage (RUSI). Deep specialist press.</t>
  </si>
  <si>
    <t>Defence Digital blog, CSOC blog, Defence Committee, RUSI, DE&amp;S engagement, UKDI, Find a Tender (MOD filter), Janes/Shephard</t>
  </si>
  <si>
    <t>Fortnightly 'Defence Bid Radar'; deep-dive on each SDR milestone; framework refresh countdown tracker</t>
  </si>
  <si>
    <t>🟢 Health</t>
  </si>
  <si>
    <t>Richest think-tank ecosystem (9 sources). Two 9.0-score blogs. CQC inspections drive predictable remediation spend.</t>
  </si>
  <si>
    <t>NHS Digital blog, CQC, King's Fund, Nuffield Trust, Digital Health, HSJ, Health Committee, NHS Confederation</t>
  </si>
  <si>
    <t>Weekly 'NHS Pursuit Pulse'; CQC-to-bid alert service; annual ICB spend analysis</t>
  </si>
  <si>
    <t>🟢 Justice</t>
  </si>
  <si>
    <t>Highest regulator score (8.2). MoJ Digital + HMCTS blogs both score 9. Concentrated, high-quality intelligence.</t>
  </si>
  <si>
    <t>MoJ Digital blog, Inside HMCTS blog, Justice Committee, HMI Prisons, HMI Probation, Law Society Gazette</t>
  </si>
  <si>
    <t>Fortnightly 'Justice Bid Watch'; inspection-triggered pursuit alerts; courts reform milestone tracker</t>
  </si>
  <si>
    <t>🟡 Emergency Svcs</t>
  </si>
  <si>
    <t>HMICFRS score 9 is the standout. ESN programme (Motorola Airwave replacement) is the mega-contract to track.</t>
  </si>
  <si>
    <t>HMICFRS, Home Affairs Committee, Home Office Digital blog, Police Oracle, Police Professional</t>
  </si>
  <si>
    <t>Monthly 'Blue Light Bid Brief'; ESN programme tracker; force IT modernisation opportunity map</t>
  </si>
  <si>
    <t>🟡 Transport</t>
  </si>
  <si>
    <t>Fewest sources (20) but highest avg score (7.9). Transport Committee score 9. Concentrated, efficient to scan.</t>
  </si>
  <si>
    <t>Transport Committee, DfT Digital blog, TransportXtra, RailBusinessDaily, TfL board papers</t>
  </si>
  <si>
    <t>Monthly 'Transport Tech Tracker'; GBR/HS2 pursuit briefings; DVLA legacy modernisation alerts</t>
  </si>
  <si>
    <t>⚪ Local Gov</t>
  </si>
  <si>
    <t>Strong trade press (LGC 8, UKAuthority 9, MJ 8). LGA score 9. But Local &amp; Devolved sources are fragmented by council.</t>
  </si>
  <si>
    <t>LGA, UKAuthority, LGC, GLA, LGInform, Socitm, Combined Authority papers</t>
  </si>
  <si>
    <t>Monthly 'Local Gov Bid Digest'; S114 early-warning service; council digital maturity benchmarking</t>
  </si>
  <si>
    <t>⚪ Devolved</t>
  </si>
  <si>
    <t>Highest Local &amp; Devolved score (8.6). 3 dedicated tender portals (all score 9). But zero specialist trade press — major gap.</t>
  </si>
  <si>
    <t>Scottish/Welsh/NI gov publications, Public Contracts Scotland, Sell2Wales, eTendersNI, Holyrood Magazine</t>
  </si>
  <si>
    <t>Quarterly 'Devolved Procurement Landscape'; cross-admin comparison reports; devolution deal bid-impact briefings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</si>
</sst>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charset val="1"/>
    </font>
    <font>
      <b/>
      <sz val="18"/>
      <color rgb="FF1F3A5F"/>
      <name val="Arial"/>
      <charset val="1"/>
    </font>
    <font>
      <i/>
      <sz val="11"/>
      <color rgb="FF555555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color rgb="FF1F3A5F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b/>
      <sz val="16"/>
      <color rgb="FF1B2A4A"/>
      <name val="Calibri"/>
      <family val="2"/>
      <charset val="1"/>
    </font>
    <font>
      <i/>
      <sz val="10"/>
      <color rgb="FF666666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4"/>
      <color rgb="FF1B2A4A"/>
      <name val="Calibri"/>
      <family val="2"/>
      <charset val="1"/>
    </font>
    <font>
      <b/>
      <i/>
      <sz val="10"/>
      <color rgb="FF666666"/>
      <name val="Calibri"/>
      <family val="2"/>
      <charset val="1"/>
    </font>
    <font>
      <sz val="10"/>
      <color rgb="FF333333"/>
      <name val="Calibri"/>
      <family val="2"/>
      <charset val="1"/>
    </font>
    <font>
      <b/>
      <sz val="12"/>
      <color rgb="FF1B2A4A"/>
      <name val="Calibri"/>
      <family val="2"/>
      <charset val="1"/>
    </font>
    <font>
      <b/>
      <sz val="16"/>
      <color rgb="FFFFFFFF"/>
      <name val="Calibri"/>
      <family val="2"/>
      <charset val="1"/>
    </font>
    <font>
      <b/>
      <sz val="13"/>
      <color rgb="FF1B2A4A"/>
      <name val="Calibri"/>
      <family val="2"/>
      <charset val="1"/>
    </font>
    <font>
      <b/>
      <sz val="10"/>
      <color rgb="FF375623"/>
      <name val="Calibri"/>
      <family val="2"/>
      <charset val="1"/>
    </font>
    <font>
      <b/>
      <sz val="10"/>
      <color rgb="FF1F4E79"/>
      <name val="Calibri"/>
      <family val="2"/>
      <charset val="1"/>
    </font>
    <font>
      <b/>
      <sz val="10"/>
      <color rgb="FF806000"/>
      <name val="Calibri"/>
      <family val="2"/>
      <charset val="1"/>
    </font>
    <font>
      <b/>
      <sz val="10"/>
      <color rgb="FF80808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5F1E8"/>
        <bgColor rgb="FFFFFFFF"/>
      </patternFill>
    </fill>
    <fill>
      <patternFill patternType="solid">
        <fgColor rgb="FF1B2A4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rgb="FF1B2A4A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12" fillId="0" borderId="0" xfId="0" applyFont="1"/>
    <xf numFmtId="0" fontId="10" fillId="4" borderId="5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vertical="center"/>
    </xf>
    <xf numFmtId="164" fontId="13" fillId="0" borderId="2" xfId="0" applyNumberFormat="1" applyFont="1" applyBorder="1" applyAlignment="1">
      <alignment horizontal="center" vertical="center"/>
    </xf>
    <xf numFmtId="164" fontId="13" fillId="0" borderId="9" xfId="0" applyNumberFormat="1" applyFont="1" applyBorder="1" applyAlignment="1">
      <alignment horizontal="center" vertical="center"/>
    </xf>
    <xf numFmtId="0" fontId="12" fillId="5" borderId="7" xfId="0" applyFont="1" applyFill="1" applyBorder="1" applyAlignment="1">
      <alignment vertical="center"/>
    </xf>
    <xf numFmtId="164" fontId="13" fillId="0" borderId="4" xfId="0" applyNumberFormat="1" applyFont="1" applyBorder="1" applyAlignment="1">
      <alignment horizontal="center" vertical="center"/>
    </xf>
    <xf numFmtId="164" fontId="13" fillId="0" borderId="10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7" fillId="0" borderId="0" xfId="0" applyFont="1"/>
    <xf numFmtId="0" fontId="8" fillId="0" borderId="0" xfId="0" applyFont="1"/>
    <xf numFmtId="0" fontId="9" fillId="0" borderId="0" xfId="0" applyFont="1"/>
    <xf numFmtId="0" fontId="14" fillId="5" borderId="0" xfId="0" applyFont="1" applyFill="1" applyBorder="1" applyAlignment="1">
      <alignment vertical="center"/>
    </xf>
    <xf numFmtId="0" fontId="15" fillId="5" borderId="0" xfId="0" applyFont="1" applyFill="1" applyBorder="1" applyAlignment="1">
      <alignment vertical="center"/>
    </xf>
    <xf numFmtId="0" fontId="16" fillId="0" borderId="0" xfId="0" applyFont="1"/>
    <xf numFmtId="0" fontId="14" fillId="5" borderId="11" xfId="0" applyFont="1" applyFill="1" applyBorder="1" applyAlignment="1">
      <alignment vertical="center"/>
    </xf>
    <xf numFmtId="0" fontId="18" fillId="4" borderId="0" xfId="0" applyFont="1" applyFill="1"/>
    <xf numFmtId="0" fontId="15" fillId="0" borderId="0" xfId="0" applyFont="1"/>
    <xf numFmtId="0" fontId="19" fillId="0" borderId="0" xfId="0" applyFont="1"/>
    <xf numFmtId="0" fontId="19" fillId="5" borderId="0" xfId="0" applyFont="1" applyFill="1"/>
    <xf numFmtId="0" fontId="15" fillId="5" borderId="0" xfId="0" applyFont="1" applyFill="1"/>
    <xf numFmtId="3" fontId="13" fillId="6" borderId="2" xfId="0" applyNumberFormat="1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3" fontId="13" fillId="6" borderId="4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vertical="center"/>
    </xf>
    <xf numFmtId="0" fontId="12" fillId="6" borderId="2" xfId="0" applyFont="1" applyFill="1" applyBorder="1" applyAlignment="1">
      <alignment vertical="center"/>
    </xf>
    <xf numFmtId="164" fontId="0" fillId="6" borderId="2" xfId="0" applyNumberFormat="1" applyFill="1" applyBorder="1" applyAlignment="1">
      <alignment horizontal="center" vertical="center"/>
    </xf>
    <xf numFmtId="0" fontId="20" fillId="6" borderId="2" xfId="0" applyFont="1" applyFill="1" applyBorder="1" applyAlignment="1">
      <alignment vertical="center"/>
    </xf>
    <xf numFmtId="0" fontId="21" fillId="7" borderId="6" xfId="0" applyFont="1" applyFill="1" applyBorder="1" applyAlignment="1">
      <alignment vertical="center"/>
    </xf>
    <xf numFmtId="0" fontId="12" fillId="7" borderId="2" xfId="0" applyFont="1" applyFill="1" applyBorder="1" applyAlignment="1">
      <alignment vertical="center"/>
    </xf>
    <xf numFmtId="164" fontId="0" fillId="7" borderId="2" xfId="0" applyNumberFormat="1" applyFill="1" applyBorder="1" applyAlignment="1">
      <alignment horizontal="center" vertical="center"/>
    </xf>
    <xf numFmtId="0" fontId="21" fillId="7" borderId="2" xfId="0" applyFont="1" applyFill="1" applyBorder="1" applyAlignment="1">
      <alignment vertical="center"/>
    </xf>
    <xf numFmtId="0" fontId="22" fillId="8" borderId="6" xfId="0" applyFont="1" applyFill="1" applyBorder="1" applyAlignment="1">
      <alignment vertical="center"/>
    </xf>
    <xf numFmtId="0" fontId="12" fillId="8" borderId="2" xfId="0" applyFont="1" applyFill="1" applyBorder="1" applyAlignment="1">
      <alignment vertical="center"/>
    </xf>
    <xf numFmtId="164" fontId="0" fillId="8" borderId="2" xfId="0" applyNumberFormat="1" applyFill="1" applyBorder="1" applyAlignment="1">
      <alignment horizontal="center" vertical="center"/>
    </xf>
    <xf numFmtId="0" fontId="22" fillId="8" borderId="2" xfId="0" applyFont="1" applyFill="1" applyBorder="1" applyAlignment="1">
      <alignment vertical="center"/>
    </xf>
    <xf numFmtId="0" fontId="23" fillId="5" borderId="6" xfId="0" applyFont="1" applyFill="1" applyBorder="1" applyAlignment="1">
      <alignment vertical="center"/>
    </xf>
    <xf numFmtId="0" fontId="12" fillId="5" borderId="2" xfId="0" applyFont="1" applyFill="1" applyBorder="1" applyAlignment="1">
      <alignment vertical="center"/>
    </xf>
    <xf numFmtId="164" fontId="0" fillId="5" borderId="2" xfId="0" applyNumberFormat="1" applyFill="1" applyBorder="1" applyAlignment="1">
      <alignment horizontal="center" vertical="center"/>
    </xf>
    <xf numFmtId="0" fontId="23" fillId="5" borderId="2" xfId="0" applyFont="1" applyFill="1" applyBorder="1" applyAlignment="1">
      <alignment vertical="center"/>
    </xf>
    <xf numFmtId="0" fontId="23" fillId="5" borderId="7" xfId="0" applyFont="1" applyFill="1" applyBorder="1" applyAlignment="1">
      <alignment vertical="center"/>
    </xf>
    <xf numFmtId="0" fontId="12" fillId="5" borderId="4" xfId="0" applyFont="1" applyFill="1" applyBorder="1" applyAlignment="1">
      <alignment vertical="center"/>
    </xf>
    <xf numFmtId="164" fontId="0" fillId="5" borderId="4" xfId="0" applyNumberFormat="1" applyFill="1" applyBorder="1" applyAlignment="1">
      <alignment horizontal="center" vertical="center"/>
    </xf>
    <xf numFmtId="0" fontId="23" fillId="5" borderId="4" xfId="0" applyFont="1" applyFill="1" applyBorder="1" applyAlignment="1">
      <alignment vertical="center"/>
    </xf>
    <xf numFmtId="0" fontId="12" fillId="6" borderId="6" xfId="0" applyFont="1" applyFill="1" applyBorder="1" applyAlignment="1">
      <alignment vertical="center"/>
    </xf>
    <xf numFmtId="0" fontId="12" fillId="7" borderId="6" xfId="0" applyFont="1" applyFill="1" applyBorder="1" applyAlignment="1">
      <alignment vertical="center"/>
    </xf>
    <xf numFmtId="0" fontId="12" fillId="8" borderId="6" xfId="0" applyFont="1" applyFill="1" applyBorder="1" applyAlignment="1">
      <alignment vertical="center"/>
    </xf>
    <xf numFmtId="0" fontId="11" fillId="6" borderId="2" xfId="0" applyFont="1" applyFill="1" applyBorder="1" applyAlignment="1">
      <alignment vertical="center" wrapText="1"/>
    </xf>
    <xf numFmtId="0" fontId="11" fillId="6" borderId="9" xfId="0" applyFont="1" applyFill="1" applyBorder="1" applyAlignment="1">
      <alignment vertical="center" wrapText="1"/>
    </xf>
    <xf numFmtId="0" fontId="11" fillId="7" borderId="2" xfId="0" applyFont="1" applyFill="1" applyBorder="1" applyAlignment="1">
      <alignment vertical="center" wrapText="1"/>
    </xf>
    <xf numFmtId="0" fontId="11" fillId="7" borderId="9" xfId="0" applyFont="1" applyFill="1" applyBorder="1" applyAlignment="1">
      <alignment vertical="center" wrapText="1"/>
    </xf>
    <xf numFmtId="0" fontId="11" fillId="8" borderId="2" xfId="0" applyFont="1" applyFill="1" applyBorder="1" applyAlignment="1">
      <alignment vertical="center" wrapText="1"/>
    </xf>
    <xf numFmtId="0" fontId="11" fillId="8" borderId="9" xfId="0" applyFont="1" applyFill="1" applyBorder="1" applyAlignment="1">
      <alignment vertical="center" wrapText="1"/>
    </xf>
    <xf numFmtId="0" fontId="11" fillId="5" borderId="2" xfId="0" applyFont="1" applyFill="1" applyBorder="1" applyAlignment="1">
      <alignment vertical="center" wrapText="1"/>
    </xf>
    <xf numFmtId="0" fontId="11" fillId="5" borderId="9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11" fillId="5" borderId="1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vertical="center" wrapText="1"/>
    </xf>
    <xf numFmtId="0" fontId="11" fillId="7" borderId="2" xfId="0" applyFont="1" applyFill="1" applyBorder="1" applyAlignment="1">
      <alignment vertical="center" wrapText="1"/>
    </xf>
    <xf numFmtId="0" fontId="11" fillId="8" borderId="2" xfId="0" applyFont="1" applyFill="1" applyBorder="1" applyAlignment="1">
      <alignment vertical="center" wrapText="1"/>
    </xf>
    <xf numFmtId="0" fontId="11" fillId="5" borderId="2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806000"/>
      </font>
      <fill>
        <patternFill patternType="solid">
          <fgColor indexed="64"/>
          <bgColor rgb="FFFFF2CC"/>
        </patternFill>
      </fill>
    </dxf>
    <dxf>
      <font>
        <color rgb="FF1F4E79"/>
      </font>
      <fill>
        <patternFill patternType="solid">
          <fgColor indexed="64"/>
          <bgColor rgb="FFDDEBF7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1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4A3971D-2661-4AE6-A453-9FD8E4935FBD}">
  <we:reference id="29673e3c-d826-4f00-92ee-162334a52b1a" version="1.0.0.8" store="EXCatalog" storeType="EXCatalog"/>
  <we:alternateReferences>
    <we:reference id="WA200009404" version="1.0.0.8" store="en-GB" storeType="OMEX"/>
  </we:alternateReferences>
  <we:properties>
    <we:property name="claude.fileId" value="&quot;2a9442b9-367f-4a52-8ede-d5e6536e381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showGridLines="0" zoomScaleNormal="100" workbookViewId="0"/>
  </sheetViews>
  <sheetFormatPr defaultColWidth="8.7109375" defaultRowHeight="15" x14ac:dyDescent="0.25"/>
  <cols>
    <col min="1" max="1" width="32" customWidth="1"/>
    <col min="2" max="2" width="110" customWidth="1"/>
  </cols>
  <sheetData>
    <row r="1" spans="1:2" ht="27.75" customHeight="1" x14ac:dyDescent="0.35">
      <c r="A1" s="5" t="s">
        <v>0</v>
      </c>
    </row>
    <row r="2" spans="1:2" x14ac:dyDescent="0.25">
      <c r="A2" s="6" t="s">
        <v>1</v>
      </c>
    </row>
    <row r="3" spans="1:2" ht="18" customHeight="1" x14ac:dyDescent="0.25">
      <c r="A3" s="7"/>
      <c r="B3" s="7"/>
    </row>
    <row r="4" spans="1:2" ht="60" customHeight="1" x14ac:dyDescent="0.25">
      <c r="A4" s="8" t="s">
        <v>2</v>
      </c>
      <c r="B4" s="7" t="s">
        <v>3</v>
      </c>
    </row>
    <row r="5" spans="1:2" ht="18" customHeight="1" x14ac:dyDescent="0.25">
      <c r="A5" s="7"/>
      <c r="B5" s="7"/>
    </row>
    <row r="6" spans="1:2" ht="60" customHeight="1" x14ac:dyDescent="0.25">
      <c r="A6" s="8" t="s">
        <v>4</v>
      </c>
      <c r="B6" s="7" t="s">
        <v>5</v>
      </c>
    </row>
    <row r="7" spans="1:2" ht="18" customHeight="1" x14ac:dyDescent="0.25">
      <c r="A7" s="7"/>
      <c r="B7" s="7"/>
    </row>
    <row r="8" spans="1:2" ht="18" customHeight="1" x14ac:dyDescent="0.25">
      <c r="A8" s="8" t="s">
        <v>6</v>
      </c>
      <c r="B8" s="7"/>
    </row>
    <row r="9" spans="1:2" ht="30" customHeight="1" x14ac:dyDescent="0.25">
      <c r="A9" s="7" t="s">
        <v>7</v>
      </c>
      <c r="B9" s="7" t="s">
        <v>8</v>
      </c>
    </row>
    <row r="10" spans="1:2" ht="30" customHeight="1" x14ac:dyDescent="0.25">
      <c r="A10" s="7" t="s">
        <v>9</v>
      </c>
      <c r="B10" s="7" t="s">
        <v>10</v>
      </c>
    </row>
    <row r="11" spans="1:2" ht="30" customHeight="1" x14ac:dyDescent="0.25">
      <c r="A11" s="7" t="s">
        <v>11</v>
      </c>
      <c r="B11" s="7" t="s">
        <v>12</v>
      </c>
    </row>
    <row r="12" spans="1:2" ht="30" customHeight="1" x14ac:dyDescent="0.25">
      <c r="A12" s="7" t="s">
        <v>13</v>
      </c>
      <c r="B12" s="7" t="s">
        <v>14</v>
      </c>
    </row>
    <row r="13" spans="1:2" ht="30" customHeight="1" x14ac:dyDescent="0.25">
      <c r="A13" s="7" t="s">
        <v>15</v>
      </c>
      <c r="B13" s="7" t="s">
        <v>16</v>
      </c>
    </row>
    <row r="14" spans="1:2" ht="30" customHeight="1" x14ac:dyDescent="0.25">
      <c r="A14" s="7" t="s">
        <v>17</v>
      </c>
      <c r="B14" s="7" t="s">
        <v>18</v>
      </c>
    </row>
    <row r="15" spans="1:2" ht="18" customHeight="1" x14ac:dyDescent="0.25">
      <c r="A15" s="7"/>
      <c r="B15" s="7"/>
    </row>
    <row r="16" spans="1:2" ht="18" customHeight="1" x14ac:dyDescent="0.25">
      <c r="A16" s="8" t="s">
        <v>19</v>
      </c>
      <c r="B16" s="7"/>
    </row>
    <row r="17" spans="1:2" ht="45" customHeight="1" x14ac:dyDescent="0.25">
      <c r="A17" s="7" t="s">
        <v>20</v>
      </c>
      <c r="B17" s="7" t="s">
        <v>21</v>
      </c>
    </row>
    <row r="18" spans="1:2" ht="30" customHeight="1" x14ac:dyDescent="0.25">
      <c r="A18" s="7" t="s">
        <v>22</v>
      </c>
      <c r="B18" s="7" t="s">
        <v>23</v>
      </c>
    </row>
    <row r="19" spans="1:2" ht="30" customHeight="1" x14ac:dyDescent="0.25">
      <c r="A19" s="7" t="s">
        <v>24</v>
      </c>
      <c r="B19" s="7" t="s">
        <v>25</v>
      </c>
    </row>
    <row r="20" spans="1:2" ht="18" customHeight="1" x14ac:dyDescent="0.25">
      <c r="A20" s="7"/>
      <c r="B20" s="7"/>
    </row>
    <row r="21" spans="1:2" ht="18" customHeight="1" x14ac:dyDescent="0.25">
      <c r="A21" s="8" t="s">
        <v>26</v>
      </c>
      <c r="B21" s="7"/>
    </row>
    <row r="22" spans="1:2" ht="30" customHeight="1" x14ac:dyDescent="0.25">
      <c r="A22" s="7" t="s">
        <v>27</v>
      </c>
      <c r="B22" s="7" t="s">
        <v>28</v>
      </c>
    </row>
    <row r="23" spans="1:2" ht="45" customHeight="1" x14ac:dyDescent="0.25">
      <c r="A23" s="7" t="s">
        <v>29</v>
      </c>
      <c r="B23" s="7" t="s">
        <v>30</v>
      </c>
    </row>
    <row r="24" spans="1:2" ht="30" customHeight="1" x14ac:dyDescent="0.25">
      <c r="A24" s="7" t="s">
        <v>31</v>
      </c>
      <c r="B24" s="7" t="s">
        <v>32</v>
      </c>
    </row>
    <row r="25" spans="1:2" ht="30" customHeight="1" x14ac:dyDescent="0.25">
      <c r="A25" s="7" t="s">
        <v>33</v>
      </c>
      <c r="B25" s="7" t="s">
        <v>34</v>
      </c>
    </row>
    <row r="26" spans="1:2" ht="30" customHeight="1" x14ac:dyDescent="0.25">
      <c r="A26" s="7" t="s">
        <v>35</v>
      </c>
      <c r="B26" s="7" t="s">
        <v>36</v>
      </c>
    </row>
    <row r="27" spans="1:2" ht="18" customHeight="1" x14ac:dyDescent="0.25">
      <c r="A27" s="7"/>
      <c r="B27" s="7"/>
    </row>
    <row r="28" spans="1:2" ht="18" customHeight="1" x14ac:dyDescent="0.25">
      <c r="A28" s="8" t="s">
        <v>37</v>
      </c>
      <c r="B28" s="7"/>
    </row>
    <row r="29" spans="1:2" ht="30" customHeight="1" x14ac:dyDescent="0.25">
      <c r="A29" s="7" t="s">
        <v>38</v>
      </c>
      <c r="B29" s="7" t="s">
        <v>39</v>
      </c>
    </row>
    <row r="30" spans="1:2" ht="30" customHeight="1" x14ac:dyDescent="0.25">
      <c r="A30" s="7" t="s">
        <v>40</v>
      </c>
      <c r="B30" s="7" t="s">
        <v>41</v>
      </c>
    </row>
    <row r="31" spans="1:2" ht="30" customHeight="1" x14ac:dyDescent="0.25">
      <c r="A31" s="7" t="s">
        <v>42</v>
      </c>
      <c r="B31" s="7" t="s">
        <v>43</v>
      </c>
    </row>
    <row r="32" spans="1:2" ht="30" customHeight="1" x14ac:dyDescent="0.25">
      <c r="A32" s="7" t="s">
        <v>44</v>
      </c>
      <c r="B32" s="7" t="s">
        <v>45</v>
      </c>
    </row>
    <row r="33" spans="1:2" ht="30" customHeight="1" x14ac:dyDescent="0.25">
      <c r="A33" s="7" t="s">
        <v>46</v>
      </c>
      <c r="B33" s="7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32" customWidth="1"/>
    <col min="3" max="4" width="50" customWidth="1"/>
    <col min="5" max="5" width="30" customWidth="1"/>
    <col min="6" max="6" width="60" customWidth="1"/>
  </cols>
  <sheetData>
    <row r="1" spans="1:6" ht="24" customHeight="1" x14ac:dyDescent="0.25">
      <c r="A1" s="4" t="s">
        <v>48</v>
      </c>
      <c r="B1" s="4"/>
      <c r="C1" s="4"/>
      <c r="D1" s="4"/>
      <c r="E1" s="4"/>
      <c r="F1" s="4"/>
    </row>
    <row r="2" spans="1:6" x14ac:dyDescent="0.25">
      <c r="A2" s="3" t="s">
        <v>49</v>
      </c>
      <c r="B2" s="3"/>
      <c r="C2" s="3"/>
      <c r="D2" s="3"/>
      <c r="E2" s="3"/>
      <c r="F2" s="3"/>
    </row>
    <row r="4" spans="1:6" x14ac:dyDescent="0.25">
      <c r="A4" s="9" t="s">
        <v>50</v>
      </c>
      <c r="B4" s="9" t="s">
        <v>51</v>
      </c>
      <c r="C4" s="9" t="s">
        <v>52</v>
      </c>
      <c r="D4" s="9" t="s">
        <v>53</v>
      </c>
      <c r="E4" s="9" t="s">
        <v>54</v>
      </c>
      <c r="F4" s="9" t="s">
        <v>55</v>
      </c>
    </row>
    <row r="5" spans="1:6" ht="84.75" customHeight="1" x14ac:dyDescent="0.25">
      <c r="A5" s="10">
        <v>1</v>
      </c>
      <c r="B5" s="10" t="s">
        <v>56</v>
      </c>
      <c r="C5" s="10" t="s">
        <v>57</v>
      </c>
      <c r="D5" s="10" t="s">
        <v>58</v>
      </c>
      <c r="E5" s="10" t="s">
        <v>59</v>
      </c>
      <c r="F5" s="10" t="s">
        <v>60</v>
      </c>
    </row>
    <row r="6" spans="1:6" ht="84.75" customHeight="1" x14ac:dyDescent="0.25">
      <c r="A6" s="11">
        <v>2</v>
      </c>
      <c r="B6" s="11" t="s">
        <v>61</v>
      </c>
      <c r="C6" s="11" t="s">
        <v>62</v>
      </c>
      <c r="D6" s="11" t="s">
        <v>63</v>
      </c>
      <c r="E6" s="11" t="s">
        <v>64</v>
      </c>
      <c r="F6" s="11" t="s">
        <v>65</v>
      </c>
    </row>
    <row r="7" spans="1:6" ht="84.75" customHeight="1" x14ac:dyDescent="0.25">
      <c r="A7" s="10">
        <v>3</v>
      </c>
      <c r="B7" s="10" t="s">
        <v>66</v>
      </c>
      <c r="C7" s="10" t="s">
        <v>67</v>
      </c>
      <c r="D7" s="10" t="s">
        <v>68</v>
      </c>
      <c r="E7" s="10" t="s">
        <v>69</v>
      </c>
      <c r="F7" s="10" t="s">
        <v>70</v>
      </c>
    </row>
    <row r="8" spans="1:6" ht="84.75" customHeight="1" x14ac:dyDescent="0.25">
      <c r="A8" s="11">
        <v>4</v>
      </c>
      <c r="B8" s="11" t="s">
        <v>71</v>
      </c>
      <c r="C8" s="11" t="s">
        <v>72</v>
      </c>
      <c r="D8" s="11" t="s">
        <v>73</v>
      </c>
      <c r="E8" s="11" t="s">
        <v>74</v>
      </c>
      <c r="F8" s="11" t="s">
        <v>75</v>
      </c>
    </row>
    <row r="9" spans="1:6" ht="84.75" customHeight="1" x14ac:dyDescent="0.25">
      <c r="A9" s="10">
        <v>5</v>
      </c>
      <c r="B9" s="10" t="s">
        <v>76</v>
      </c>
      <c r="C9" s="10" t="s">
        <v>77</v>
      </c>
      <c r="D9" s="10" t="s">
        <v>78</v>
      </c>
      <c r="E9" s="10" t="s">
        <v>79</v>
      </c>
      <c r="F9" s="10" t="s">
        <v>80</v>
      </c>
    </row>
    <row r="10" spans="1:6" ht="84.75" customHeight="1" x14ac:dyDescent="0.25">
      <c r="A10" s="11">
        <v>6</v>
      </c>
      <c r="B10" s="11" t="s">
        <v>81</v>
      </c>
      <c r="C10" s="11" t="s">
        <v>82</v>
      </c>
      <c r="D10" s="11" t="s">
        <v>83</v>
      </c>
      <c r="E10" s="11" t="s">
        <v>84</v>
      </c>
      <c r="F10" s="11" t="s">
        <v>85</v>
      </c>
    </row>
    <row r="11" spans="1:6" ht="84.75" customHeight="1" x14ac:dyDescent="0.25">
      <c r="A11" s="10">
        <v>7</v>
      </c>
      <c r="B11" s="10" t="s">
        <v>86</v>
      </c>
      <c r="C11" s="10" t="s">
        <v>87</v>
      </c>
      <c r="D11" s="10" t="s">
        <v>88</v>
      </c>
      <c r="E11" s="10" t="s">
        <v>89</v>
      </c>
      <c r="F11" s="10" t="s">
        <v>90</v>
      </c>
    </row>
    <row r="12" spans="1:6" ht="84.75" customHeight="1" x14ac:dyDescent="0.25">
      <c r="A12" s="11">
        <v>8</v>
      </c>
      <c r="B12" s="11" t="s">
        <v>91</v>
      </c>
      <c r="C12" s="11" t="s">
        <v>92</v>
      </c>
      <c r="D12" s="11" t="s">
        <v>93</v>
      </c>
      <c r="E12" s="11" t="s">
        <v>94</v>
      </c>
      <c r="F12" s="11" t="s">
        <v>95</v>
      </c>
    </row>
    <row r="13" spans="1:6" ht="84.75" customHeight="1" x14ac:dyDescent="0.25">
      <c r="A13" s="10">
        <v>9</v>
      </c>
      <c r="B13" s="10" t="s">
        <v>96</v>
      </c>
      <c r="C13" s="10" t="s">
        <v>97</v>
      </c>
      <c r="D13" s="10" t="s">
        <v>98</v>
      </c>
      <c r="E13" s="10" t="s">
        <v>99</v>
      </c>
      <c r="F13" s="10" t="s">
        <v>100</v>
      </c>
    </row>
    <row r="14" spans="1:6" ht="84.75" customHeight="1" x14ac:dyDescent="0.25">
      <c r="A14" s="11">
        <v>10</v>
      </c>
      <c r="B14" s="11" t="s">
        <v>101</v>
      </c>
      <c r="C14" s="11" t="s">
        <v>102</v>
      </c>
      <c r="D14" s="11" t="s">
        <v>103</v>
      </c>
      <c r="E14" s="11" t="s">
        <v>104</v>
      </c>
      <c r="F14" s="11" t="s">
        <v>105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2" width="40" customWidth="1"/>
    <col min="3" max="3" width="22" customWidth="1"/>
    <col min="4" max="4" width="28" customWidth="1"/>
    <col min="5" max="5" width="18" customWidth="1"/>
    <col min="6" max="6" width="12" customWidth="1"/>
    <col min="7" max="7" width="10" customWidth="1"/>
    <col min="8" max="8" width="16" customWidth="1"/>
    <col min="9" max="9" width="42" customWidth="1"/>
    <col min="10" max="10" width="10" customWidth="1"/>
    <col min="11" max="11" width="55" customWidth="1"/>
  </cols>
  <sheetData>
    <row r="1" spans="1:11" ht="24" customHeight="1" x14ac:dyDescent="0.25">
      <c r="A1" s="4" t="s">
        <v>106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3" t="s">
        <v>107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ht="30" x14ac:dyDescent="0.25">
      <c r="A4" s="9" t="s">
        <v>50</v>
      </c>
      <c r="B4" s="9" t="s">
        <v>108</v>
      </c>
      <c r="C4" s="9" t="s">
        <v>109</v>
      </c>
      <c r="D4" s="9" t="s">
        <v>51</v>
      </c>
      <c r="E4" s="9" t="s">
        <v>110</v>
      </c>
      <c r="F4" s="9" t="s">
        <v>111</v>
      </c>
      <c r="G4" s="9" t="s">
        <v>112</v>
      </c>
      <c r="H4" s="9" t="s">
        <v>113</v>
      </c>
      <c r="I4" s="9" t="s">
        <v>114</v>
      </c>
      <c r="J4" s="9" t="s">
        <v>115</v>
      </c>
      <c r="K4" s="9" t="s">
        <v>116</v>
      </c>
    </row>
    <row r="5" spans="1:11" ht="42" customHeight="1" x14ac:dyDescent="0.25">
      <c r="A5" s="12">
        <v>1</v>
      </c>
      <c r="B5" s="10" t="s">
        <v>117</v>
      </c>
      <c r="C5" s="10" t="s">
        <v>118</v>
      </c>
      <c r="D5" s="10" t="s">
        <v>56</v>
      </c>
      <c r="E5" s="10" t="s">
        <v>119</v>
      </c>
      <c r="F5" s="12" t="s">
        <v>120</v>
      </c>
      <c r="G5" s="12" t="s">
        <v>121</v>
      </c>
      <c r="H5" s="12" t="s">
        <v>122</v>
      </c>
      <c r="I5" s="10" t="s">
        <v>123</v>
      </c>
      <c r="J5" s="12">
        <f t="shared" ref="J5:J36" si="0">IFERROR(IF(G5="High",3,IF(G5="Medium",2,IF(G5="Low",1,0)))+IF(OR(F5="Daily",F5="Weekly"),3,IF(F5="Monthly",2,IF(OR(F5="Quarterly",F5="Annual",F5="Irregular"),1,0)))+IF(H5="RSS/Email/API",3,IF(OR(H5="Web/PDF",H5="Paid"),2,0)),0)</f>
        <v>9</v>
      </c>
      <c r="K5" s="10" t="s">
        <v>124</v>
      </c>
    </row>
    <row r="6" spans="1:11" ht="42" customHeight="1" x14ac:dyDescent="0.25">
      <c r="A6" s="13">
        <v>2</v>
      </c>
      <c r="B6" s="11" t="s">
        <v>125</v>
      </c>
      <c r="C6" s="11" t="s">
        <v>126</v>
      </c>
      <c r="D6" s="11" t="s">
        <v>56</v>
      </c>
      <c r="E6" s="11" t="s">
        <v>127</v>
      </c>
      <c r="F6" s="13" t="s">
        <v>128</v>
      </c>
      <c r="G6" s="13" t="s">
        <v>121</v>
      </c>
      <c r="H6" s="13" t="s">
        <v>129</v>
      </c>
      <c r="I6" s="11" t="s">
        <v>130</v>
      </c>
      <c r="J6" s="13">
        <f t="shared" si="0"/>
        <v>6</v>
      </c>
      <c r="K6" s="11" t="s">
        <v>131</v>
      </c>
    </row>
    <row r="7" spans="1:11" ht="42" customHeight="1" x14ac:dyDescent="0.25">
      <c r="A7" s="12">
        <v>3</v>
      </c>
      <c r="B7" s="10" t="s">
        <v>132</v>
      </c>
      <c r="C7" s="10" t="s">
        <v>126</v>
      </c>
      <c r="D7" s="10" t="s">
        <v>56</v>
      </c>
      <c r="E7" s="10" t="s">
        <v>127</v>
      </c>
      <c r="F7" s="12" t="s">
        <v>133</v>
      </c>
      <c r="G7" s="12" t="s">
        <v>121</v>
      </c>
      <c r="H7" s="12" t="s">
        <v>129</v>
      </c>
      <c r="I7" s="10" t="s">
        <v>134</v>
      </c>
      <c r="J7" s="12">
        <f t="shared" si="0"/>
        <v>6</v>
      </c>
      <c r="K7" s="10" t="s">
        <v>135</v>
      </c>
    </row>
    <row r="8" spans="1:11" ht="42" customHeight="1" x14ac:dyDescent="0.25">
      <c r="A8" s="13">
        <v>4</v>
      </c>
      <c r="B8" s="11" t="s">
        <v>136</v>
      </c>
      <c r="C8" s="11" t="s">
        <v>126</v>
      </c>
      <c r="D8" s="11" t="s">
        <v>56</v>
      </c>
      <c r="E8" s="11" t="s">
        <v>127</v>
      </c>
      <c r="F8" s="13" t="s">
        <v>128</v>
      </c>
      <c r="G8" s="13" t="s">
        <v>121</v>
      </c>
      <c r="H8" s="13" t="s">
        <v>129</v>
      </c>
      <c r="I8" s="11" t="s">
        <v>137</v>
      </c>
      <c r="J8" s="13">
        <f t="shared" si="0"/>
        <v>6</v>
      </c>
      <c r="K8" s="11" t="s">
        <v>138</v>
      </c>
    </row>
    <row r="9" spans="1:11" ht="42" customHeight="1" x14ac:dyDescent="0.25">
      <c r="A9" s="12">
        <v>5</v>
      </c>
      <c r="B9" s="10" t="s">
        <v>139</v>
      </c>
      <c r="C9" s="10" t="s">
        <v>140</v>
      </c>
      <c r="D9" s="10" t="s">
        <v>56</v>
      </c>
      <c r="E9" s="10" t="s">
        <v>141</v>
      </c>
      <c r="F9" s="12" t="s">
        <v>128</v>
      </c>
      <c r="G9" s="12" t="s">
        <v>121</v>
      </c>
      <c r="H9" s="12" t="s">
        <v>129</v>
      </c>
      <c r="I9" s="10" t="s">
        <v>142</v>
      </c>
      <c r="J9" s="12">
        <f t="shared" si="0"/>
        <v>6</v>
      </c>
      <c r="K9" s="10" t="s">
        <v>143</v>
      </c>
    </row>
    <row r="10" spans="1:11" ht="42" customHeight="1" x14ac:dyDescent="0.25">
      <c r="A10" s="13">
        <v>6</v>
      </c>
      <c r="B10" s="11" t="s">
        <v>144</v>
      </c>
      <c r="C10" s="11" t="s">
        <v>145</v>
      </c>
      <c r="D10" s="11" t="s">
        <v>56</v>
      </c>
      <c r="E10" s="11" t="s">
        <v>141</v>
      </c>
      <c r="F10" s="13" t="s">
        <v>133</v>
      </c>
      <c r="G10" s="13" t="s">
        <v>121</v>
      </c>
      <c r="H10" s="13" t="s">
        <v>129</v>
      </c>
      <c r="I10" s="11" t="s">
        <v>146</v>
      </c>
      <c r="J10" s="13">
        <f t="shared" si="0"/>
        <v>6</v>
      </c>
      <c r="K10" s="11" t="s">
        <v>147</v>
      </c>
    </row>
    <row r="11" spans="1:11" ht="42" customHeight="1" x14ac:dyDescent="0.25">
      <c r="A11" s="12">
        <v>7</v>
      </c>
      <c r="B11" s="10" t="s">
        <v>148</v>
      </c>
      <c r="C11" s="10" t="s">
        <v>149</v>
      </c>
      <c r="D11" s="10" t="s">
        <v>56</v>
      </c>
      <c r="E11" s="10" t="s">
        <v>150</v>
      </c>
      <c r="F11" s="12" t="s">
        <v>133</v>
      </c>
      <c r="G11" s="12" t="s">
        <v>121</v>
      </c>
      <c r="H11" s="12" t="s">
        <v>129</v>
      </c>
      <c r="I11" s="10" t="s">
        <v>151</v>
      </c>
      <c r="J11" s="12">
        <f t="shared" si="0"/>
        <v>6</v>
      </c>
      <c r="K11" s="10" t="s">
        <v>152</v>
      </c>
    </row>
    <row r="12" spans="1:11" ht="42" customHeight="1" x14ac:dyDescent="0.25">
      <c r="A12" s="13">
        <v>8</v>
      </c>
      <c r="B12" s="11" t="s">
        <v>153</v>
      </c>
      <c r="C12" s="11" t="s">
        <v>154</v>
      </c>
      <c r="D12" s="11" t="s">
        <v>56</v>
      </c>
      <c r="E12" s="11" t="s">
        <v>119</v>
      </c>
      <c r="F12" s="13" t="s">
        <v>133</v>
      </c>
      <c r="G12" s="13" t="s">
        <v>121</v>
      </c>
      <c r="H12" s="13" t="s">
        <v>129</v>
      </c>
      <c r="I12" s="11" t="s">
        <v>155</v>
      </c>
      <c r="J12" s="13">
        <f t="shared" si="0"/>
        <v>6</v>
      </c>
      <c r="K12" s="11" t="s">
        <v>156</v>
      </c>
    </row>
    <row r="13" spans="1:11" ht="42" customHeight="1" x14ac:dyDescent="0.25">
      <c r="A13" s="12">
        <v>9</v>
      </c>
      <c r="B13" s="10" t="s">
        <v>157</v>
      </c>
      <c r="C13" s="10" t="s">
        <v>154</v>
      </c>
      <c r="D13" s="10" t="s">
        <v>56</v>
      </c>
      <c r="E13" s="10" t="s">
        <v>119</v>
      </c>
      <c r="F13" s="12" t="s">
        <v>128</v>
      </c>
      <c r="G13" s="12" t="s">
        <v>121</v>
      </c>
      <c r="H13" s="12" t="s">
        <v>129</v>
      </c>
      <c r="I13" s="10" t="s">
        <v>158</v>
      </c>
      <c r="J13" s="12">
        <f t="shared" si="0"/>
        <v>6</v>
      </c>
      <c r="K13" s="10" t="s">
        <v>159</v>
      </c>
    </row>
    <row r="14" spans="1:11" ht="42" customHeight="1" x14ac:dyDescent="0.25">
      <c r="A14" s="13">
        <v>10</v>
      </c>
      <c r="B14" s="11" t="s">
        <v>160</v>
      </c>
      <c r="C14" s="11" t="s">
        <v>161</v>
      </c>
      <c r="D14" s="11" t="s">
        <v>56</v>
      </c>
      <c r="E14" s="11" t="s">
        <v>162</v>
      </c>
      <c r="F14" s="13" t="s">
        <v>133</v>
      </c>
      <c r="G14" s="13" t="s">
        <v>121</v>
      </c>
      <c r="H14" s="13" t="s">
        <v>129</v>
      </c>
      <c r="I14" s="11" t="s">
        <v>163</v>
      </c>
      <c r="J14" s="13">
        <f t="shared" si="0"/>
        <v>6</v>
      </c>
      <c r="K14" s="11" t="s">
        <v>164</v>
      </c>
    </row>
    <row r="15" spans="1:11" ht="42" customHeight="1" x14ac:dyDescent="0.25">
      <c r="A15" s="12">
        <v>11</v>
      </c>
      <c r="B15" s="10" t="s">
        <v>165</v>
      </c>
      <c r="C15" s="10" t="s">
        <v>166</v>
      </c>
      <c r="D15" s="10" t="s">
        <v>56</v>
      </c>
      <c r="E15" s="10" t="s">
        <v>127</v>
      </c>
      <c r="F15" s="12" t="s">
        <v>133</v>
      </c>
      <c r="G15" s="12" t="s">
        <v>121</v>
      </c>
      <c r="H15" s="12" t="s">
        <v>129</v>
      </c>
      <c r="I15" s="10" t="s">
        <v>167</v>
      </c>
      <c r="J15" s="12">
        <f t="shared" si="0"/>
        <v>6</v>
      </c>
      <c r="K15" s="10" t="s">
        <v>168</v>
      </c>
    </row>
    <row r="16" spans="1:11" ht="42" customHeight="1" x14ac:dyDescent="0.25">
      <c r="A16" s="13">
        <v>12</v>
      </c>
      <c r="B16" s="11" t="s">
        <v>169</v>
      </c>
      <c r="C16" s="11" t="s">
        <v>170</v>
      </c>
      <c r="D16" s="11" t="s">
        <v>56</v>
      </c>
      <c r="E16" s="11" t="s">
        <v>119</v>
      </c>
      <c r="F16" s="13" t="s">
        <v>133</v>
      </c>
      <c r="G16" s="13" t="s">
        <v>121</v>
      </c>
      <c r="H16" s="13" t="s">
        <v>129</v>
      </c>
      <c r="I16" s="11" t="s">
        <v>171</v>
      </c>
      <c r="J16" s="13">
        <f t="shared" si="0"/>
        <v>6</v>
      </c>
      <c r="K16" s="11" t="s">
        <v>172</v>
      </c>
    </row>
    <row r="17" spans="1:11" ht="42" customHeight="1" x14ac:dyDescent="0.25">
      <c r="A17" s="12">
        <v>13</v>
      </c>
      <c r="B17" s="10" t="s">
        <v>173</v>
      </c>
      <c r="C17" s="10" t="s">
        <v>174</v>
      </c>
      <c r="D17" s="10" t="s">
        <v>175</v>
      </c>
      <c r="E17" s="10" t="s">
        <v>141</v>
      </c>
      <c r="F17" s="12" t="s">
        <v>176</v>
      </c>
      <c r="G17" s="12" t="s">
        <v>121</v>
      </c>
      <c r="H17" s="12" t="s">
        <v>122</v>
      </c>
      <c r="I17" s="10" t="s">
        <v>177</v>
      </c>
      <c r="J17" s="12">
        <f t="shared" si="0"/>
        <v>9</v>
      </c>
      <c r="K17" s="10" t="s">
        <v>178</v>
      </c>
    </row>
    <row r="18" spans="1:11" ht="42" customHeight="1" x14ac:dyDescent="0.25">
      <c r="A18" s="13">
        <v>14</v>
      </c>
      <c r="B18" s="11" t="s">
        <v>179</v>
      </c>
      <c r="C18" s="11" t="s">
        <v>180</v>
      </c>
      <c r="D18" s="11" t="s">
        <v>175</v>
      </c>
      <c r="E18" s="11" t="s">
        <v>141</v>
      </c>
      <c r="F18" s="13" t="s">
        <v>176</v>
      </c>
      <c r="G18" s="13" t="s">
        <v>121</v>
      </c>
      <c r="H18" s="13" t="s">
        <v>122</v>
      </c>
      <c r="I18" s="11" t="s">
        <v>181</v>
      </c>
      <c r="J18" s="13">
        <f t="shared" si="0"/>
        <v>9</v>
      </c>
      <c r="K18" s="11" t="s">
        <v>182</v>
      </c>
    </row>
    <row r="19" spans="1:11" ht="42" customHeight="1" x14ac:dyDescent="0.25">
      <c r="A19" s="12">
        <v>15</v>
      </c>
      <c r="B19" s="10" t="s">
        <v>183</v>
      </c>
      <c r="C19" s="10" t="s">
        <v>184</v>
      </c>
      <c r="D19" s="10" t="s">
        <v>175</v>
      </c>
      <c r="E19" s="10" t="s">
        <v>127</v>
      </c>
      <c r="F19" s="12" t="s">
        <v>185</v>
      </c>
      <c r="G19" s="12" t="s">
        <v>121</v>
      </c>
      <c r="H19" s="12" t="s">
        <v>122</v>
      </c>
      <c r="I19" s="10" t="s">
        <v>186</v>
      </c>
      <c r="J19" s="12">
        <f t="shared" si="0"/>
        <v>8</v>
      </c>
      <c r="K19" s="10" t="s">
        <v>187</v>
      </c>
    </row>
    <row r="20" spans="1:11" ht="42" customHeight="1" x14ac:dyDescent="0.25">
      <c r="A20" s="13">
        <v>16</v>
      </c>
      <c r="B20" s="11" t="s">
        <v>188</v>
      </c>
      <c r="C20" s="11" t="s">
        <v>189</v>
      </c>
      <c r="D20" s="11" t="s">
        <v>175</v>
      </c>
      <c r="E20" s="11" t="s">
        <v>127</v>
      </c>
      <c r="F20" s="13" t="s">
        <v>176</v>
      </c>
      <c r="G20" s="13" t="s">
        <v>190</v>
      </c>
      <c r="H20" s="13" t="s">
        <v>122</v>
      </c>
      <c r="I20" s="11" t="s">
        <v>191</v>
      </c>
      <c r="J20" s="13">
        <f t="shared" si="0"/>
        <v>8</v>
      </c>
      <c r="K20" s="11" t="s">
        <v>192</v>
      </c>
    </row>
    <row r="21" spans="1:11" ht="42" customHeight="1" x14ac:dyDescent="0.25">
      <c r="A21" s="12">
        <v>17</v>
      </c>
      <c r="B21" s="10" t="s">
        <v>193</v>
      </c>
      <c r="C21" s="10" t="s">
        <v>194</v>
      </c>
      <c r="D21" s="10" t="s">
        <v>175</v>
      </c>
      <c r="E21" s="10" t="s">
        <v>162</v>
      </c>
      <c r="F21" s="12" t="s">
        <v>176</v>
      </c>
      <c r="G21" s="12" t="s">
        <v>121</v>
      </c>
      <c r="H21" s="12" t="s">
        <v>122</v>
      </c>
      <c r="I21" s="10" t="s">
        <v>195</v>
      </c>
      <c r="J21" s="12">
        <f t="shared" si="0"/>
        <v>9</v>
      </c>
      <c r="K21" s="10" t="s">
        <v>196</v>
      </c>
    </row>
    <row r="22" spans="1:11" ht="42" customHeight="1" x14ac:dyDescent="0.25">
      <c r="A22" s="13">
        <v>18</v>
      </c>
      <c r="B22" s="11" t="s">
        <v>197</v>
      </c>
      <c r="C22" s="11" t="s">
        <v>198</v>
      </c>
      <c r="D22" s="11" t="s">
        <v>175</v>
      </c>
      <c r="E22" s="11" t="s">
        <v>199</v>
      </c>
      <c r="F22" s="13" t="s">
        <v>185</v>
      </c>
      <c r="G22" s="13" t="s">
        <v>121</v>
      </c>
      <c r="H22" s="13" t="s">
        <v>122</v>
      </c>
      <c r="I22" s="11" t="s">
        <v>200</v>
      </c>
      <c r="J22" s="13">
        <f t="shared" si="0"/>
        <v>8</v>
      </c>
      <c r="K22" s="11" t="s">
        <v>201</v>
      </c>
    </row>
    <row r="23" spans="1:11" ht="42" customHeight="1" x14ac:dyDescent="0.25">
      <c r="A23" s="12">
        <v>19</v>
      </c>
      <c r="B23" s="10" t="s">
        <v>202</v>
      </c>
      <c r="C23" s="10" t="s">
        <v>203</v>
      </c>
      <c r="D23" s="10" t="s">
        <v>175</v>
      </c>
      <c r="E23" s="10" t="s">
        <v>150</v>
      </c>
      <c r="F23" s="12" t="s">
        <v>176</v>
      </c>
      <c r="G23" s="12" t="s">
        <v>121</v>
      </c>
      <c r="H23" s="12" t="s">
        <v>122</v>
      </c>
      <c r="I23" s="10" t="s">
        <v>204</v>
      </c>
      <c r="J23" s="12">
        <f t="shared" si="0"/>
        <v>9</v>
      </c>
      <c r="K23" s="10" t="s">
        <v>205</v>
      </c>
    </row>
    <row r="24" spans="1:11" ht="42" customHeight="1" x14ac:dyDescent="0.25">
      <c r="A24" s="13">
        <v>20</v>
      </c>
      <c r="B24" s="11" t="s">
        <v>206</v>
      </c>
      <c r="C24" s="11" t="s">
        <v>207</v>
      </c>
      <c r="D24" s="11" t="s">
        <v>175</v>
      </c>
      <c r="E24" s="11" t="s">
        <v>141</v>
      </c>
      <c r="F24" s="13" t="s">
        <v>176</v>
      </c>
      <c r="G24" s="13" t="s">
        <v>190</v>
      </c>
      <c r="H24" s="13" t="s">
        <v>122</v>
      </c>
      <c r="I24" s="11" t="s">
        <v>208</v>
      </c>
      <c r="J24" s="13">
        <f t="shared" si="0"/>
        <v>8</v>
      </c>
      <c r="K24" s="11" t="s">
        <v>209</v>
      </c>
    </row>
    <row r="25" spans="1:11" ht="42" customHeight="1" x14ac:dyDescent="0.25">
      <c r="A25" s="12">
        <v>21</v>
      </c>
      <c r="B25" s="10" t="s">
        <v>210</v>
      </c>
      <c r="C25" s="10" t="s">
        <v>211</v>
      </c>
      <c r="D25" s="10" t="s">
        <v>175</v>
      </c>
      <c r="E25" s="10" t="s">
        <v>141</v>
      </c>
      <c r="F25" s="12" t="s">
        <v>185</v>
      </c>
      <c r="G25" s="12" t="s">
        <v>190</v>
      </c>
      <c r="H25" s="12" t="s">
        <v>122</v>
      </c>
      <c r="I25" s="10" t="s">
        <v>212</v>
      </c>
      <c r="J25" s="12">
        <f t="shared" si="0"/>
        <v>7</v>
      </c>
      <c r="K25" s="10" t="s">
        <v>213</v>
      </c>
    </row>
    <row r="26" spans="1:11" ht="42" customHeight="1" x14ac:dyDescent="0.25">
      <c r="A26" s="13">
        <v>22</v>
      </c>
      <c r="B26" s="11" t="s">
        <v>214</v>
      </c>
      <c r="C26" s="11" t="s">
        <v>215</v>
      </c>
      <c r="D26" s="11" t="s">
        <v>175</v>
      </c>
      <c r="E26" s="11" t="s">
        <v>141</v>
      </c>
      <c r="F26" s="13" t="s">
        <v>185</v>
      </c>
      <c r="G26" s="13" t="s">
        <v>190</v>
      </c>
      <c r="H26" s="13" t="s">
        <v>122</v>
      </c>
      <c r="I26" s="11" t="s">
        <v>216</v>
      </c>
      <c r="J26" s="13">
        <f t="shared" si="0"/>
        <v>7</v>
      </c>
      <c r="K26" s="11" t="s">
        <v>217</v>
      </c>
    </row>
    <row r="27" spans="1:11" ht="42" customHeight="1" x14ac:dyDescent="0.25">
      <c r="A27" s="12">
        <v>23</v>
      </c>
      <c r="B27" s="10" t="s">
        <v>218</v>
      </c>
      <c r="C27" s="10" t="s">
        <v>219</v>
      </c>
      <c r="D27" s="10" t="s">
        <v>175</v>
      </c>
      <c r="E27" s="10" t="s">
        <v>220</v>
      </c>
      <c r="F27" s="12" t="s">
        <v>185</v>
      </c>
      <c r="G27" s="12" t="s">
        <v>190</v>
      </c>
      <c r="H27" s="12" t="s">
        <v>122</v>
      </c>
      <c r="I27" s="10" t="s">
        <v>221</v>
      </c>
      <c r="J27" s="12">
        <f t="shared" si="0"/>
        <v>7</v>
      </c>
      <c r="K27" s="10" t="s">
        <v>222</v>
      </c>
    </row>
    <row r="28" spans="1:11" ht="42" customHeight="1" x14ac:dyDescent="0.25">
      <c r="A28" s="13">
        <v>24</v>
      </c>
      <c r="B28" s="11" t="s">
        <v>223</v>
      </c>
      <c r="C28" s="11" t="s">
        <v>224</v>
      </c>
      <c r="D28" s="11" t="s">
        <v>175</v>
      </c>
      <c r="E28" s="11" t="s">
        <v>220</v>
      </c>
      <c r="F28" s="13" t="s">
        <v>185</v>
      </c>
      <c r="G28" s="13" t="s">
        <v>190</v>
      </c>
      <c r="H28" s="13" t="s">
        <v>122</v>
      </c>
      <c r="I28" s="11" t="s">
        <v>225</v>
      </c>
      <c r="J28" s="13">
        <f t="shared" si="0"/>
        <v>7</v>
      </c>
      <c r="K28" s="11" t="s">
        <v>226</v>
      </c>
    </row>
    <row r="29" spans="1:11" ht="42" customHeight="1" x14ac:dyDescent="0.25">
      <c r="A29" s="12">
        <v>25</v>
      </c>
      <c r="B29" s="10" t="s">
        <v>227</v>
      </c>
      <c r="C29" s="10" t="s">
        <v>228</v>
      </c>
      <c r="D29" s="10" t="s">
        <v>175</v>
      </c>
      <c r="E29" s="10" t="s">
        <v>141</v>
      </c>
      <c r="F29" s="12" t="s">
        <v>185</v>
      </c>
      <c r="G29" s="12" t="s">
        <v>229</v>
      </c>
      <c r="H29" s="12" t="s">
        <v>122</v>
      </c>
      <c r="I29" s="10" t="s">
        <v>230</v>
      </c>
      <c r="J29" s="12">
        <f t="shared" si="0"/>
        <v>6</v>
      </c>
      <c r="K29" s="10" t="s">
        <v>231</v>
      </c>
    </row>
    <row r="30" spans="1:11" ht="42" customHeight="1" x14ac:dyDescent="0.25">
      <c r="A30" s="13">
        <v>26</v>
      </c>
      <c r="B30" s="11" t="s">
        <v>232</v>
      </c>
      <c r="C30" s="11" t="s">
        <v>233</v>
      </c>
      <c r="D30" s="11" t="s">
        <v>175</v>
      </c>
      <c r="E30" s="11" t="s">
        <v>119</v>
      </c>
      <c r="F30" s="13" t="s">
        <v>176</v>
      </c>
      <c r="G30" s="13" t="s">
        <v>121</v>
      </c>
      <c r="H30" s="13" t="s">
        <v>122</v>
      </c>
      <c r="I30" s="11" t="s">
        <v>234</v>
      </c>
      <c r="J30" s="13">
        <f t="shared" si="0"/>
        <v>9</v>
      </c>
      <c r="K30" s="11" t="s">
        <v>235</v>
      </c>
    </row>
    <row r="31" spans="1:11" ht="42" customHeight="1" x14ac:dyDescent="0.25">
      <c r="A31" s="12">
        <v>27</v>
      </c>
      <c r="B31" s="10" t="s">
        <v>236</v>
      </c>
      <c r="C31" s="10" t="s">
        <v>237</v>
      </c>
      <c r="D31" s="10" t="s">
        <v>175</v>
      </c>
      <c r="E31" s="10" t="s">
        <v>127</v>
      </c>
      <c r="F31" s="12" t="s">
        <v>185</v>
      </c>
      <c r="G31" s="12" t="s">
        <v>190</v>
      </c>
      <c r="H31" s="12" t="s">
        <v>122</v>
      </c>
      <c r="I31" s="10" t="s">
        <v>238</v>
      </c>
      <c r="J31" s="12">
        <f t="shared" si="0"/>
        <v>7</v>
      </c>
      <c r="K31" s="10" t="s">
        <v>239</v>
      </c>
    </row>
    <row r="32" spans="1:11" ht="42" customHeight="1" x14ac:dyDescent="0.25">
      <c r="A32" s="13">
        <v>28</v>
      </c>
      <c r="B32" s="11" t="s">
        <v>240</v>
      </c>
      <c r="C32" s="11" t="s">
        <v>241</v>
      </c>
      <c r="D32" s="11" t="s">
        <v>175</v>
      </c>
      <c r="E32" s="11" t="s">
        <v>162</v>
      </c>
      <c r="F32" s="13" t="s">
        <v>176</v>
      </c>
      <c r="G32" s="13" t="s">
        <v>121</v>
      </c>
      <c r="H32" s="13" t="s">
        <v>122</v>
      </c>
      <c r="I32" s="11" t="s">
        <v>242</v>
      </c>
      <c r="J32" s="13">
        <f t="shared" si="0"/>
        <v>9</v>
      </c>
      <c r="K32" s="11" t="s">
        <v>243</v>
      </c>
    </row>
    <row r="33" spans="1:11" ht="42" customHeight="1" x14ac:dyDescent="0.25">
      <c r="A33" s="12">
        <v>29</v>
      </c>
      <c r="B33" s="10" t="s">
        <v>244</v>
      </c>
      <c r="C33" s="10" t="s">
        <v>166</v>
      </c>
      <c r="D33" s="10" t="s">
        <v>175</v>
      </c>
      <c r="E33" s="10" t="s">
        <v>141</v>
      </c>
      <c r="F33" s="12" t="s">
        <v>176</v>
      </c>
      <c r="G33" s="12" t="s">
        <v>190</v>
      </c>
      <c r="H33" s="12" t="s">
        <v>122</v>
      </c>
      <c r="I33" s="10" t="s">
        <v>245</v>
      </c>
      <c r="J33" s="12">
        <f t="shared" si="0"/>
        <v>8</v>
      </c>
      <c r="K33" s="10" t="s">
        <v>246</v>
      </c>
    </row>
    <row r="34" spans="1:11" ht="42" customHeight="1" x14ac:dyDescent="0.25">
      <c r="A34" s="13">
        <v>30</v>
      </c>
      <c r="B34" s="11" t="s">
        <v>247</v>
      </c>
      <c r="C34" s="11" t="s">
        <v>166</v>
      </c>
      <c r="D34" s="11" t="s">
        <v>66</v>
      </c>
      <c r="E34" s="11" t="s">
        <v>119</v>
      </c>
      <c r="F34" s="13" t="s">
        <v>120</v>
      </c>
      <c r="G34" s="13" t="s">
        <v>121</v>
      </c>
      <c r="H34" s="13" t="s">
        <v>122</v>
      </c>
      <c r="I34" s="11" t="s">
        <v>248</v>
      </c>
      <c r="J34" s="13">
        <f t="shared" si="0"/>
        <v>9</v>
      </c>
      <c r="K34" s="11" t="s">
        <v>249</v>
      </c>
    </row>
    <row r="35" spans="1:11" ht="42" customHeight="1" x14ac:dyDescent="0.25">
      <c r="A35" s="12">
        <v>31</v>
      </c>
      <c r="B35" s="10" t="s">
        <v>250</v>
      </c>
      <c r="C35" s="10" t="s">
        <v>166</v>
      </c>
      <c r="D35" s="10" t="s">
        <v>66</v>
      </c>
      <c r="E35" s="10" t="s">
        <v>119</v>
      </c>
      <c r="F35" s="12" t="s">
        <v>120</v>
      </c>
      <c r="G35" s="12" t="s">
        <v>121</v>
      </c>
      <c r="H35" s="12" t="s">
        <v>122</v>
      </c>
      <c r="I35" s="10" t="s">
        <v>251</v>
      </c>
      <c r="J35" s="12">
        <f t="shared" si="0"/>
        <v>9</v>
      </c>
      <c r="K35" s="10" t="s">
        <v>252</v>
      </c>
    </row>
    <row r="36" spans="1:11" ht="42" customHeight="1" x14ac:dyDescent="0.25">
      <c r="A36" s="13">
        <v>32</v>
      </c>
      <c r="B36" s="11" t="s">
        <v>253</v>
      </c>
      <c r="C36" s="11" t="s">
        <v>254</v>
      </c>
      <c r="D36" s="11" t="s">
        <v>66</v>
      </c>
      <c r="E36" s="11" t="s">
        <v>119</v>
      </c>
      <c r="F36" s="13" t="s">
        <v>185</v>
      </c>
      <c r="G36" s="13" t="s">
        <v>121</v>
      </c>
      <c r="H36" s="13" t="s">
        <v>129</v>
      </c>
      <c r="I36" s="11" t="s">
        <v>255</v>
      </c>
      <c r="J36" s="13">
        <f t="shared" si="0"/>
        <v>7</v>
      </c>
      <c r="K36" s="11" t="s">
        <v>256</v>
      </c>
    </row>
    <row r="37" spans="1:11" ht="42" customHeight="1" x14ac:dyDescent="0.25">
      <c r="A37" s="12">
        <v>33</v>
      </c>
      <c r="B37" s="10" t="s">
        <v>257</v>
      </c>
      <c r="C37" s="10" t="s">
        <v>258</v>
      </c>
      <c r="D37" s="10" t="s">
        <v>66</v>
      </c>
      <c r="E37" s="10" t="s">
        <v>259</v>
      </c>
      <c r="F37" s="12" t="s">
        <v>120</v>
      </c>
      <c r="G37" s="12" t="s">
        <v>121</v>
      </c>
      <c r="H37" s="12" t="s">
        <v>122</v>
      </c>
      <c r="I37" s="10" t="s">
        <v>260</v>
      </c>
      <c r="J37" s="12">
        <f t="shared" ref="J37:J68" si="1">IFERROR(IF(G37="High",3,IF(G37="Medium",2,IF(G37="Low",1,0)))+IF(OR(F37="Daily",F37="Weekly"),3,IF(F37="Monthly",2,IF(OR(F37="Quarterly",F37="Annual",F37="Irregular"),1,0)))+IF(H37="RSS/Email/API",3,IF(OR(H37="Web/PDF",H37="Paid"),2,0)),0)</f>
        <v>9</v>
      </c>
      <c r="K37" s="10" t="s">
        <v>261</v>
      </c>
    </row>
    <row r="38" spans="1:11" ht="42" customHeight="1" x14ac:dyDescent="0.25">
      <c r="A38" s="13">
        <v>34</v>
      </c>
      <c r="B38" s="11" t="s">
        <v>262</v>
      </c>
      <c r="C38" s="11" t="s">
        <v>263</v>
      </c>
      <c r="D38" s="11" t="s">
        <v>66</v>
      </c>
      <c r="E38" s="11" t="s">
        <v>259</v>
      </c>
      <c r="F38" s="13" t="s">
        <v>120</v>
      </c>
      <c r="G38" s="13" t="s">
        <v>121</v>
      </c>
      <c r="H38" s="13" t="s">
        <v>122</v>
      </c>
      <c r="I38" s="11" t="s">
        <v>264</v>
      </c>
      <c r="J38" s="13">
        <f t="shared" si="1"/>
        <v>9</v>
      </c>
      <c r="K38" s="11" t="s">
        <v>265</v>
      </c>
    </row>
    <row r="39" spans="1:11" ht="42" customHeight="1" x14ac:dyDescent="0.25">
      <c r="A39" s="12">
        <v>35</v>
      </c>
      <c r="B39" s="10" t="s">
        <v>266</v>
      </c>
      <c r="C39" s="10" t="s">
        <v>267</v>
      </c>
      <c r="D39" s="10" t="s">
        <v>66</v>
      </c>
      <c r="E39" s="10" t="s">
        <v>259</v>
      </c>
      <c r="F39" s="12" t="s">
        <v>120</v>
      </c>
      <c r="G39" s="12" t="s">
        <v>121</v>
      </c>
      <c r="H39" s="12" t="s">
        <v>122</v>
      </c>
      <c r="I39" s="10" t="s">
        <v>268</v>
      </c>
      <c r="J39" s="12">
        <f t="shared" si="1"/>
        <v>9</v>
      </c>
      <c r="K39" s="10" t="s">
        <v>269</v>
      </c>
    </row>
    <row r="40" spans="1:11" ht="42" customHeight="1" x14ac:dyDescent="0.25">
      <c r="A40" s="13">
        <v>36</v>
      </c>
      <c r="B40" s="11" t="s">
        <v>270</v>
      </c>
      <c r="C40" s="11" t="s">
        <v>271</v>
      </c>
      <c r="D40" s="11" t="s">
        <v>66</v>
      </c>
      <c r="E40" s="11" t="s">
        <v>150</v>
      </c>
      <c r="F40" s="13" t="s">
        <v>272</v>
      </c>
      <c r="G40" s="13" t="s">
        <v>121</v>
      </c>
      <c r="H40" s="13" t="s">
        <v>129</v>
      </c>
      <c r="I40" s="11" t="s">
        <v>273</v>
      </c>
      <c r="J40" s="13">
        <f t="shared" si="1"/>
        <v>6</v>
      </c>
      <c r="K40" s="11" t="s">
        <v>274</v>
      </c>
    </row>
    <row r="41" spans="1:11" ht="42" customHeight="1" x14ac:dyDescent="0.25">
      <c r="A41" s="12">
        <v>37</v>
      </c>
      <c r="B41" s="10" t="s">
        <v>275</v>
      </c>
      <c r="C41" s="10" t="s">
        <v>276</v>
      </c>
      <c r="D41" s="10" t="s">
        <v>66</v>
      </c>
      <c r="E41" s="10" t="s">
        <v>127</v>
      </c>
      <c r="F41" s="12" t="s">
        <v>185</v>
      </c>
      <c r="G41" s="12" t="s">
        <v>121</v>
      </c>
      <c r="H41" s="12" t="s">
        <v>129</v>
      </c>
      <c r="I41" s="10" t="s">
        <v>277</v>
      </c>
      <c r="J41" s="12">
        <f t="shared" si="1"/>
        <v>7</v>
      </c>
      <c r="K41" s="10" t="s">
        <v>278</v>
      </c>
    </row>
    <row r="42" spans="1:11" ht="42" customHeight="1" x14ac:dyDescent="0.25">
      <c r="A42" s="13">
        <v>38</v>
      </c>
      <c r="B42" s="11" t="s">
        <v>279</v>
      </c>
      <c r="C42" s="11" t="s">
        <v>280</v>
      </c>
      <c r="D42" s="11" t="s">
        <v>66</v>
      </c>
      <c r="E42" s="11" t="s">
        <v>127</v>
      </c>
      <c r="F42" s="13" t="s">
        <v>185</v>
      </c>
      <c r="G42" s="13" t="s">
        <v>121</v>
      </c>
      <c r="H42" s="13" t="s">
        <v>129</v>
      </c>
      <c r="I42" s="11" t="s">
        <v>281</v>
      </c>
      <c r="J42" s="13">
        <f t="shared" si="1"/>
        <v>7</v>
      </c>
      <c r="K42" s="11" t="s">
        <v>282</v>
      </c>
    </row>
    <row r="43" spans="1:11" ht="42" customHeight="1" x14ac:dyDescent="0.25">
      <c r="A43" s="12">
        <v>39</v>
      </c>
      <c r="B43" s="10" t="s">
        <v>283</v>
      </c>
      <c r="C43" s="10" t="s">
        <v>284</v>
      </c>
      <c r="D43" s="10" t="s">
        <v>66</v>
      </c>
      <c r="E43" s="10" t="s">
        <v>127</v>
      </c>
      <c r="F43" s="12" t="s">
        <v>185</v>
      </c>
      <c r="G43" s="12" t="s">
        <v>121</v>
      </c>
      <c r="H43" s="12" t="s">
        <v>129</v>
      </c>
      <c r="I43" s="10" t="s">
        <v>285</v>
      </c>
      <c r="J43" s="12">
        <f t="shared" si="1"/>
        <v>7</v>
      </c>
      <c r="K43" s="10" t="s">
        <v>286</v>
      </c>
    </row>
    <row r="44" spans="1:11" ht="42" customHeight="1" x14ac:dyDescent="0.25">
      <c r="A44" s="13">
        <v>40</v>
      </c>
      <c r="B44" s="11" t="s">
        <v>287</v>
      </c>
      <c r="C44" s="11" t="s">
        <v>288</v>
      </c>
      <c r="D44" s="11" t="s">
        <v>66</v>
      </c>
      <c r="E44" s="11" t="s">
        <v>119</v>
      </c>
      <c r="F44" s="13" t="s">
        <v>120</v>
      </c>
      <c r="G44" s="13" t="s">
        <v>121</v>
      </c>
      <c r="H44" s="13" t="s">
        <v>289</v>
      </c>
      <c r="I44" s="11" t="s">
        <v>290</v>
      </c>
      <c r="J44" s="13">
        <f t="shared" si="1"/>
        <v>8</v>
      </c>
      <c r="K44" s="11" t="s">
        <v>291</v>
      </c>
    </row>
    <row r="45" spans="1:11" ht="42" customHeight="1" x14ac:dyDescent="0.25">
      <c r="A45" s="12">
        <v>41</v>
      </c>
      <c r="B45" s="10" t="s">
        <v>292</v>
      </c>
      <c r="C45" s="10" t="s">
        <v>293</v>
      </c>
      <c r="D45" s="10" t="s">
        <v>66</v>
      </c>
      <c r="E45" s="10" t="s">
        <v>119</v>
      </c>
      <c r="F45" s="12" t="s">
        <v>120</v>
      </c>
      <c r="G45" s="12" t="s">
        <v>121</v>
      </c>
      <c r="H45" s="12" t="s">
        <v>289</v>
      </c>
      <c r="I45" s="10" t="s">
        <v>294</v>
      </c>
      <c r="J45" s="12">
        <f t="shared" si="1"/>
        <v>8</v>
      </c>
      <c r="K45" s="10" t="s">
        <v>295</v>
      </c>
    </row>
    <row r="46" spans="1:11" ht="42" customHeight="1" x14ac:dyDescent="0.25">
      <c r="A46" s="13">
        <v>42</v>
      </c>
      <c r="B46" s="11" t="s">
        <v>296</v>
      </c>
      <c r="C46" s="11" t="s">
        <v>297</v>
      </c>
      <c r="D46" s="11" t="s">
        <v>66</v>
      </c>
      <c r="E46" s="11" t="s">
        <v>119</v>
      </c>
      <c r="F46" s="13" t="s">
        <v>120</v>
      </c>
      <c r="G46" s="13" t="s">
        <v>190</v>
      </c>
      <c r="H46" s="13" t="s">
        <v>289</v>
      </c>
      <c r="I46" s="11" t="s">
        <v>298</v>
      </c>
      <c r="J46" s="13">
        <f t="shared" si="1"/>
        <v>7</v>
      </c>
      <c r="K46" s="11" t="s">
        <v>299</v>
      </c>
    </row>
    <row r="47" spans="1:11" ht="42" customHeight="1" x14ac:dyDescent="0.25">
      <c r="A47" s="12">
        <v>43</v>
      </c>
      <c r="B47" s="10" t="s">
        <v>300</v>
      </c>
      <c r="C47" s="10" t="s">
        <v>301</v>
      </c>
      <c r="D47" s="10" t="s">
        <v>66</v>
      </c>
      <c r="E47" s="10" t="s">
        <v>119</v>
      </c>
      <c r="F47" s="12" t="s">
        <v>120</v>
      </c>
      <c r="G47" s="12" t="s">
        <v>190</v>
      </c>
      <c r="H47" s="12" t="s">
        <v>289</v>
      </c>
      <c r="I47" s="10" t="s">
        <v>302</v>
      </c>
      <c r="J47" s="12">
        <f t="shared" si="1"/>
        <v>7</v>
      </c>
      <c r="K47" s="10" t="s">
        <v>303</v>
      </c>
    </row>
    <row r="48" spans="1:11" ht="42" customHeight="1" x14ac:dyDescent="0.25">
      <c r="A48" s="13">
        <v>44</v>
      </c>
      <c r="B48" s="11" t="s">
        <v>304</v>
      </c>
      <c r="C48" s="11" t="s">
        <v>305</v>
      </c>
      <c r="D48" s="11" t="s">
        <v>71</v>
      </c>
      <c r="E48" s="11" t="s">
        <v>119</v>
      </c>
      <c r="F48" s="13" t="s">
        <v>176</v>
      </c>
      <c r="G48" s="13" t="s">
        <v>121</v>
      </c>
      <c r="H48" s="13" t="s">
        <v>122</v>
      </c>
      <c r="I48" s="11" t="s">
        <v>306</v>
      </c>
      <c r="J48" s="13">
        <f t="shared" si="1"/>
        <v>9</v>
      </c>
      <c r="K48" s="11" t="s">
        <v>307</v>
      </c>
    </row>
    <row r="49" spans="1:11" ht="42" customHeight="1" x14ac:dyDescent="0.25">
      <c r="A49" s="12">
        <v>45</v>
      </c>
      <c r="B49" s="10" t="s">
        <v>308</v>
      </c>
      <c r="C49" s="10" t="s">
        <v>309</v>
      </c>
      <c r="D49" s="10" t="s">
        <v>71</v>
      </c>
      <c r="E49" s="10" t="s">
        <v>119</v>
      </c>
      <c r="F49" s="12" t="s">
        <v>176</v>
      </c>
      <c r="G49" s="12" t="s">
        <v>121</v>
      </c>
      <c r="H49" s="12" t="s">
        <v>122</v>
      </c>
      <c r="I49" s="10" t="s">
        <v>310</v>
      </c>
      <c r="J49" s="12">
        <f t="shared" si="1"/>
        <v>9</v>
      </c>
      <c r="K49" s="10" t="s">
        <v>311</v>
      </c>
    </row>
    <row r="50" spans="1:11" ht="42" customHeight="1" x14ac:dyDescent="0.25">
      <c r="A50" s="13">
        <v>46</v>
      </c>
      <c r="B50" s="11" t="s">
        <v>312</v>
      </c>
      <c r="C50" s="11" t="s">
        <v>309</v>
      </c>
      <c r="D50" s="11" t="s">
        <v>71</v>
      </c>
      <c r="E50" s="11" t="s">
        <v>127</v>
      </c>
      <c r="F50" s="13" t="s">
        <v>176</v>
      </c>
      <c r="G50" s="13" t="s">
        <v>121</v>
      </c>
      <c r="H50" s="13" t="s">
        <v>122</v>
      </c>
      <c r="I50" s="11" t="s">
        <v>313</v>
      </c>
      <c r="J50" s="13">
        <f t="shared" si="1"/>
        <v>9</v>
      </c>
      <c r="K50" s="11" t="s">
        <v>314</v>
      </c>
    </row>
    <row r="51" spans="1:11" ht="42" customHeight="1" x14ac:dyDescent="0.25">
      <c r="A51" s="12">
        <v>47</v>
      </c>
      <c r="B51" s="10" t="s">
        <v>315</v>
      </c>
      <c r="C51" s="10" t="s">
        <v>309</v>
      </c>
      <c r="D51" s="10" t="s">
        <v>71</v>
      </c>
      <c r="E51" s="10" t="s">
        <v>162</v>
      </c>
      <c r="F51" s="12" t="s">
        <v>176</v>
      </c>
      <c r="G51" s="12" t="s">
        <v>121</v>
      </c>
      <c r="H51" s="12" t="s">
        <v>122</v>
      </c>
      <c r="I51" s="10" t="s">
        <v>316</v>
      </c>
      <c r="J51" s="12">
        <f t="shared" si="1"/>
        <v>9</v>
      </c>
      <c r="K51" s="10" t="s">
        <v>317</v>
      </c>
    </row>
    <row r="52" spans="1:11" ht="42" customHeight="1" x14ac:dyDescent="0.25">
      <c r="A52" s="13">
        <v>48</v>
      </c>
      <c r="B52" s="11" t="s">
        <v>318</v>
      </c>
      <c r="C52" s="11" t="s">
        <v>309</v>
      </c>
      <c r="D52" s="11" t="s">
        <v>71</v>
      </c>
      <c r="E52" s="11" t="s">
        <v>150</v>
      </c>
      <c r="F52" s="13" t="s">
        <v>176</v>
      </c>
      <c r="G52" s="13" t="s">
        <v>121</v>
      </c>
      <c r="H52" s="13" t="s">
        <v>122</v>
      </c>
      <c r="I52" s="11" t="s">
        <v>319</v>
      </c>
      <c r="J52" s="13">
        <f t="shared" si="1"/>
        <v>9</v>
      </c>
      <c r="K52" s="11" t="s">
        <v>320</v>
      </c>
    </row>
    <row r="53" spans="1:11" ht="42" customHeight="1" x14ac:dyDescent="0.25">
      <c r="A53" s="12">
        <v>49</v>
      </c>
      <c r="B53" s="10" t="s">
        <v>321</v>
      </c>
      <c r="C53" s="10" t="s">
        <v>309</v>
      </c>
      <c r="D53" s="10" t="s">
        <v>71</v>
      </c>
      <c r="E53" s="10" t="s">
        <v>199</v>
      </c>
      <c r="F53" s="12" t="s">
        <v>176</v>
      </c>
      <c r="G53" s="12" t="s">
        <v>121</v>
      </c>
      <c r="H53" s="12" t="s">
        <v>122</v>
      </c>
      <c r="I53" s="10" t="s">
        <v>322</v>
      </c>
      <c r="J53" s="12">
        <f t="shared" si="1"/>
        <v>9</v>
      </c>
      <c r="K53" s="10" t="s">
        <v>323</v>
      </c>
    </row>
    <row r="54" spans="1:11" ht="42" customHeight="1" x14ac:dyDescent="0.25">
      <c r="A54" s="13">
        <v>50</v>
      </c>
      <c r="B54" s="11" t="s">
        <v>324</v>
      </c>
      <c r="C54" s="11" t="s">
        <v>309</v>
      </c>
      <c r="D54" s="11" t="s">
        <v>71</v>
      </c>
      <c r="E54" s="11" t="s">
        <v>220</v>
      </c>
      <c r="F54" s="13" t="s">
        <v>176</v>
      </c>
      <c r="G54" s="13" t="s">
        <v>121</v>
      </c>
      <c r="H54" s="13" t="s">
        <v>122</v>
      </c>
      <c r="I54" s="11" t="s">
        <v>325</v>
      </c>
      <c r="J54" s="13">
        <f t="shared" si="1"/>
        <v>9</v>
      </c>
      <c r="K54" s="11" t="s">
        <v>326</v>
      </c>
    </row>
    <row r="55" spans="1:11" ht="42" customHeight="1" x14ac:dyDescent="0.25">
      <c r="A55" s="12">
        <v>51</v>
      </c>
      <c r="B55" s="10" t="s">
        <v>327</v>
      </c>
      <c r="C55" s="10" t="s">
        <v>309</v>
      </c>
      <c r="D55" s="10" t="s">
        <v>71</v>
      </c>
      <c r="E55" s="10" t="s">
        <v>141</v>
      </c>
      <c r="F55" s="12" t="s">
        <v>176</v>
      </c>
      <c r="G55" s="12" t="s">
        <v>121</v>
      </c>
      <c r="H55" s="12" t="s">
        <v>122</v>
      </c>
      <c r="I55" s="10" t="s">
        <v>328</v>
      </c>
      <c r="J55" s="12">
        <f t="shared" si="1"/>
        <v>9</v>
      </c>
      <c r="K55" s="10" t="s">
        <v>329</v>
      </c>
    </row>
    <row r="56" spans="1:11" ht="42" customHeight="1" x14ac:dyDescent="0.25">
      <c r="A56" s="13">
        <v>52</v>
      </c>
      <c r="B56" s="11" t="s">
        <v>330</v>
      </c>
      <c r="C56" s="11" t="s">
        <v>309</v>
      </c>
      <c r="D56" s="11" t="s">
        <v>71</v>
      </c>
      <c r="E56" s="11" t="s">
        <v>119</v>
      </c>
      <c r="F56" s="13" t="s">
        <v>120</v>
      </c>
      <c r="G56" s="13" t="s">
        <v>190</v>
      </c>
      <c r="H56" s="13" t="s">
        <v>122</v>
      </c>
      <c r="I56" s="11" t="s">
        <v>331</v>
      </c>
      <c r="J56" s="13">
        <f t="shared" si="1"/>
        <v>8</v>
      </c>
      <c r="K56" s="11" t="s">
        <v>332</v>
      </c>
    </row>
    <row r="57" spans="1:11" ht="42" customHeight="1" x14ac:dyDescent="0.25">
      <c r="A57" s="12">
        <v>53</v>
      </c>
      <c r="B57" s="10" t="s">
        <v>333</v>
      </c>
      <c r="C57" s="10" t="s">
        <v>334</v>
      </c>
      <c r="D57" s="10" t="s">
        <v>71</v>
      </c>
      <c r="E57" s="10" t="s">
        <v>119</v>
      </c>
      <c r="F57" s="12" t="s">
        <v>176</v>
      </c>
      <c r="G57" s="12" t="s">
        <v>190</v>
      </c>
      <c r="H57" s="12" t="s">
        <v>122</v>
      </c>
      <c r="I57" s="10" t="s">
        <v>335</v>
      </c>
      <c r="J57" s="12">
        <f t="shared" si="1"/>
        <v>8</v>
      </c>
      <c r="K57" s="10" t="s">
        <v>336</v>
      </c>
    </row>
    <row r="58" spans="1:11" ht="42" customHeight="1" x14ac:dyDescent="0.25">
      <c r="A58" s="13">
        <v>54</v>
      </c>
      <c r="B58" s="11" t="s">
        <v>337</v>
      </c>
      <c r="C58" s="11" t="s">
        <v>338</v>
      </c>
      <c r="D58" s="11" t="s">
        <v>71</v>
      </c>
      <c r="E58" s="11" t="s">
        <v>119</v>
      </c>
      <c r="F58" s="13" t="s">
        <v>120</v>
      </c>
      <c r="G58" s="13" t="s">
        <v>190</v>
      </c>
      <c r="H58" s="13" t="s">
        <v>122</v>
      </c>
      <c r="I58" s="11" t="s">
        <v>339</v>
      </c>
      <c r="J58" s="13">
        <f t="shared" si="1"/>
        <v>8</v>
      </c>
      <c r="K58" s="11" t="s">
        <v>340</v>
      </c>
    </row>
    <row r="59" spans="1:11" ht="42" customHeight="1" x14ac:dyDescent="0.25">
      <c r="A59" s="12">
        <v>55</v>
      </c>
      <c r="B59" s="10" t="s">
        <v>341</v>
      </c>
      <c r="C59" s="10" t="s">
        <v>338</v>
      </c>
      <c r="D59" s="10" t="s">
        <v>71</v>
      </c>
      <c r="E59" s="10" t="s">
        <v>119</v>
      </c>
      <c r="F59" s="12" t="s">
        <v>120</v>
      </c>
      <c r="G59" s="12" t="s">
        <v>190</v>
      </c>
      <c r="H59" s="12" t="s">
        <v>122</v>
      </c>
      <c r="I59" s="10" t="s">
        <v>342</v>
      </c>
      <c r="J59" s="12">
        <f t="shared" si="1"/>
        <v>8</v>
      </c>
      <c r="K59" s="10" t="s">
        <v>343</v>
      </c>
    </row>
    <row r="60" spans="1:11" ht="42" customHeight="1" x14ac:dyDescent="0.25">
      <c r="A60" s="13">
        <v>56</v>
      </c>
      <c r="B60" s="11" t="s">
        <v>344</v>
      </c>
      <c r="C60" s="11" t="s">
        <v>345</v>
      </c>
      <c r="D60" s="11" t="s">
        <v>76</v>
      </c>
      <c r="E60" s="11" t="s">
        <v>119</v>
      </c>
      <c r="F60" s="13" t="s">
        <v>128</v>
      </c>
      <c r="G60" s="13" t="s">
        <v>121</v>
      </c>
      <c r="H60" s="13" t="s">
        <v>129</v>
      </c>
      <c r="I60" s="11" t="s">
        <v>346</v>
      </c>
      <c r="J60" s="13">
        <f t="shared" si="1"/>
        <v>6</v>
      </c>
      <c r="K60" s="11" t="s">
        <v>347</v>
      </c>
    </row>
    <row r="61" spans="1:11" ht="42" customHeight="1" x14ac:dyDescent="0.25">
      <c r="A61" s="12">
        <v>57</v>
      </c>
      <c r="B61" s="10" t="s">
        <v>348</v>
      </c>
      <c r="C61" s="10" t="s">
        <v>345</v>
      </c>
      <c r="D61" s="10" t="s">
        <v>76</v>
      </c>
      <c r="E61" s="10" t="s">
        <v>119</v>
      </c>
      <c r="F61" s="12" t="s">
        <v>185</v>
      </c>
      <c r="G61" s="12" t="s">
        <v>190</v>
      </c>
      <c r="H61" s="12" t="s">
        <v>122</v>
      </c>
      <c r="I61" s="10" t="s">
        <v>346</v>
      </c>
      <c r="J61" s="12">
        <f t="shared" si="1"/>
        <v>7</v>
      </c>
      <c r="K61" s="10" t="s">
        <v>349</v>
      </c>
    </row>
    <row r="62" spans="1:11" ht="42" customHeight="1" x14ac:dyDescent="0.25">
      <c r="A62" s="13">
        <v>58</v>
      </c>
      <c r="B62" s="11" t="s">
        <v>350</v>
      </c>
      <c r="C62" s="11" t="s">
        <v>126</v>
      </c>
      <c r="D62" s="11" t="s">
        <v>76</v>
      </c>
      <c r="E62" s="11" t="s">
        <v>127</v>
      </c>
      <c r="F62" s="13" t="s">
        <v>185</v>
      </c>
      <c r="G62" s="13" t="s">
        <v>121</v>
      </c>
      <c r="H62" s="13" t="s">
        <v>129</v>
      </c>
      <c r="I62" s="11" t="s">
        <v>351</v>
      </c>
      <c r="J62" s="13">
        <f t="shared" si="1"/>
        <v>7</v>
      </c>
      <c r="K62" s="11" t="s">
        <v>352</v>
      </c>
    </row>
    <row r="63" spans="1:11" ht="42" customHeight="1" x14ac:dyDescent="0.25">
      <c r="A63" s="12">
        <v>59</v>
      </c>
      <c r="B63" s="10" t="s">
        <v>353</v>
      </c>
      <c r="C63" s="10" t="s">
        <v>203</v>
      </c>
      <c r="D63" s="10" t="s">
        <v>76</v>
      </c>
      <c r="E63" s="10" t="s">
        <v>150</v>
      </c>
      <c r="F63" s="12" t="s">
        <v>128</v>
      </c>
      <c r="G63" s="12" t="s">
        <v>121</v>
      </c>
      <c r="H63" s="12" t="s">
        <v>129</v>
      </c>
      <c r="I63" s="10" t="s">
        <v>354</v>
      </c>
      <c r="J63" s="12">
        <f t="shared" si="1"/>
        <v>6</v>
      </c>
      <c r="K63" s="10" t="s">
        <v>355</v>
      </c>
    </row>
    <row r="64" spans="1:11" ht="42" customHeight="1" x14ac:dyDescent="0.25">
      <c r="A64" s="13">
        <v>60</v>
      </c>
      <c r="B64" s="11" t="s">
        <v>356</v>
      </c>
      <c r="C64" s="11" t="s">
        <v>357</v>
      </c>
      <c r="D64" s="11" t="s">
        <v>76</v>
      </c>
      <c r="E64" s="11" t="s">
        <v>358</v>
      </c>
      <c r="F64" s="13" t="s">
        <v>128</v>
      </c>
      <c r="G64" s="13" t="s">
        <v>190</v>
      </c>
      <c r="H64" s="13" t="s">
        <v>129</v>
      </c>
      <c r="I64" s="11"/>
      <c r="J64" s="13">
        <f t="shared" si="1"/>
        <v>5</v>
      </c>
      <c r="K64" s="11" t="s">
        <v>359</v>
      </c>
    </row>
    <row r="65" spans="1:11" ht="42" customHeight="1" x14ac:dyDescent="0.25">
      <c r="A65" s="12">
        <v>61</v>
      </c>
      <c r="B65" s="10" t="s">
        <v>360</v>
      </c>
      <c r="C65" s="10" t="s">
        <v>361</v>
      </c>
      <c r="D65" s="10" t="s">
        <v>76</v>
      </c>
      <c r="E65" s="10" t="s">
        <v>119</v>
      </c>
      <c r="F65" s="12" t="s">
        <v>128</v>
      </c>
      <c r="G65" s="12" t="s">
        <v>121</v>
      </c>
      <c r="H65" s="12" t="s">
        <v>129</v>
      </c>
      <c r="I65" s="10" t="s">
        <v>362</v>
      </c>
      <c r="J65" s="12">
        <f t="shared" si="1"/>
        <v>6</v>
      </c>
      <c r="K65" s="10" t="s">
        <v>363</v>
      </c>
    </row>
    <row r="66" spans="1:11" ht="42" customHeight="1" x14ac:dyDescent="0.25">
      <c r="A66" s="13">
        <v>62</v>
      </c>
      <c r="B66" s="11" t="s">
        <v>364</v>
      </c>
      <c r="C66" s="11" t="s">
        <v>365</v>
      </c>
      <c r="D66" s="11" t="s">
        <v>76</v>
      </c>
      <c r="E66" s="11" t="s">
        <v>119</v>
      </c>
      <c r="F66" s="13" t="s">
        <v>272</v>
      </c>
      <c r="G66" s="13" t="s">
        <v>190</v>
      </c>
      <c r="H66" s="13" t="s">
        <v>129</v>
      </c>
      <c r="I66" s="11" t="s">
        <v>366</v>
      </c>
      <c r="J66" s="13">
        <f t="shared" si="1"/>
        <v>5</v>
      </c>
      <c r="K66" s="11" t="s">
        <v>367</v>
      </c>
    </row>
    <row r="67" spans="1:11" ht="42" customHeight="1" x14ac:dyDescent="0.25">
      <c r="A67" s="12">
        <v>63</v>
      </c>
      <c r="B67" s="10" t="s">
        <v>368</v>
      </c>
      <c r="C67" s="10" t="s">
        <v>369</v>
      </c>
      <c r="D67" s="10" t="s">
        <v>81</v>
      </c>
      <c r="E67" s="10" t="s">
        <v>199</v>
      </c>
      <c r="F67" s="12" t="s">
        <v>176</v>
      </c>
      <c r="G67" s="12" t="s">
        <v>121</v>
      </c>
      <c r="H67" s="12" t="s">
        <v>122</v>
      </c>
      <c r="I67" s="10" t="s">
        <v>370</v>
      </c>
      <c r="J67" s="12">
        <f t="shared" si="1"/>
        <v>9</v>
      </c>
      <c r="K67" s="10" t="s">
        <v>371</v>
      </c>
    </row>
    <row r="68" spans="1:11" ht="42" customHeight="1" x14ac:dyDescent="0.25">
      <c r="A68" s="13">
        <v>64</v>
      </c>
      <c r="B68" s="11" t="s">
        <v>372</v>
      </c>
      <c r="C68" s="11" t="s">
        <v>373</v>
      </c>
      <c r="D68" s="11" t="s">
        <v>81</v>
      </c>
      <c r="E68" s="11" t="s">
        <v>162</v>
      </c>
      <c r="F68" s="13" t="s">
        <v>176</v>
      </c>
      <c r="G68" s="13" t="s">
        <v>121</v>
      </c>
      <c r="H68" s="13" t="s">
        <v>122</v>
      </c>
      <c r="I68" s="11" t="s">
        <v>374</v>
      </c>
      <c r="J68" s="13">
        <f t="shared" si="1"/>
        <v>9</v>
      </c>
      <c r="K68" s="11" t="s">
        <v>375</v>
      </c>
    </row>
    <row r="69" spans="1:11" ht="42" customHeight="1" x14ac:dyDescent="0.25">
      <c r="A69" s="12">
        <v>65</v>
      </c>
      <c r="B69" s="10" t="s">
        <v>376</v>
      </c>
      <c r="C69" s="10" t="s">
        <v>377</v>
      </c>
      <c r="D69" s="10" t="s">
        <v>81</v>
      </c>
      <c r="E69" s="10" t="s">
        <v>162</v>
      </c>
      <c r="F69" s="12" t="s">
        <v>176</v>
      </c>
      <c r="G69" s="12" t="s">
        <v>121</v>
      </c>
      <c r="H69" s="12" t="s">
        <v>122</v>
      </c>
      <c r="I69" s="10" t="s">
        <v>378</v>
      </c>
      <c r="J69" s="12">
        <f t="shared" ref="J69:J100" si="2">IFERROR(IF(G69="High",3,IF(G69="Medium",2,IF(G69="Low",1,0)))+IF(OR(F69="Daily",F69="Weekly"),3,IF(F69="Monthly",2,IF(OR(F69="Quarterly",F69="Annual",F69="Irregular"),1,0)))+IF(H69="RSS/Email/API",3,IF(OR(H69="Web/PDF",H69="Paid"),2,0)),0)</f>
        <v>9</v>
      </c>
      <c r="K69" s="10" t="s">
        <v>379</v>
      </c>
    </row>
    <row r="70" spans="1:11" ht="42" customHeight="1" x14ac:dyDescent="0.25">
      <c r="A70" s="13">
        <v>66</v>
      </c>
      <c r="B70" s="11" t="s">
        <v>380</v>
      </c>
      <c r="C70" s="11" t="s">
        <v>381</v>
      </c>
      <c r="D70" s="11" t="s">
        <v>81</v>
      </c>
      <c r="E70" s="11" t="s">
        <v>150</v>
      </c>
      <c r="F70" s="13" t="s">
        <v>120</v>
      </c>
      <c r="G70" s="13" t="s">
        <v>121</v>
      </c>
      <c r="H70" s="13" t="s">
        <v>122</v>
      </c>
      <c r="I70" s="11" t="s">
        <v>382</v>
      </c>
      <c r="J70" s="13">
        <f t="shared" si="2"/>
        <v>9</v>
      </c>
      <c r="K70" s="11" t="s">
        <v>383</v>
      </c>
    </row>
    <row r="71" spans="1:11" ht="42" customHeight="1" x14ac:dyDescent="0.25">
      <c r="A71" s="12">
        <v>67</v>
      </c>
      <c r="B71" s="10" t="s">
        <v>384</v>
      </c>
      <c r="C71" s="10" t="s">
        <v>384</v>
      </c>
      <c r="D71" s="10" t="s">
        <v>81</v>
      </c>
      <c r="E71" s="10" t="s">
        <v>141</v>
      </c>
      <c r="F71" s="12" t="s">
        <v>120</v>
      </c>
      <c r="G71" s="12" t="s">
        <v>190</v>
      </c>
      <c r="H71" s="12" t="s">
        <v>122</v>
      </c>
      <c r="I71" s="10" t="s">
        <v>385</v>
      </c>
      <c r="J71" s="12">
        <f t="shared" si="2"/>
        <v>8</v>
      </c>
      <c r="K71" s="10" t="s">
        <v>386</v>
      </c>
    </row>
    <row r="72" spans="1:11" ht="42" customHeight="1" x14ac:dyDescent="0.25">
      <c r="A72" s="13">
        <v>68</v>
      </c>
      <c r="B72" s="11" t="s">
        <v>387</v>
      </c>
      <c r="C72" s="11" t="s">
        <v>388</v>
      </c>
      <c r="D72" s="11" t="s">
        <v>81</v>
      </c>
      <c r="E72" s="11" t="s">
        <v>119</v>
      </c>
      <c r="F72" s="13" t="s">
        <v>176</v>
      </c>
      <c r="G72" s="13" t="s">
        <v>121</v>
      </c>
      <c r="H72" s="13" t="s">
        <v>122</v>
      </c>
      <c r="I72" s="11" t="s">
        <v>389</v>
      </c>
      <c r="J72" s="13">
        <f t="shared" si="2"/>
        <v>9</v>
      </c>
      <c r="K72" s="11" t="s">
        <v>390</v>
      </c>
    </row>
    <row r="73" spans="1:11" ht="42" customHeight="1" x14ac:dyDescent="0.25">
      <c r="A73" s="12">
        <v>69</v>
      </c>
      <c r="B73" s="10" t="s">
        <v>391</v>
      </c>
      <c r="C73" s="10" t="s">
        <v>361</v>
      </c>
      <c r="D73" s="10" t="s">
        <v>81</v>
      </c>
      <c r="E73" s="10" t="s">
        <v>119</v>
      </c>
      <c r="F73" s="12" t="s">
        <v>272</v>
      </c>
      <c r="G73" s="12" t="s">
        <v>121</v>
      </c>
      <c r="H73" s="12" t="s">
        <v>129</v>
      </c>
      <c r="I73" s="10" t="s">
        <v>392</v>
      </c>
      <c r="J73" s="12">
        <f t="shared" si="2"/>
        <v>6</v>
      </c>
      <c r="K73" s="10" t="s">
        <v>393</v>
      </c>
    </row>
    <row r="74" spans="1:11" ht="42" customHeight="1" x14ac:dyDescent="0.25">
      <c r="A74" s="13">
        <v>70</v>
      </c>
      <c r="B74" s="11" t="s">
        <v>394</v>
      </c>
      <c r="C74" s="11" t="s">
        <v>395</v>
      </c>
      <c r="D74" s="11" t="s">
        <v>81</v>
      </c>
      <c r="E74" s="11" t="s">
        <v>119</v>
      </c>
      <c r="F74" s="13" t="s">
        <v>176</v>
      </c>
      <c r="G74" s="13" t="s">
        <v>190</v>
      </c>
      <c r="H74" s="13" t="s">
        <v>122</v>
      </c>
      <c r="I74" s="11" t="s">
        <v>396</v>
      </c>
      <c r="J74" s="13">
        <f t="shared" si="2"/>
        <v>8</v>
      </c>
      <c r="K74" s="11" t="s">
        <v>397</v>
      </c>
    </row>
    <row r="75" spans="1:11" ht="42" customHeight="1" x14ac:dyDescent="0.25">
      <c r="A75" s="12">
        <v>71</v>
      </c>
      <c r="B75" s="10" t="s">
        <v>398</v>
      </c>
      <c r="C75" s="10" t="s">
        <v>398</v>
      </c>
      <c r="D75" s="10" t="s">
        <v>86</v>
      </c>
      <c r="E75" s="10" t="s">
        <v>119</v>
      </c>
      <c r="F75" s="12" t="s">
        <v>176</v>
      </c>
      <c r="G75" s="12" t="s">
        <v>121</v>
      </c>
      <c r="H75" s="12" t="s">
        <v>122</v>
      </c>
      <c r="I75" s="10" t="s">
        <v>399</v>
      </c>
      <c r="J75" s="12">
        <f t="shared" si="2"/>
        <v>9</v>
      </c>
      <c r="K75" s="10" t="s">
        <v>400</v>
      </c>
    </row>
    <row r="76" spans="1:11" ht="42" customHeight="1" x14ac:dyDescent="0.25">
      <c r="A76" s="13">
        <v>72</v>
      </c>
      <c r="B76" s="11" t="s">
        <v>401</v>
      </c>
      <c r="C76" s="11" t="s">
        <v>402</v>
      </c>
      <c r="D76" s="11" t="s">
        <v>86</v>
      </c>
      <c r="E76" s="11" t="s">
        <v>127</v>
      </c>
      <c r="F76" s="13" t="s">
        <v>176</v>
      </c>
      <c r="G76" s="13" t="s">
        <v>190</v>
      </c>
      <c r="H76" s="13" t="s">
        <v>122</v>
      </c>
      <c r="I76" s="11" t="s">
        <v>403</v>
      </c>
      <c r="J76" s="13">
        <f t="shared" si="2"/>
        <v>8</v>
      </c>
      <c r="K76" s="11" t="s">
        <v>404</v>
      </c>
    </row>
    <row r="77" spans="1:11" ht="42" customHeight="1" x14ac:dyDescent="0.25">
      <c r="A77" s="12">
        <v>73</v>
      </c>
      <c r="B77" s="10" t="s">
        <v>405</v>
      </c>
      <c r="C77" s="10" t="s">
        <v>406</v>
      </c>
      <c r="D77" s="10" t="s">
        <v>86</v>
      </c>
      <c r="E77" s="10" t="s">
        <v>358</v>
      </c>
      <c r="F77" s="12" t="s">
        <v>176</v>
      </c>
      <c r="G77" s="12" t="s">
        <v>121</v>
      </c>
      <c r="H77" s="12" t="s">
        <v>122</v>
      </c>
      <c r="I77" s="10" t="s">
        <v>407</v>
      </c>
      <c r="J77" s="12">
        <f t="shared" si="2"/>
        <v>9</v>
      </c>
      <c r="K77" s="10" t="s">
        <v>408</v>
      </c>
    </row>
    <row r="78" spans="1:11" ht="42" customHeight="1" x14ac:dyDescent="0.25">
      <c r="A78" s="13">
        <v>74</v>
      </c>
      <c r="B78" s="11" t="s">
        <v>409</v>
      </c>
      <c r="C78" s="11" t="s">
        <v>410</v>
      </c>
      <c r="D78" s="11" t="s">
        <v>86</v>
      </c>
      <c r="E78" s="11" t="s">
        <v>150</v>
      </c>
      <c r="F78" s="13" t="s">
        <v>176</v>
      </c>
      <c r="G78" s="13" t="s">
        <v>121</v>
      </c>
      <c r="H78" s="13" t="s">
        <v>122</v>
      </c>
      <c r="I78" s="11" t="s">
        <v>411</v>
      </c>
      <c r="J78" s="13">
        <f t="shared" si="2"/>
        <v>9</v>
      </c>
      <c r="K78" s="11" t="s">
        <v>412</v>
      </c>
    </row>
    <row r="79" spans="1:11" ht="42" customHeight="1" x14ac:dyDescent="0.25">
      <c r="A79" s="12">
        <v>75</v>
      </c>
      <c r="B79" s="10" t="s">
        <v>413</v>
      </c>
      <c r="C79" s="10" t="s">
        <v>413</v>
      </c>
      <c r="D79" s="10" t="s">
        <v>86</v>
      </c>
      <c r="E79" s="10" t="s">
        <v>150</v>
      </c>
      <c r="F79" s="12" t="s">
        <v>176</v>
      </c>
      <c r="G79" s="12" t="s">
        <v>190</v>
      </c>
      <c r="H79" s="12" t="s">
        <v>122</v>
      </c>
      <c r="I79" s="10" t="s">
        <v>414</v>
      </c>
      <c r="J79" s="12">
        <f t="shared" si="2"/>
        <v>8</v>
      </c>
      <c r="K79" s="10" t="s">
        <v>415</v>
      </c>
    </row>
    <row r="80" spans="1:11" ht="42" customHeight="1" x14ac:dyDescent="0.25">
      <c r="A80" s="13">
        <v>76</v>
      </c>
      <c r="B80" s="11" t="s">
        <v>416</v>
      </c>
      <c r="C80" s="11" t="s">
        <v>417</v>
      </c>
      <c r="D80" s="11" t="s">
        <v>86</v>
      </c>
      <c r="E80" s="11" t="s">
        <v>141</v>
      </c>
      <c r="F80" s="13" t="s">
        <v>176</v>
      </c>
      <c r="G80" s="13" t="s">
        <v>121</v>
      </c>
      <c r="H80" s="13" t="s">
        <v>289</v>
      </c>
      <c r="I80" s="11" t="s">
        <v>418</v>
      </c>
      <c r="J80" s="13">
        <f t="shared" si="2"/>
        <v>8</v>
      </c>
      <c r="K80" s="11" t="s">
        <v>419</v>
      </c>
    </row>
    <row r="81" spans="1:11" ht="42" customHeight="1" x14ac:dyDescent="0.25">
      <c r="A81" s="12">
        <v>77</v>
      </c>
      <c r="B81" s="10" t="s">
        <v>420</v>
      </c>
      <c r="C81" s="10" t="s">
        <v>421</v>
      </c>
      <c r="D81" s="10" t="s">
        <v>86</v>
      </c>
      <c r="E81" s="10" t="s">
        <v>119</v>
      </c>
      <c r="F81" s="12" t="s">
        <v>185</v>
      </c>
      <c r="G81" s="12" t="s">
        <v>229</v>
      </c>
      <c r="H81" s="12" t="s">
        <v>122</v>
      </c>
      <c r="I81" s="10" t="s">
        <v>422</v>
      </c>
      <c r="J81" s="12">
        <f t="shared" si="2"/>
        <v>6</v>
      </c>
      <c r="K81" s="10" t="s">
        <v>423</v>
      </c>
    </row>
    <row r="82" spans="1:11" ht="42" customHeight="1" x14ac:dyDescent="0.25">
      <c r="A82" s="13">
        <v>78</v>
      </c>
      <c r="B82" s="11" t="s">
        <v>424</v>
      </c>
      <c r="C82" s="11" t="s">
        <v>425</v>
      </c>
      <c r="D82" s="11" t="s">
        <v>86</v>
      </c>
      <c r="E82" s="11" t="s">
        <v>358</v>
      </c>
      <c r="F82" s="13" t="s">
        <v>185</v>
      </c>
      <c r="G82" s="13" t="s">
        <v>190</v>
      </c>
      <c r="H82" s="13" t="s">
        <v>122</v>
      </c>
      <c r="I82" s="11" t="s">
        <v>426</v>
      </c>
      <c r="J82" s="13">
        <f t="shared" si="2"/>
        <v>7</v>
      </c>
      <c r="K82" s="11" t="s">
        <v>427</v>
      </c>
    </row>
    <row r="83" spans="1:11" ht="42" customHeight="1" x14ac:dyDescent="0.25">
      <c r="A83" s="12">
        <v>79</v>
      </c>
      <c r="B83" s="10" t="s">
        <v>428</v>
      </c>
      <c r="C83" s="10" t="s">
        <v>429</v>
      </c>
      <c r="D83" s="10" t="s">
        <v>86</v>
      </c>
      <c r="E83" s="10" t="s">
        <v>127</v>
      </c>
      <c r="F83" s="12" t="s">
        <v>185</v>
      </c>
      <c r="G83" s="12" t="s">
        <v>190</v>
      </c>
      <c r="H83" s="12" t="s">
        <v>129</v>
      </c>
      <c r="I83" s="10" t="s">
        <v>430</v>
      </c>
      <c r="J83" s="12">
        <f t="shared" si="2"/>
        <v>6</v>
      </c>
      <c r="K83" s="10" t="s">
        <v>431</v>
      </c>
    </row>
    <row r="84" spans="1:11" ht="42" customHeight="1" x14ac:dyDescent="0.25">
      <c r="A84" s="13">
        <v>80</v>
      </c>
      <c r="B84" s="11" t="s">
        <v>432</v>
      </c>
      <c r="C84" s="11" t="s">
        <v>433</v>
      </c>
      <c r="D84" s="11" t="s">
        <v>91</v>
      </c>
      <c r="E84" s="11" t="s">
        <v>119</v>
      </c>
      <c r="F84" s="13" t="s">
        <v>176</v>
      </c>
      <c r="G84" s="13" t="s">
        <v>121</v>
      </c>
      <c r="H84" s="13" t="s">
        <v>122</v>
      </c>
      <c r="I84" s="11" t="s">
        <v>434</v>
      </c>
      <c r="J84" s="13">
        <f t="shared" si="2"/>
        <v>9</v>
      </c>
      <c r="K84" s="11" t="s">
        <v>435</v>
      </c>
    </row>
    <row r="85" spans="1:11" ht="42" customHeight="1" x14ac:dyDescent="0.25">
      <c r="A85" s="12">
        <v>81</v>
      </c>
      <c r="B85" s="10" t="s">
        <v>436</v>
      </c>
      <c r="C85" s="10" t="s">
        <v>437</v>
      </c>
      <c r="D85" s="10" t="s">
        <v>91</v>
      </c>
      <c r="E85" s="10" t="s">
        <v>127</v>
      </c>
      <c r="F85" s="12" t="s">
        <v>176</v>
      </c>
      <c r="G85" s="12" t="s">
        <v>121</v>
      </c>
      <c r="H85" s="12" t="s">
        <v>122</v>
      </c>
      <c r="I85" s="10" t="s">
        <v>438</v>
      </c>
      <c r="J85" s="12">
        <f t="shared" si="2"/>
        <v>9</v>
      </c>
      <c r="K85" s="10" t="s">
        <v>439</v>
      </c>
    </row>
    <row r="86" spans="1:11" ht="42" customHeight="1" x14ac:dyDescent="0.25">
      <c r="A86" s="13">
        <v>82</v>
      </c>
      <c r="B86" s="11" t="s">
        <v>440</v>
      </c>
      <c r="C86" s="11" t="s">
        <v>440</v>
      </c>
      <c r="D86" s="11" t="s">
        <v>91</v>
      </c>
      <c r="E86" s="11" t="s">
        <v>119</v>
      </c>
      <c r="F86" s="13" t="s">
        <v>185</v>
      </c>
      <c r="G86" s="13" t="s">
        <v>190</v>
      </c>
      <c r="H86" s="13" t="s">
        <v>122</v>
      </c>
      <c r="I86" s="11" t="s">
        <v>441</v>
      </c>
      <c r="J86" s="13">
        <f t="shared" si="2"/>
        <v>7</v>
      </c>
      <c r="K86" s="11" t="s">
        <v>442</v>
      </c>
    </row>
    <row r="87" spans="1:11" ht="42" customHeight="1" x14ac:dyDescent="0.25">
      <c r="A87" s="12">
        <v>83</v>
      </c>
      <c r="B87" s="10" t="s">
        <v>443</v>
      </c>
      <c r="C87" s="10" t="s">
        <v>443</v>
      </c>
      <c r="D87" s="10" t="s">
        <v>91</v>
      </c>
      <c r="E87" s="10" t="s">
        <v>119</v>
      </c>
      <c r="F87" s="12" t="s">
        <v>176</v>
      </c>
      <c r="G87" s="12" t="s">
        <v>190</v>
      </c>
      <c r="H87" s="12" t="s">
        <v>122</v>
      </c>
      <c r="I87" s="10" t="s">
        <v>444</v>
      </c>
      <c r="J87" s="12">
        <f t="shared" si="2"/>
        <v>8</v>
      </c>
      <c r="K87" s="10" t="s">
        <v>445</v>
      </c>
    </row>
    <row r="88" spans="1:11" ht="42" customHeight="1" x14ac:dyDescent="0.25">
      <c r="A88" s="13">
        <v>84</v>
      </c>
      <c r="B88" s="11" t="s">
        <v>446</v>
      </c>
      <c r="C88" s="11" t="s">
        <v>446</v>
      </c>
      <c r="D88" s="11" t="s">
        <v>91</v>
      </c>
      <c r="E88" s="11" t="s">
        <v>119</v>
      </c>
      <c r="F88" s="13" t="s">
        <v>176</v>
      </c>
      <c r="G88" s="13" t="s">
        <v>190</v>
      </c>
      <c r="H88" s="13" t="s">
        <v>122</v>
      </c>
      <c r="I88" s="11" t="s">
        <v>447</v>
      </c>
      <c r="J88" s="13">
        <f t="shared" si="2"/>
        <v>8</v>
      </c>
      <c r="K88" s="11" t="s">
        <v>448</v>
      </c>
    </row>
    <row r="89" spans="1:11" ht="42" customHeight="1" x14ac:dyDescent="0.25">
      <c r="A89" s="12">
        <v>85</v>
      </c>
      <c r="B89" s="10" t="s">
        <v>449</v>
      </c>
      <c r="C89" s="10" t="s">
        <v>449</v>
      </c>
      <c r="D89" s="10" t="s">
        <v>91</v>
      </c>
      <c r="E89" s="10" t="s">
        <v>119</v>
      </c>
      <c r="F89" s="12" t="s">
        <v>176</v>
      </c>
      <c r="G89" s="12" t="s">
        <v>190</v>
      </c>
      <c r="H89" s="12" t="s">
        <v>122</v>
      </c>
      <c r="I89" s="10" t="s">
        <v>450</v>
      </c>
      <c r="J89" s="12">
        <f t="shared" si="2"/>
        <v>8</v>
      </c>
      <c r="K89" s="10" t="s">
        <v>451</v>
      </c>
    </row>
    <row r="90" spans="1:11" ht="42" customHeight="1" x14ac:dyDescent="0.25">
      <c r="A90" s="13">
        <v>86</v>
      </c>
      <c r="B90" s="11" t="s">
        <v>452</v>
      </c>
      <c r="C90" s="11" t="s">
        <v>453</v>
      </c>
      <c r="D90" s="11" t="s">
        <v>91</v>
      </c>
      <c r="E90" s="11" t="s">
        <v>141</v>
      </c>
      <c r="F90" s="13" t="s">
        <v>185</v>
      </c>
      <c r="G90" s="13" t="s">
        <v>121</v>
      </c>
      <c r="H90" s="13" t="s">
        <v>122</v>
      </c>
      <c r="I90" s="11" t="s">
        <v>454</v>
      </c>
      <c r="J90" s="13">
        <f t="shared" si="2"/>
        <v>8</v>
      </c>
      <c r="K90" s="11" t="s">
        <v>455</v>
      </c>
    </row>
    <row r="91" spans="1:11" ht="42" customHeight="1" x14ac:dyDescent="0.25">
      <c r="A91" s="12">
        <v>87</v>
      </c>
      <c r="B91" s="10" t="s">
        <v>456</v>
      </c>
      <c r="C91" s="10" t="s">
        <v>457</v>
      </c>
      <c r="D91" s="10" t="s">
        <v>91</v>
      </c>
      <c r="E91" s="10" t="s">
        <v>119</v>
      </c>
      <c r="F91" s="12" t="s">
        <v>185</v>
      </c>
      <c r="G91" s="12" t="s">
        <v>190</v>
      </c>
      <c r="H91" s="12" t="s">
        <v>122</v>
      </c>
      <c r="I91" s="10" t="s">
        <v>458</v>
      </c>
      <c r="J91" s="12">
        <f t="shared" si="2"/>
        <v>7</v>
      </c>
      <c r="K91" s="10" t="s">
        <v>459</v>
      </c>
    </row>
    <row r="92" spans="1:11" ht="42" customHeight="1" x14ac:dyDescent="0.25">
      <c r="A92" s="13">
        <v>88</v>
      </c>
      <c r="B92" s="11" t="s">
        <v>460</v>
      </c>
      <c r="C92" s="11" t="s">
        <v>460</v>
      </c>
      <c r="D92" s="11" t="s">
        <v>91</v>
      </c>
      <c r="E92" s="11" t="s">
        <v>141</v>
      </c>
      <c r="F92" s="13" t="s">
        <v>185</v>
      </c>
      <c r="G92" s="13" t="s">
        <v>190</v>
      </c>
      <c r="H92" s="13" t="s">
        <v>122</v>
      </c>
      <c r="I92" s="11" t="s">
        <v>461</v>
      </c>
      <c r="J92" s="13">
        <f t="shared" si="2"/>
        <v>7</v>
      </c>
      <c r="K92" s="11" t="s">
        <v>462</v>
      </c>
    </row>
    <row r="93" spans="1:11" ht="42" customHeight="1" x14ac:dyDescent="0.25">
      <c r="A93" s="12">
        <v>89</v>
      </c>
      <c r="B93" s="10" t="s">
        <v>463</v>
      </c>
      <c r="C93" s="10" t="s">
        <v>464</v>
      </c>
      <c r="D93" s="10" t="s">
        <v>91</v>
      </c>
      <c r="E93" s="10" t="s">
        <v>150</v>
      </c>
      <c r="F93" s="12" t="s">
        <v>176</v>
      </c>
      <c r="G93" s="12" t="s">
        <v>121</v>
      </c>
      <c r="H93" s="12" t="s">
        <v>122</v>
      </c>
      <c r="I93" s="10" t="s">
        <v>465</v>
      </c>
      <c r="J93" s="12">
        <f t="shared" si="2"/>
        <v>9</v>
      </c>
      <c r="K93" s="10" t="s">
        <v>466</v>
      </c>
    </row>
    <row r="94" spans="1:11" ht="42" customHeight="1" x14ac:dyDescent="0.25">
      <c r="A94" s="13">
        <v>90</v>
      </c>
      <c r="B94" s="11" t="s">
        <v>467</v>
      </c>
      <c r="C94" s="11" t="s">
        <v>467</v>
      </c>
      <c r="D94" s="11" t="s">
        <v>91</v>
      </c>
      <c r="E94" s="11" t="s">
        <v>150</v>
      </c>
      <c r="F94" s="13" t="s">
        <v>176</v>
      </c>
      <c r="G94" s="13" t="s">
        <v>121</v>
      </c>
      <c r="H94" s="13" t="s">
        <v>122</v>
      </c>
      <c r="I94" s="11" t="s">
        <v>468</v>
      </c>
      <c r="J94" s="13">
        <f t="shared" si="2"/>
        <v>9</v>
      </c>
      <c r="K94" s="11" t="s">
        <v>469</v>
      </c>
    </row>
    <row r="95" spans="1:11" ht="42" customHeight="1" x14ac:dyDescent="0.25">
      <c r="A95" s="12">
        <v>91</v>
      </c>
      <c r="B95" s="10" t="s">
        <v>470</v>
      </c>
      <c r="C95" s="10" t="s">
        <v>470</v>
      </c>
      <c r="D95" s="10" t="s">
        <v>91</v>
      </c>
      <c r="E95" s="10" t="s">
        <v>150</v>
      </c>
      <c r="F95" s="12" t="s">
        <v>176</v>
      </c>
      <c r="G95" s="12" t="s">
        <v>190</v>
      </c>
      <c r="H95" s="12" t="s">
        <v>122</v>
      </c>
      <c r="I95" s="10" t="s">
        <v>471</v>
      </c>
      <c r="J95" s="12">
        <f t="shared" si="2"/>
        <v>8</v>
      </c>
      <c r="K95" s="10" t="s">
        <v>472</v>
      </c>
    </row>
    <row r="96" spans="1:11" ht="42" customHeight="1" x14ac:dyDescent="0.25">
      <c r="A96" s="13">
        <v>92</v>
      </c>
      <c r="B96" s="11" t="s">
        <v>473</v>
      </c>
      <c r="C96" s="11" t="s">
        <v>474</v>
      </c>
      <c r="D96" s="11" t="s">
        <v>91</v>
      </c>
      <c r="E96" s="11" t="s">
        <v>199</v>
      </c>
      <c r="F96" s="13" t="s">
        <v>185</v>
      </c>
      <c r="G96" s="13" t="s">
        <v>229</v>
      </c>
      <c r="H96" s="13" t="s">
        <v>129</v>
      </c>
      <c r="I96" s="11" t="s">
        <v>475</v>
      </c>
      <c r="J96" s="13">
        <f t="shared" si="2"/>
        <v>5</v>
      </c>
      <c r="K96" s="11" t="s">
        <v>476</v>
      </c>
    </row>
    <row r="97" spans="1:11" ht="42" customHeight="1" x14ac:dyDescent="0.25">
      <c r="A97" s="12">
        <v>93</v>
      </c>
      <c r="B97" s="10" t="s">
        <v>477</v>
      </c>
      <c r="C97" s="10" t="s">
        <v>478</v>
      </c>
      <c r="D97" s="10" t="s">
        <v>91</v>
      </c>
      <c r="E97" s="10" t="s">
        <v>162</v>
      </c>
      <c r="F97" s="12" t="s">
        <v>185</v>
      </c>
      <c r="G97" s="12" t="s">
        <v>190</v>
      </c>
      <c r="H97" s="12" t="s">
        <v>122</v>
      </c>
      <c r="I97" s="10" t="s">
        <v>479</v>
      </c>
      <c r="J97" s="12">
        <f t="shared" si="2"/>
        <v>7</v>
      </c>
      <c r="K97" s="10" t="s">
        <v>480</v>
      </c>
    </row>
    <row r="98" spans="1:11" ht="42" customHeight="1" x14ac:dyDescent="0.25">
      <c r="A98" s="13">
        <v>94</v>
      </c>
      <c r="B98" s="11" t="s">
        <v>481</v>
      </c>
      <c r="C98" s="11" t="s">
        <v>482</v>
      </c>
      <c r="D98" s="11" t="s">
        <v>96</v>
      </c>
      <c r="E98" s="11" t="s">
        <v>259</v>
      </c>
      <c r="F98" s="13" t="s">
        <v>120</v>
      </c>
      <c r="G98" s="13" t="s">
        <v>121</v>
      </c>
      <c r="H98" s="13" t="s">
        <v>122</v>
      </c>
      <c r="I98" s="11" t="s">
        <v>483</v>
      </c>
      <c r="J98" s="13">
        <f t="shared" si="2"/>
        <v>9</v>
      </c>
      <c r="K98" s="11" t="s">
        <v>484</v>
      </c>
    </row>
    <row r="99" spans="1:11" ht="42" customHeight="1" x14ac:dyDescent="0.25">
      <c r="A99" s="12">
        <v>95</v>
      </c>
      <c r="B99" s="10" t="s">
        <v>485</v>
      </c>
      <c r="C99" s="10" t="s">
        <v>486</v>
      </c>
      <c r="D99" s="10" t="s">
        <v>96</v>
      </c>
      <c r="E99" s="10" t="s">
        <v>259</v>
      </c>
      <c r="F99" s="12" t="s">
        <v>120</v>
      </c>
      <c r="G99" s="12" t="s">
        <v>121</v>
      </c>
      <c r="H99" s="12" t="s">
        <v>122</v>
      </c>
      <c r="I99" s="10" t="s">
        <v>487</v>
      </c>
      <c r="J99" s="12">
        <f t="shared" si="2"/>
        <v>9</v>
      </c>
      <c r="K99" s="10" t="s">
        <v>488</v>
      </c>
    </row>
    <row r="100" spans="1:11" ht="42" customHeight="1" x14ac:dyDescent="0.25">
      <c r="A100" s="13">
        <v>96</v>
      </c>
      <c r="B100" s="11" t="s">
        <v>489</v>
      </c>
      <c r="C100" s="11" t="s">
        <v>267</v>
      </c>
      <c r="D100" s="11" t="s">
        <v>96</v>
      </c>
      <c r="E100" s="11" t="s">
        <v>259</v>
      </c>
      <c r="F100" s="13" t="s">
        <v>120</v>
      </c>
      <c r="G100" s="13" t="s">
        <v>121</v>
      </c>
      <c r="H100" s="13" t="s">
        <v>122</v>
      </c>
      <c r="I100" s="11" t="s">
        <v>490</v>
      </c>
      <c r="J100" s="13">
        <f t="shared" si="2"/>
        <v>9</v>
      </c>
      <c r="K100" s="11" t="s">
        <v>491</v>
      </c>
    </row>
    <row r="101" spans="1:11" ht="42" customHeight="1" x14ac:dyDescent="0.25">
      <c r="A101" s="12">
        <v>97</v>
      </c>
      <c r="B101" s="10" t="s">
        <v>492</v>
      </c>
      <c r="C101" s="10" t="s">
        <v>493</v>
      </c>
      <c r="D101" s="10" t="s">
        <v>96</v>
      </c>
      <c r="E101" s="10" t="s">
        <v>358</v>
      </c>
      <c r="F101" s="12" t="s">
        <v>176</v>
      </c>
      <c r="G101" s="12" t="s">
        <v>121</v>
      </c>
      <c r="H101" s="12" t="s">
        <v>122</v>
      </c>
      <c r="I101" s="10" t="s">
        <v>494</v>
      </c>
      <c r="J101" s="12">
        <f t="shared" ref="J101:J125" si="3">IFERROR(IF(G101="High",3,IF(G101="Medium",2,IF(G101="Low",1,0)))+IF(OR(F101="Daily",F101="Weekly"),3,IF(F101="Monthly",2,IF(OR(F101="Quarterly",F101="Annual",F101="Irregular"),1,0)))+IF(H101="RSS/Email/API",3,IF(OR(H101="Web/PDF",H101="Paid"),2,0)),0)</f>
        <v>9</v>
      </c>
      <c r="K101" s="10" t="s">
        <v>495</v>
      </c>
    </row>
    <row r="102" spans="1:11" ht="42" customHeight="1" x14ac:dyDescent="0.25">
      <c r="A102" s="13">
        <v>98</v>
      </c>
      <c r="B102" s="11" t="s">
        <v>496</v>
      </c>
      <c r="C102" s="11" t="s">
        <v>497</v>
      </c>
      <c r="D102" s="11" t="s">
        <v>96</v>
      </c>
      <c r="E102" s="11" t="s">
        <v>358</v>
      </c>
      <c r="F102" s="13" t="s">
        <v>176</v>
      </c>
      <c r="G102" s="13" t="s">
        <v>190</v>
      </c>
      <c r="H102" s="13" t="s">
        <v>129</v>
      </c>
      <c r="I102" s="11"/>
      <c r="J102" s="13">
        <f t="shared" si="3"/>
        <v>7</v>
      </c>
      <c r="K102" s="11" t="s">
        <v>498</v>
      </c>
    </row>
    <row r="103" spans="1:11" ht="42" customHeight="1" x14ac:dyDescent="0.25">
      <c r="A103" s="12">
        <v>99</v>
      </c>
      <c r="B103" s="10" t="s">
        <v>499</v>
      </c>
      <c r="C103" s="10" t="s">
        <v>406</v>
      </c>
      <c r="D103" s="10" t="s">
        <v>96</v>
      </c>
      <c r="E103" s="10" t="s">
        <v>358</v>
      </c>
      <c r="F103" s="12" t="s">
        <v>185</v>
      </c>
      <c r="G103" s="12" t="s">
        <v>190</v>
      </c>
      <c r="H103" s="12" t="s">
        <v>122</v>
      </c>
      <c r="I103" s="10" t="s">
        <v>500</v>
      </c>
      <c r="J103" s="12">
        <f t="shared" si="3"/>
        <v>7</v>
      </c>
      <c r="K103" s="10" t="s">
        <v>501</v>
      </c>
    </row>
    <row r="104" spans="1:11" ht="42" customHeight="1" x14ac:dyDescent="0.25">
      <c r="A104" s="13">
        <v>100</v>
      </c>
      <c r="B104" s="11" t="s">
        <v>502</v>
      </c>
      <c r="C104" s="11" t="s">
        <v>503</v>
      </c>
      <c r="D104" s="11" t="s">
        <v>96</v>
      </c>
      <c r="E104" s="11" t="s">
        <v>119</v>
      </c>
      <c r="F104" s="13" t="s">
        <v>120</v>
      </c>
      <c r="G104" s="13" t="s">
        <v>190</v>
      </c>
      <c r="H104" s="13" t="s">
        <v>122</v>
      </c>
      <c r="I104" s="11" t="s">
        <v>504</v>
      </c>
      <c r="J104" s="13">
        <f t="shared" si="3"/>
        <v>8</v>
      </c>
      <c r="K104" s="11" t="s">
        <v>505</v>
      </c>
    </row>
    <row r="105" spans="1:11" ht="42" customHeight="1" x14ac:dyDescent="0.25">
      <c r="A105" s="12">
        <v>101</v>
      </c>
      <c r="B105" s="10" t="s">
        <v>506</v>
      </c>
      <c r="C105" s="10" t="s">
        <v>507</v>
      </c>
      <c r="D105" s="10" t="s">
        <v>96</v>
      </c>
      <c r="E105" s="10" t="s">
        <v>259</v>
      </c>
      <c r="F105" s="12" t="s">
        <v>176</v>
      </c>
      <c r="G105" s="12" t="s">
        <v>190</v>
      </c>
      <c r="H105" s="12" t="s">
        <v>122</v>
      </c>
      <c r="I105" s="10" t="s">
        <v>508</v>
      </c>
      <c r="J105" s="12">
        <f t="shared" si="3"/>
        <v>8</v>
      </c>
      <c r="K105" s="10" t="s">
        <v>509</v>
      </c>
    </row>
    <row r="106" spans="1:11" ht="42" customHeight="1" x14ac:dyDescent="0.25">
      <c r="A106" s="13">
        <v>102</v>
      </c>
      <c r="B106" s="11" t="s">
        <v>510</v>
      </c>
      <c r="C106" s="11" t="s">
        <v>511</v>
      </c>
      <c r="D106" s="11" t="s">
        <v>96</v>
      </c>
      <c r="E106" s="11" t="s">
        <v>358</v>
      </c>
      <c r="F106" s="13" t="s">
        <v>176</v>
      </c>
      <c r="G106" s="13" t="s">
        <v>190</v>
      </c>
      <c r="H106" s="13" t="s">
        <v>129</v>
      </c>
      <c r="I106" s="11"/>
      <c r="J106" s="13">
        <f t="shared" si="3"/>
        <v>7</v>
      </c>
      <c r="K106" s="11" t="s">
        <v>512</v>
      </c>
    </row>
    <row r="107" spans="1:11" ht="42" customHeight="1" x14ac:dyDescent="0.25">
      <c r="A107" s="12">
        <v>103</v>
      </c>
      <c r="B107" s="10" t="s">
        <v>513</v>
      </c>
      <c r="C107" s="10" t="s">
        <v>514</v>
      </c>
      <c r="D107" s="10" t="s">
        <v>96</v>
      </c>
      <c r="E107" s="10" t="s">
        <v>358</v>
      </c>
      <c r="F107" s="12" t="s">
        <v>176</v>
      </c>
      <c r="G107" s="12" t="s">
        <v>190</v>
      </c>
      <c r="H107" s="12" t="s">
        <v>122</v>
      </c>
      <c r="I107" s="10" t="s">
        <v>515</v>
      </c>
      <c r="J107" s="12">
        <f t="shared" si="3"/>
        <v>8</v>
      </c>
      <c r="K107" s="10" t="s">
        <v>516</v>
      </c>
    </row>
    <row r="108" spans="1:11" ht="42" customHeight="1" x14ac:dyDescent="0.25">
      <c r="A108" s="13">
        <v>104</v>
      </c>
      <c r="B108" s="11" t="s">
        <v>517</v>
      </c>
      <c r="C108" s="11" t="s">
        <v>507</v>
      </c>
      <c r="D108" s="11" t="s">
        <v>101</v>
      </c>
      <c r="E108" s="11" t="s">
        <v>141</v>
      </c>
      <c r="F108" s="13" t="s">
        <v>120</v>
      </c>
      <c r="G108" s="13" t="s">
        <v>121</v>
      </c>
      <c r="H108" s="13" t="s">
        <v>122</v>
      </c>
      <c r="I108" s="11" t="s">
        <v>518</v>
      </c>
      <c r="J108" s="13">
        <f t="shared" si="3"/>
        <v>9</v>
      </c>
      <c r="K108" s="11" t="s">
        <v>519</v>
      </c>
    </row>
    <row r="109" spans="1:11" ht="42" customHeight="1" x14ac:dyDescent="0.25">
      <c r="A109" s="12">
        <v>105</v>
      </c>
      <c r="B109" s="10" t="s">
        <v>520</v>
      </c>
      <c r="C109" s="10" t="s">
        <v>521</v>
      </c>
      <c r="D109" s="10" t="s">
        <v>101</v>
      </c>
      <c r="E109" s="10" t="s">
        <v>358</v>
      </c>
      <c r="F109" s="12" t="s">
        <v>120</v>
      </c>
      <c r="G109" s="12" t="s">
        <v>121</v>
      </c>
      <c r="H109" s="12" t="s">
        <v>122</v>
      </c>
      <c r="I109" s="10" t="s">
        <v>522</v>
      </c>
      <c r="J109" s="12">
        <f t="shared" si="3"/>
        <v>9</v>
      </c>
      <c r="K109" s="10" t="s">
        <v>523</v>
      </c>
    </row>
    <row r="110" spans="1:11" ht="42" customHeight="1" x14ac:dyDescent="0.25">
      <c r="A110" s="13">
        <v>106</v>
      </c>
      <c r="B110" s="11" t="s">
        <v>524</v>
      </c>
      <c r="C110" s="11" t="s">
        <v>507</v>
      </c>
      <c r="D110" s="11" t="s">
        <v>101</v>
      </c>
      <c r="E110" s="11" t="s">
        <v>141</v>
      </c>
      <c r="F110" s="13" t="s">
        <v>120</v>
      </c>
      <c r="G110" s="13" t="s">
        <v>190</v>
      </c>
      <c r="H110" s="13" t="s">
        <v>122</v>
      </c>
      <c r="I110" s="11" t="s">
        <v>525</v>
      </c>
      <c r="J110" s="13">
        <f t="shared" si="3"/>
        <v>8</v>
      </c>
      <c r="K110" s="11" t="s">
        <v>526</v>
      </c>
    </row>
    <row r="111" spans="1:11" ht="42" customHeight="1" x14ac:dyDescent="0.25">
      <c r="A111" s="12">
        <v>107</v>
      </c>
      <c r="B111" s="10" t="s">
        <v>527</v>
      </c>
      <c r="C111" s="10" t="s">
        <v>528</v>
      </c>
      <c r="D111" s="10" t="s">
        <v>101</v>
      </c>
      <c r="E111" s="10" t="s">
        <v>141</v>
      </c>
      <c r="F111" s="12" t="s">
        <v>176</v>
      </c>
      <c r="G111" s="12" t="s">
        <v>190</v>
      </c>
      <c r="H111" s="12" t="s">
        <v>122</v>
      </c>
      <c r="I111" s="10" t="s">
        <v>529</v>
      </c>
      <c r="J111" s="12">
        <f t="shared" si="3"/>
        <v>8</v>
      </c>
      <c r="K111" s="10" t="s">
        <v>530</v>
      </c>
    </row>
    <row r="112" spans="1:11" ht="42" customHeight="1" x14ac:dyDescent="0.25">
      <c r="A112" s="13">
        <v>108</v>
      </c>
      <c r="B112" s="11" t="s">
        <v>531</v>
      </c>
      <c r="C112" s="11" t="s">
        <v>532</v>
      </c>
      <c r="D112" s="11" t="s">
        <v>101</v>
      </c>
      <c r="E112" s="11" t="s">
        <v>141</v>
      </c>
      <c r="F112" s="13" t="s">
        <v>176</v>
      </c>
      <c r="G112" s="13" t="s">
        <v>190</v>
      </c>
      <c r="H112" s="13" t="s">
        <v>122</v>
      </c>
      <c r="I112" s="11" t="s">
        <v>533</v>
      </c>
      <c r="J112" s="13">
        <f t="shared" si="3"/>
        <v>8</v>
      </c>
      <c r="K112" s="11" t="s">
        <v>534</v>
      </c>
    </row>
    <row r="113" spans="1:11" ht="42" customHeight="1" x14ac:dyDescent="0.25">
      <c r="A113" s="12">
        <v>109</v>
      </c>
      <c r="B113" s="10" t="s">
        <v>535</v>
      </c>
      <c r="C113" s="10" t="s">
        <v>536</v>
      </c>
      <c r="D113" s="10" t="s">
        <v>101</v>
      </c>
      <c r="E113" s="10" t="s">
        <v>150</v>
      </c>
      <c r="F113" s="12" t="s">
        <v>120</v>
      </c>
      <c r="G113" s="12" t="s">
        <v>121</v>
      </c>
      <c r="H113" s="12" t="s">
        <v>289</v>
      </c>
      <c r="I113" s="10" t="s">
        <v>537</v>
      </c>
      <c r="J113" s="12">
        <f t="shared" si="3"/>
        <v>8</v>
      </c>
      <c r="K113" s="10" t="s">
        <v>538</v>
      </c>
    </row>
    <row r="114" spans="1:11" ht="42" customHeight="1" x14ac:dyDescent="0.25">
      <c r="A114" s="13">
        <v>110</v>
      </c>
      <c r="B114" s="11" t="s">
        <v>539</v>
      </c>
      <c r="C114" s="11" t="s">
        <v>540</v>
      </c>
      <c r="D114" s="11" t="s">
        <v>101</v>
      </c>
      <c r="E114" s="11" t="s">
        <v>150</v>
      </c>
      <c r="F114" s="13" t="s">
        <v>120</v>
      </c>
      <c r="G114" s="13" t="s">
        <v>121</v>
      </c>
      <c r="H114" s="13" t="s">
        <v>122</v>
      </c>
      <c r="I114" s="11" t="s">
        <v>541</v>
      </c>
      <c r="J114" s="13">
        <f t="shared" si="3"/>
        <v>9</v>
      </c>
      <c r="K114" s="11" t="s">
        <v>542</v>
      </c>
    </row>
    <row r="115" spans="1:11" ht="42" customHeight="1" x14ac:dyDescent="0.25">
      <c r="A115" s="12">
        <v>111</v>
      </c>
      <c r="B115" s="10" t="s">
        <v>543</v>
      </c>
      <c r="C115" s="10" t="s">
        <v>543</v>
      </c>
      <c r="D115" s="10" t="s">
        <v>101</v>
      </c>
      <c r="E115" s="10" t="s">
        <v>199</v>
      </c>
      <c r="F115" s="12" t="s">
        <v>120</v>
      </c>
      <c r="G115" s="12" t="s">
        <v>121</v>
      </c>
      <c r="H115" s="12" t="s">
        <v>289</v>
      </c>
      <c r="I115" s="10" t="s">
        <v>544</v>
      </c>
      <c r="J115" s="12">
        <f t="shared" si="3"/>
        <v>8</v>
      </c>
      <c r="K115" s="10" t="s">
        <v>545</v>
      </c>
    </row>
    <row r="116" spans="1:11" ht="42" customHeight="1" x14ac:dyDescent="0.25">
      <c r="A116" s="13">
        <v>112</v>
      </c>
      <c r="B116" s="11" t="s">
        <v>546</v>
      </c>
      <c r="C116" s="11" t="s">
        <v>547</v>
      </c>
      <c r="D116" s="11" t="s">
        <v>101</v>
      </c>
      <c r="E116" s="11" t="s">
        <v>199</v>
      </c>
      <c r="F116" s="13" t="s">
        <v>176</v>
      </c>
      <c r="G116" s="13" t="s">
        <v>190</v>
      </c>
      <c r="H116" s="13" t="s">
        <v>122</v>
      </c>
      <c r="I116" s="11" t="s">
        <v>548</v>
      </c>
      <c r="J116" s="13">
        <f t="shared" si="3"/>
        <v>8</v>
      </c>
      <c r="K116" s="11" t="s">
        <v>549</v>
      </c>
    </row>
    <row r="117" spans="1:11" ht="42" customHeight="1" x14ac:dyDescent="0.25">
      <c r="A117" s="12">
        <v>113</v>
      </c>
      <c r="B117" s="10" t="s">
        <v>550</v>
      </c>
      <c r="C117" s="10" t="s">
        <v>547</v>
      </c>
      <c r="D117" s="10" t="s">
        <v>101</v>
      </c>
      <c r="E117" s="10" t="s">
        <v>199</v>
      </c>
      <c r="F117" s="12" t="s">
        <v>185</v>
      </c>
      <c r="G117" s="12" t="s">
        <v>190</v>
      </c>
      <c r="H117" s="12" t="s">
        <v>122</v>
      </c>
      <c r="I117" s="10" t="s">
        <v>551</v>
      </c>
      <c r="J117" s="12">
        <f t="shared" si="3"/>
        <v>7</v>
      </c>
      <c r="K117" s="10" t="s">
        <v>552</v>
      </c>
    </row>
    <row r="118" spans="1:11" ht="42" customHeight="1" x14ac:dyDescent="0.25">
      <c r="A118" s="13">
        <v>114</v>
      </c>
      <c r="B118" s="11" t="s">
        <v>553</v>
      </c>
      <c r="C118" s="11" t="s">
        <v>553</v>
      </c>
      <c r="D118" s="11" t="s">
        <v>101</v>
      </c>
      <c r="E118" s="11" t="s">
        <v>199</v>
      </c>
      <c r="F118" s="13" t="s">
        <v>185</v>
      </c>
      <c r="G118" s="13" t="s">
        <v>229</v>
      </c>
      <c r="H118" s="13" t="s">
        <v>129</v>
      </c>
      <c r="I118" s="11" t="s">
        <v>554</v>
      </c>
      <c r="J118" s="13">
        <f t="shared" si="3"/>
        <v>5</v>
      </c>
      <c r="K118" s="11" t="s">
        <v>555</v>
      </c>
    </row>
    <row r="119" spans="1:11" ht="42" customHeight="1" x14ac:dyDescent="0.25">
      <c r="A119" s="12">
        <v>115</v>
      </c>
      <c r="B119" s="10" t="s">
        <v>556</v>
      </c>
      <c r="C119" s="10" t="s">
        <v>429</v>
      </c>
      <c r="D119" s="10" t="s">
        <v>101</v>
      </c>
      <c r="E119" s="10" t="s">
        <v>127</v>
      </c>
      <c r="F119" s="12" t="s">
        <v>120</v>
      </c>
      <c r="G119" s="12" t="s">
        <v>121</v>
      </c>
      <c r="H119" s="12" t="s">
        <v>289</v>
      </c>
      <c r="I119" s="10" t="s">
        <v>557</v>
      </c>
      <c r="J119" s="12">
        <f t="shared" si="3"/>
        <v>8</v>
      </c>
      <c r="K119" s="10" t="s">
        <v>558</v>
      </c>
    </row>
    <row r="120" spans="1:11" ht="42" customHeight="1" x14ac:dyDescent="0.25">
      <c r="A120" s="13">
        <v>116</v>
      </c>
      <c r="B120" s="11" t="s">
        <v>559</v>
      </c>
      <c r="C120" s="11" t="s">
        <v>560</v>
      </c>
      <c r="D120" s="11" t="s">
        <v>101</v>
      </c>
      <c r="E120" s="11" t="s">
        <v>127</v>
      </c>
      <c r="F120" s="13" t="s">
        <v>120</v>
      </c>
      <c r="G120" s="13" t="s">
        <v>190</v>
      </c>
      <c r="H120" s="13" t="s">
        <v>122</v>
      </c>
      <c r="I120" s="11" t="s">
        <v>561</v>
      </c>
      <c r="J120" s="13">
        <f t="shared" si="3"/>
        <v>8</v>
      </c>
      <c r="K120" s="11" t="s">
        <v>562</v>
      </c>
    </row>
    <row r="121" spans="1:11" ht="42" customHeight="1" x14ac:dyDescent="0.25">
      <c r="A121" s="12">
        <v>117</v>
      </c>
      <c r="B121" s="10" t="s">
        <v>563</v>
      </c>
      <c r="C121" s="10" t="s">
        <v>564</v>
      </c>
      <c r="D121" s="10" t="s">
        <v>101</v>
      </c>
      <c r="E121" s="10" t="s">
        <v>220</v>
      </c>
      <c r="F121" s="12" t="s">
        <v>120</v>
      </c>
      <c r="G121" s="12" t="s">
        <v>190</v>
      </c>
      <c r="H121" s="12" t="s">
        <v>122</v>
      </c>
      <c r="I121" s="10" t="s">
        <v>565</v>
      </c>
      <c r="J121" s="12">
        <f t="shared" si="3"/>
        <v>8</v>
      </c>
      <c r="K121" s="10" t="s">
        <v>566</v>
      </c>
    </row>
    <row r="122" spans="1:11" ht="42" customHeight="1" x14ac:dyDescent="0.25">
      <c r="A122" s="13">
        <v>118</v>
      </c>
      <c r="B122" s="11" t="s">
        <v>567</v>
      </c>
      <c r="C122" s="11" t="s">
        <v>429</v>
      </c>
      <c r="D122" s="11" t="s">
        <v>101</v>
      </c>
      <c r="E122" s="11" t="s">
        <v>220</v>
      </c>
      <c r="F122" s="13" t="s">
        <v>120</v>
      </c>
      <c r="G122" s="13" t="s">
        <v>190</v>
      </c>
      <c r="H122" s="13" t="s">
        <v>122</v>
      </c>
      <c r="I122" s="11" t="s">
        <v>568</v>
      </c>
      <c r="J122" s="13">
        <f t="shared" si="3"/>
        <v>8</v>
      </c>
      <c r="K122" s="11" t="s">
        <v>569</v>
      </c>
    </row>
    <row r="123" spans="1:11" ht="42" customHeight="1" x14ac:dyDescent="0.25">
      <c r="A123" s="12">
        <v>119</v>
      </c>
      <c r="B123" s="10" t="s">
        <v>570</v>
      </c>
      <c r="C123" s="10" t="s">
        <v>571</v>
      </c>
      <c r="D123" s="10" t="s">
        <v>101</v>
      </c>
      <c r="E123" s="10" t="s">
        <v>162</v>
      </c>
      <c r="F123" s="12" t="s">
        <v>120</v>
      </c>
      <c r="G123" s="12" t="s">
        <v>190</v>
      </c>
      <c r="H123" s="12" t="s">
        <v>122</v>
      </c>
      <c r="I123" s="10" t="s">
        <v>572</v>
      </c>
      <c r="J123" s="12">
        <f t="shared" si="3"/>
        <v>8</v>
      </c>
      <c r="K123" s="10" t="s">
        <v>573</v>
      </c>
    </row>
    <row r="124" spans="1:11" ht="42" customHeight="1" x14ac:dyDescent="0.25">
      <c r="A124" s="13">
        <v>120</v>
      </c>
      <c r="B124" s="11" t="s">
        <v>574</v>
      </c>
      <c r="C124" s="11" t="s">
        <v>575</v>
      </c>
      <c r="D124" s="11" t="s">
        <v>101</v>
      </c>
      <c r="E124" s="11" t="s">
        <v>358</v>
      </c>
      <c r="F124" s="13" t="s">
        <v>120</v>
      </c>
      <c r="G124" s="13" t="s">
        <v>121</v>
      </c>
      <c r="H124" s="13" t="s">
        <v>289</v>
      </c>
      <c r="I124" s="11" t="s">
        <v>576</v>
      </c>
      <c r="J124" s="13">
        <f t="shared" si="3"/>
        <v>8</v>
      </c>
      <c r="K124" s="11" t="s">
        <v>577</v>
      </c>
    </row>
    <row r="125" spans="1:11" ht="42" customHeight="1" x14ac:dyDescent="0.25">
      <c r="A125" s="12">
        <v>121</v>
      </c>
      <c r="B125" s="10" t="s">
        <v>578</v>
      </c>
      <c r="C125" s="10" t="s">
        <v>579</v>
      </c>
      <c r="D125" s="10" t="s">
        <v>101</v>
      </c>
      <c r="E125" s="10" t="s">
        <v>358</v>
      </c>
      <c r="F125" s="12" t="s">
        <v>176</v>
      </c>
      <c r="G125" s="12" t="s">
        <v>190</v>
      </c>
      <c r="H125" s="12" t="s">
        <v>122</v>
      </c>
      <c r="I125" s="10" t="s">
        <v>580</v>
      </c>
      <c r="J125" s="12">
        <f t="shared" si="3"/>
        <v>8</v>
      </c>
      <c r="K125" s="10" t="s">
        <v>581</v>
      </c>
    </row>
  </sheetData>
  <autoFilter ref="A4:K125" xr:uid="{00000000-0009-0000-0000-000002000000}"/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2" width="60" customWidth="1"/>
    <col min="3" max="4" width="50" customWidth="1"/>
  </cols>
  <sheetData>
    <row r="1" spans="1:4" ht="24" customHeight="1" x14ac:dyDescent="0.25">
      <c r="A1" s="4" t="s">
        <v>582</v>
      </c>
      <c r="B1" s="4"/>
      <c r="C1" s="4"/>
      <c r="D1" s="4"/>
    </row>
    <row r="2" spans="1:4" x14ac:dyDescent="0.25">
      <c r="A2" s="3" t="s">
        <v>583</v>
      </c>
      <c r="B2" s="3"/>
      <c r="C2" s="3"/>
      <c r="D2" s="3"/>
    </row>
    <row r="4" spans="1:4" x14ac:dyDescent="0.25">
      <c r="A4" s="9" t="s">
        <v>584</v>
      </c>
      <c r="B4" s="9" t="s">
        <v>585</v>
      </c>
      <c r="C4" s="9" t="s">
        <v>586</v>
      </c>
      <c r="D4" s="9" t="s">
        <v>587</v>
      </c>
    </row>
    <row r="5" spans="1:4" ht="135" customHeight="1" x14ac:dyDescent="0.25">
      <c r="A5" s="10" t="s">
        <v>127</v>
      </c>
      <c r="B5" s="10" t="s">
        <v>588</v>
      </c>
      <c r="C5" s="10" t="s">
        <v>589</v>
      </c>
      <c r="D5" s="10" t="s">
        <v>590</v>
      </c>
    </row>
    <row r="6" spans="1:4" ht="135" customHeight="1" x14ac:dyDescent="0.25">
      <c r="A6" s="11" t="s">
        <v>162</v>
      </c>
      <c r="B6" s="11" t="s">
        <v>591</v>
      </c>
      <c r="C6" s="11" t="s">
        <v>592</v>
      </c>
      <c r="D6" s="11" t="s">
        <v>593</v>
      </c>
    </row>
    <row r="7" spans="1:4" ht="135" customHeight="1" x14ac:dyDescent="0.25">
      <c r="A7" s="10" t="s">
        <v>594</v>
      </c>
      <c r="B7" s="10" t="s">
        <v>595</v>
      </c>
      <c r="C7" s="10" t="s">
        <v>596</v>
      </c>
      <c r="D7" s="10" t="s">
        <v>597</v>
      </c>
    </row>
    <row r="8" spans="1:4" ht="135" customHeight="1" x14ac:dyDescent="0.25">
      <c r="A8" s="11" t="s">
        <v>199</v>
      </c>
      <c r="B8" s="11" t="s">
        <v>598</v>
      </c>
      <c r="C8" s="11" t="s">
        <v>599</v>
      </c>
      <c r="D8" s="11" t="s">
        <v>600</v>
      </c>
    </row>
    <row r="9" spans="1:4" ht="135" customHeight="1" x14ac:dyDescent="0.25">
      <c r="A9" s="10" t="s">
        <v>601</v>
      </c>
      <c r="B9" s="10" t="s">
        <v>602</v>
      </c>
      <c r="C9" s="10" t="s">
        <v>603</v>
      </c>
      <c r="D9" s="10" t="s">
        <v>604</v>
      </c>
    </row>
    <row r="10" spans="1:4" ht="135" customHeight="1" x14ac:dyDescent="0.25">
      <c r="A10" s="11" t="s">
        <v>605</v>
      </c>
      <c r="B10" s="11" t="s">
        <v>606</v>
      </c>
      <c r="C10" s="11" t="s">
        <v>607</v>
      </c>
      <c r="D10" s="11" t="s">
        <v>608</v>
      </c>
    </row>
    <row r="11" spans="1:4" ht="135" customHeight="1" x14ac:dyDescent="0.25">
      <c r="A11" s="10" t="s">
        <v>220</v>
      </c>
      <c r="B11" s="10" t="s">
        <v>609</v>
      </c>
      <c r="C11" s="10" t="s">
        <v>610</v>
      </c>
      <c r="D11" s="10" t="s">
        <v>611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showGridLines="0" zoomScaleNormal="100" workbookViewId="0"/>
  </sheetViews>
  <sheetFormatPr defaultColWidth="8.7109375" defaultRowHeight="15" x14ac:dyDescent="0.25"/>
  <cols>
    <col min="1" max="1" width="28" customWidth="1"/>
    <col min="2" max="2" width="40" customWidth="1"/>
    <col min="3" max="3" width="45" customWidth="1"/>
    <col min="4" max="4" width="40" customWidth="1"/>
    <col min="5" max="5" width="18" customWidth="1"/>
  </cols>
  <sheetData>
    <row r="1" spans="1:5" ht="24" customHeight="1" x14ac:dyDescent="0.25">
      <c r="A1" s="4" t="s">
        <v>612</v>
      </c>
      <c r="B1" s="4"/>
      <c r="C1" s="4"/>
      <c r="D1" s="4"/>
      <c r="E1" s="4"/>
    </row>
    <row r="2" spans="1:5" x14ac:dyDescent="0.25">
      <c r="A2" s="3" t="s">
        <v>613</v>
      </c>
      <c r="B2" s="3"/>
      <c r="C2" s="3"/>
      <c r="D2" s="3"/>
      <c r="E2" s="3"/>
    </row>
    <row r="4" spans="1:5" ht="30" x14ac:dyDescent="0.25">
      <c r="A4" s="9" t="s">
        <v>614</v>
      </c>
      <c r="B4" s="9" t="s">
        <v>615</v>
      </c>
      <c r="C4" s="9" t="s">
        <v>616</v>
      </c>
      <c r="D4" s="9" t="s">
        <v>617</v>
      </c>
      <c r="E4" s="9" t="s">
        <v>618</v>
      </c>
    </row>
    <row r="5" spans="1:5" ht="78" customHeight="1" x14ac:dyDescent="0.25">
      <c r="A5" s="10" t="s">
        <v>56</v>
      </c>
      <c r="B5" s="10" t="s">
        <v>619</v>
      </c>
      <c r="C5" s="10" t="s">
        <v>620</v>
      </c>
      <c r="D5" s="10" t="s">
        <v>621</v>
      </c>
      <c r="E5" s="10" t="s">
        <v>622</v>
      </c>
    </row>
    <row r="6" spans="1:5" ht="78" customHeight="1" x14ac:dyDescent="0.25">
      <c r="A6" s="11" t="s">
        <v>175</v>
      </c>
      <c r="B6" s="11" t="s">
        <v>623</v>
      </c>
      <c r="C6" s="11" t="s">
        <v>624</v>
      </c>
      <c r="D6" s="11" t="s">
        <v>625</v>
      </c>
      <c r="E6" s="11" t="s">
        <v>626</v>
      </c>
    </row>
    <row r="7" spans="1:5" ht="78" customHeight="1" x14ac:dyDescent="0.25">
      <c r="A7" s="10" t="s">
        <v>66</v>
      </c>
      <c r="B7" s="10" t="s">
        <v>627</v>
      </c>
      <c r="C7" s="10" t="s">
        <v>628</v>
      </c>
      <c r="D7" s="10" t="s">
        <v>629</v>
      </c>
      <c r="E7" s="10" t="s">
        <v>120</v>
      </c>
    </row>
    <row r="8" spans="1:5" ht="78" customHeight="1" x14ac:dyDescent="0.25">
      <c r="A8" s="11" t="s">
        <v>71</v>
      </c>
      <c r="B8" s="11" t="s">
        <v>630</v>
      </c>
      <c r="C8" s="11" t="s">
        <v>631</v>
      </c>
      <c r="D8" s="11" t="s">
        <v>632</v>
      </c>
      <c r="E8" s="11" t="s">
        <v>633</v>
      </c>
    </row>
    <row r="9" spans="1:5" ht="78" customHeight="1" x14ac:dyDescent="0.25">
      <c r="A9" s="10" t="s">
        <v>76</v>
      </c>
      <c r="B9" s="10" t="s">
        <v>634</v>
      </c>
      <c r="C9" s="10" t="s">
        <v>635</v>
      </c>
      <c r="D9" s="10" t="s">
        <v>636</v>
      </c>
      <c r="E9" s="10" t="s">
        <v>637</v>
      </c>
    </row>
    <row r="10" spans="1:5" ht="78" customHeight="1" x14ac:dyDescent="0.25">
      <c r="A10" s="11" t="s">
        <v>81</v>
      </c>
      <c r="B10" s="11" t="s">
        <v>638</v>
      </c>
      <c r="C10" s="11" t="s">
        <v>639</v>
      </c>
      <c r="D10" s="11" t="s">
        <v>640</v>
      </c>
      <c r="E10" s="11" t="s">
        <v>641</v>
      </c>
    </row>
    <row r="11" spans="1:5" ht="78" customHeight="1" x14ac:dyDescent="0.25">
      <c r="A11" s="10" t="s">
        <v>642</v>
      </c>
      <c r="B11" s="10" t="s">
        <v>643</v>
      </c>
      <c r="C11" s="10" t="s">
        <v>644</v>
      </c>
      <c r="D11" s="10" t="s">
        <v>645</v>
      </c>
      <c r="E11" s="10" t="s">
        <v>176</v>
      </c>
    </row>
    <row r="12" spans="1:5" ht="78" customHeight="1" x14ac:dyDescent="0.25">
      <c r="A12" s="11" t="s">
        <v>646</v>
      </c>
      <c r="B12" s="11" t="s">
        <v>647</v>
      </c>
      <c r="C12" s="11" t="s">
        <v>648</v>
      </c>
      <c r="D12" s="11" t="s">
        <v>649</v>
      </c>
      <c r="E12" s="11" t="s">
        <v>185</v>
      </c>
    </row>
    <row r="13" spans="1:5" ht="78" customHeight="1" x14ac:dyDescent="0.25">
      <c r="A13" s="10" t="s">
        <v>650</v>
      </c>
      <c r="B13" s="10" t="s">
        <v>651</v>
      </c>
      <c r="C13" s="10" t="s">
        <v>652</v>
      </c>
      <c r="D13" s="10" t="s">
        <v>653</v>
      </c>
      <c r="E13" s="10" t="s">
        <v>176</v>
      </c>
    </row>
    <row r="14" spans="1:5" ht="78" customHeight="1" x14ac:dyDescent="0.25">
      <c r="A14" s="11" t="s">
        <v>101</v>
      </c>
      <c r="B14" s="11" t="s">
        <v>654</v>
      </c>
      <c r="C14" s="11" t="s">
        <v>655</v>
      </c>
      <c r="D14" s="11" t="s">
        <v>656</v>
      </c>
      <c r="E14" s="11" t="s">
        <v>657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showGridLines="0" zoomScaleNormal="100" workbookViewId="0"/>
  </sheetViews>
  <sheetFormatPr defaultColWidth="8.7109375" defaultRowHeight="15" x14ac:dyDescent="0.25"/>
  <cols>
    <col min="1" max="1" width="28" customWidth="1"/>
    <col min="2" max="2" width="16" customWidth="1"/>
    <col min="3" max="3" width="35" customWidth="1"/>
    <col min="4" max="5" width="30" customWidth="1"/>
    <col min="6" max="6" width="40" customWidth="1"/>
  </cols>
  <sheetData>
    <row r="1" spans="1:6" ht="24" customHeight="1" x14ac:dyDescent="0.25">
      <c r="A1" s="4" t="s">
        <v>658</v>
      </c>
      <c r="B1" s="4"/>
      <c r="C1" s="4"/>
      <c r="D1" s="4"/>
      <c r="E1" s="4"/>
      <c r="F1" s="4"/>
    </row>
    <row r="2" spans="1:6" x14ac:dyDescent="0.25">
      <c r="A2" s="3" t="s">
        <v>659</v>
      </c>
      <c r="B2" s="3"/>
      <c r="C2" s="3"/>
      <c r="D2" s="3"/>
      <c r="E2" s="3"/>
      <c r="F2" s="3"/>
    </row>
    <row r="4" spans="1:6" x14ac:dyDescent="0.25">
      <c r="A4" s="9" t="s">
        <v>660</v>
      </c>
      <c r="B4" s="9" t="s">
        <v>51</v>
      </c>
      <c r="C4" s="9" t="s">
        <v>661</v>
      </c>
      <c r="D4" s="9" t="s">
        <v>662</v>
      </c>
      <c r="E4" s="9" t="s">
        <v>663</v>
      </c>
      <c r="F4" s="9" t="s">
        <v>664</v>
      </c>
    </row>
    <row r="5" spans="1:6" ht="72" customHeight="1" x14ac:dyDescent="0.25">
      <c r="A5" s="10" t="s">
        <v>665</v>
      </c>
      <c r="B5" s="10" t="s">
        <v>666</v>
      </c>
      <c r="C5" s="10" t="s">
        <v>667</v>
      </c>
      <c r="D5" s="10" t="s">
        <v>668</v>
      </c>
      <c r="E5" s="10" t="s">
        <v>669</v>
      </c>
      <c r="F5" s="10" t="s">
        <v>670</v>
      </c>
    </row>
    <row r="6" spans="1:6" ht="72" customHeight="1" x14ac:dyDescent="0.25">
      <c r="A6" s="11" t="s">
        <v>520</v>
      </c>
      <c r="B6" s="11" t="s">
        <v>666</v>
      </c>
      <c r="C6" s="11" t="s">
        <v>671</v>
      </c>
      <c r="D6" s="11" t="s">
        <v>672</v>
      </c>
      <c r="E6" s="11" t="s">
        <v>673</v>
      </c>
      <c r="F6" s="11" t="s">
        <v>674</v>
      </c>
    </row>
    <row r="7" spans="1:6" ht="72" customHeight="1" x14ac:dyDescent="0.25">
      <c r="A7" s="10" t="s">
        <v>524</v>
      </c>
      <c r="B7" s="10" t="s">
        <v>666</v>
      </c>
      <c r="C7" s="10" t="s">
        <v>675</v>
      </c>
      <c r="D7" s="10" t="s">
        <v>676</v>
      </c>
      <c r="E7" s="10" t="s">
        <v>677</v>
      </c>
      <c r="F7" s="10" t="s">
        <v>678</v>
      </c>
    </row>
    <row r="8" spans="1:6" ht="72" customHeight="1" x14ac:dyDescent="0.25">
      <c r="A8" s="11" t="s">
        <v>287</v>
      </c>
      <c r="B8" s="11" t="s">
        <v>679</v>
      </c>
      <c r="C8" s="11" t="s">
        <v>680</v>
      </c>
      <c r="D8" s="11" t="s">
        <v>681</v>
      </c>
      <c r="E8" s="11" t="s">
        <v>682</v>
      </c>
      <c r="F8" s="11" t="s">
        <v>683</v>
      </c>
    </row>
    <row r="9" spans="1:6" ht="72" customHeight="1" x14ac:dyDescent="0.25">
      <c r="A9" s="10" t="s">
        <v>292</v>
      </c>
      <c r="B9" s="10" t="s">
        <v>679</v>
      </c>
      <c r="C9" s="10" t="s">
        <v>684</v>
      </c>
      <c r="D9" s="10" t="s">
        <v>685</v>
      </c>
      <c r="E9" s="10" t="s">
        <v>686</v>
      </c>
      <c r="F9" s="10" t="s">
        <v>687</v>
      </c>
    </row>
    <row r="10" spans="1:6" ht="72" customHeight="1" x14ac:dyDescent="0.25">
      <c r="A10" s="11" t="s">
        <v>416</v>
      </c>
      <c r="B10" s="11" t="s">
        <v>688</v>
      </c>
      <c r="C10" s="11" t="s">
        <v>689</v>
      </c>
      <c r="D10" s="11" t="s">
        <v>690</v>
      </c>
      <c r="E10" s="11" t="s">
        <v>691</v>
      </c>
      <c r="F10" s="11" t="s">
        <v>692</v>
      </c>
    </row>
    <row r="11" spans="1:6" ht="72" customHeight="1" x14ac:dyDescent="0.25">
      <c r="A11" s="10" t="s">
        <v>296</v>
      </c>
      <c r="B11" s="10" t="s">
        <v>693</v>
      </c>
      <c r="C11" s="10" t="s">
        <v>694</v>
      </c>
      <c r="D11" s="10" t="s">
        <v>695</v>
      </c>
      <c r="E11" s="10" t="s">
        <v>696</v>
      </c>
      <c r="F11" s="10" t="s">
        <v>697</v>
      </c>
    </row>
    <row r="12" spans="1:6" ht="72" customHeight="1" x14ac:dyDescent="0.25">
      <c r="A12" s="11" t="s">
        <v>432</v>
      </c>
      <c r="B12" s="11" t="s">
        <v>698</v>
      </c>
      <c r="C12" s="11" t="s">
        <v>699</v>
      </c>
      <c r="D12" s="11" t="s">
        <v>700</v>
      </c>
      <c r="E12" s="11" t="s">
        <v>701</v>
      </c>
      <c r="F12" s="11" t="s">
        <v>702</v>
      </c>
    </row>
    <row r="13" spans="1:6" ht="72" customHeight="1" x14ac:dyDescent="0.25">
      <c r="A13" s="10" t="s">
        <v>703</v>
      </c>
      <c r="B13" s="10" t="s">
        <v>704</v>
      </c>
      <c r="C13" s="10" t="s">
        <v>705</v>
      </c>
      <c r="D13" s="10" t="s">
        <v>706</v>
      </c>
      <c r="E13" s="10" t="s">
        <v>707</v>
      </c>
      <c r="F13" s="10" t="s">
        <v>708</v>
      </c>
    </row>
    <row r="14" spans="1:6" ht="72" customHeight="1" x14ac:dyDescent="0.25">
      <c r="A14" s="11" t="s">
        <v>709</v>
      </c>
      <c r="B14" s="11" t="s">
        <v>710</v>
      </c>
      <c r="C14" s="11" t="s">
        <v>711</v>
      </c>
      <c r="D14" s="11" t="s">
        <v>712</v>
      </c>
      <c r="E14" s="11" t="s">
        <v>713</v>
      </c>
      <c r="F14" s="11" t="s">
        <v>714</v>
      </c>
    </row>
    <row r="15" spans="1:6" ht="72" customHeight="1" x14ac:dyDescent="0.25">
      <c r="A15" s="10" t="s">
        <v>715</v>
      </c>
      <c r="B15" s="10" t="s">
        <v>716</v>
      </c>
      <c r="C15" s="10" t="s">
        <v>717</v>
      </c>
      <c r="D15" s="10" t="s">
        <v>718</v>
      </c>
      <c r="E15" s="10" t="s">
        <v>719</v>
      </c>
      <c r="F15" s="10" t="s">
        <v>720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3"/>
  <sheetViews>
    <sheetView showGridLines="0" topLeftCell="A4" zoomScaleNormal="100" workbookViewId="0">
      <selection activeCell="A4" sqref="A1:XFD1048576"/>
    </sheetView>
  </sheetViews>
  <sheetFormatPr defaultColWidth="8.7109375" defaultRowHeight="15" x14ac:dyDescent="0.25"/>
  <cols>
    <col min="1" max="1" width="22" customWidth="1"/>
    <col min="2" max="2" width="10" customWidth="1"/>
    <col min="3" max="3" width="80" customWidth="1"/>
  </cols>
  <sheetData>
    <row r="1" spans="1:3" ht="24" customHeight="1" x14ac:dyDescent="0.25">
      <c r="A1" s="2" t="s">
        <v>721</v>
      </c>
      <c r="B1" s="2"/>
      <c r="C1" s="2"/>
    </row>
    <row r="2" spans="1:3" ht="15" customHeight="1" x14ac:dyDescent="0.25">
      <c r="A2" s="1" t="s">
        <v>722</v>
      </c>
      <c r="B2" s="1"/>
      <c r="C2" s="1"/>
    </row>
    <row r="4" spans="1:3" ht="76.5" x14ac:dyDescent="0.25">
      <c r="A4" s="8" t="s">
        <v>723</v>
      </c>
      <c r="B4" s="14" t="s">
        <v>724</v>
      </c>
    </row>
    <row r="6" spans="1:3" ht="38.25" x14ac:dyDescent="0.25">
      <c r="A6" s="8" t="s">
        <v>725</v>
      </c>
    </row>
    <row r="7" spans="1:3" x14ac:dyDescent="0.25">
      <c r="A7" s="7" t="s">
        <v>121</v>
      </c>
      <c r="B7" s="14">
        <v>3</v>
      </c>
      <c r="C7" s="7" t="s">
        <v>726</v>
      </c>
    </row>
    <row r="8" spans="1:3" x14ac:dyDescent="0.25">
      <c r="A8" s="7" t="s">
        <v>190</v>
      </c>
      <c r="B8" s="14">
        <v>2</v>
      </c>
      <c r="C8" s="7" t="s">
        <v>727</v>
      </c>
    </row>
    <row r="9" spans="1:3" x14ac:dyDescent="0.25">
      <c r="A9" s="7" t="s">
        <v>229</v>
      </c>
      <c r="B9" s="14">
        <v>1</v>
      </c>
      <c r="C9" s="7" t="s">
        <v>728</v>
      </c>
    </row>
    <row r="11" spans="1:3" ht="38.25" x14ac:dyDescent="0.25">
      <c r="A11" s="8" t="s">
        <v>729</v>
      </c>
    </row>
    <row r="12" spans="1:3" x14ac:dyDescent="0.25">
      <c r="A12" s="7" t="s">
        <v>120</v>
      </c>
      <c r="B12" s="14">
        <v>3</v>
      </c>
      <c r="C12" s="7" t="s">
        <v>730</v>
      </c>
    </row>
    <row r="13" spans="1:3" x14ac:dyDescent="0.25">
      <c r="A13" s="7" t="s">
        <v>176</v>
      </c>
      <c r="B13" s="14">
        <v>3</v>
      </c>
      <c r="C13" s="7" t="s">
        <v>731</v>
      </c>
    </row>
    <row r="14" spans="1:3" x14ac:dyDescent="0.25">
      <c r="A14" s="7" t="s">
        <v>185</v>
      </c>
      <c r="B14" s="14">
        <v>2</v>
      </c>
      <c r="C14" s="7" t="s">
        <v>732</v>
      </c>
    </row>
    <row r="15" spans="1:3" x14ac:dyDescent="0.25">
      <c r="A15" s="7" t="s">
        <v>272</v>
      </c>
      <c r="B15" s="14">
        <v>1</v>
      </c>
      <c r="C15" s="7" t="s">
        <v>733</v>
      </c>
    </row>
    <row r="16" spans="1:3" x14ac:dyDescent="0.25">
      <c r="A16" s="7" t="s">
        <v>128</v>
      </c>
      <c r="B16" s="14">
        <v>1</v>
      </c>
      <c r="C16" s="7" t="s">
        <v>734</v>
      </c>
    </row>
    <row r="17" spans="1:3" x14ac:dyDescent="0.25">
      <c r="A17" s="7" t="s">
        <v>133</v>
      </c>
      <c r="B17" s="14">
        <v>1</v>
      </c>
      <c r="C17" s="7" t="s">
        <v>735</v>
      </c>
    </row>
    <row r="19" spans="1:3" ht="25.5" x14ac:dyDescent="0.25">
      <c r="A19" s="8" t="s">
        <v>736</v>
      </c>
    </row>
    <row r="20" spans="1:3" x14ac:dyDescent="0.25">
      <c r="A20" s="7" t="s">
        <v>122</v>
      </c>
      <c r="B20" s="14">
        <v>3</v>
      </c>
      <c r="C20" s="7" t="s">
        <v>737</v>
      </c>
    </row>
    <row r="21" spans="1:3" x14ac:dyDescent="0.25">
      <c r="A21" s="7" t="s">
        <v>129</v>
      </c>
      <c r="B21" s="14">
        <v>2</v>
      </c>
      <c r="C21" s="7" t="s">
        <v>738</v>
      </c>
    </row>
    <row r="22" spans="1:3" x14ac:dyDescent="0.25">
      <c r="A22" s="7" t="s">
        <v>289</v>
      </c>
      <c r="B22" s="14">
        <v>2</v>
      </c>
      <c r="C22" s="7" t="s">
        <v>739</v>
      </c>
    </row>
    <row r="24" spans="1:3" x14ac:dyDescent="0.25">
      <c r="A24" s="8" t="s">
        <v>740</v>
      </c>
    </row>
    <row r="25" spans="1:3" ht="140.25" x14ac:dyDescent="0.25">
      <c r="A25" s="7" t="s">
        <v>741</v>
      </c>
      <c r="B25" s="14" t="s">
        <v>742</v>
      </c>
    </row>
    <row r="26" spans="1:3" ht="89.25" x14ac:dyDescent="0.25">
      <c r="A26" s="7" t="s">
        <v>743</v>
      </c>
      <c r="B26" s="14" t="s">
        <v>744</v>
      </c>
    </row>
    <row r="27" spans="1:3" ht="63.75" x14ac:dyDescent="0.25">
      <c r="A27" s="7" t="s">
        <v>745</v>
      </c>
      <c r="B27" s="14" t="s">
        <v>746</v>
      </c>
    </row>
    <row r="28" spans="1:3" ht="102" x14ac:dyDescent="0.25">
      <c r="A28" s="7" t="s">
        <v>747</v>
      </c>
      <c r="B28" s="14" t="s">
        <v>748</v>
      </c>
    </row>
    <row r="29" spans="1:3" ht="127.5" x14ac:dyDescent="0.25">
      <c r="A29" s="7" t="s">
        <v>749</v>
      </c>
      <c r="B29" s="14" t="s">
        <v>750</v>
      </c>
    </row>
    <row r="32" spans="1:3" x14ac:dyDescent="0.25">
      <c r="A32" s="8" t="s">
        <v>751</v>
      </c>
      <c r="B32" s="14">
        <f>COUNTIF('Source Register'!J5:J200,"&gt;=8")</f>
        <v>76</v>
      </c>
    </row>
    <row r="33" spans="1:2" x14ac:dyDescent="0.25">
      <c r="A33" s="8" t="s">
        <v>752</v>
      </c>
      <c r="B33" s="14">
        <f>COUNTA('Source Register'!B5:B200)</f>
        <v>121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4B58-CE7B-42AB-A75E-DC0B975B9B9D}">
  <dimension ref="A1:I87"/>
  <sheetViews>
    <sheetView tabSelected="1" workbookViewId="0">
      <pane ySplit="4" topLeftCell="A5" activePane="bottomLeft" state="frozen"/>
      <selection pane="bottomLeft" activeCell="E13" sqref="E13"/>
    </sheetView>
  </sheetViews>
  <sheetFormatPr defaultRowHeight="15" x14ac:dyDescent="0.25"/>
  <cols>
    <col min="1" max="1" width="47.5703125" customWidth="1"/>
    <col min="2" max="5" width="19" customWidth="1"/>
    <col min="6" max="6" width="66.7109375" customWidth="1"/>
    <col min="7" max="7" width="27.5703125" customWidth="1"/>
    <col min="8" max="9" width="19" customWidth="1"/>
  </cols>
  <sheetData>
    <row r="1" spans="1:9" ht="21" x14ac:dyDescent="0.35">
      <c r="A1" s="30" t="s">
        <v>753</v>
      </c>
      <c r="B1" s="30"/>
      <c r="C1" s="30"/>
      <c r="D1" s="30"/>
      <c r="E1" s="30"/>
      <c r="F1" s="30"/>
      <c r="G1" s="30"/>
      <c r="H1" s="30"/>
      <c r="I1" s="30"/>
    </row>
    <row r="2" spans="1:9" x14ac:dyDescent="0.25">
      <c r="A2" s="31" t="s">
        <v>754</v>
      </c>
      <c r="B2" s="31"/>
      <c r="C2" s="31"/>
      <c r="D2" s="31"/>
      <c r="E2" s="31"/>
      <c r="F2" s="31"/>
      <c r="G2" s="31"/>
      <c r="H2" s="31"/>
      <c r="I2" s="31"/>
    </row>
    <row r="3" spans="1:9" ht="15.75" thickBot="1" x14ac:dyDescent="0.3"/>
    <row r="4" spans="1:9" ht="30" customHeight="1" x14ac:dyDescent="0.25">
      <c r="A4" s="16" t="s">
        <v>755</v>
      </c>
      <c r="B4" s="17" t="s">
        <v>141</v>
      </c>
      <c r="C4" s="17" t="s">
        <v>127</v>
      </c>
      <c r="D4" s="17" t="s">
        <v>150</v>
      </c>
      <c r="E4" s="17" t="s">
        <v>162</v>
      </c>
      <c r="F4" s="17" t="s">
        <v>756</v>
      </c>
      <c r="G4" s="17" t="s">
        <v>220</v>
      </c>
      <c r="H4" s="17" t="s">
        <v>358</v>
      </c>
      <c r="I4" s="18" t="s">
        <v>259</v>
      </c>
    </row>
    <row r="5" spans="1:9" ht="27.95" customHeight="1" x14ac:dyDescent="0.25">
      <c r="A5" s="19" t="s">
        <v>56</v>
      </c>
      <c r="B5" s="20">
        <v>6.5</v>
      </c>
      <c r="C5" s="20">
        <v>6.4</v>
      </c>
      <c r="D5" s="20">
        <v>6.6</v>
      </c>
      <c r="E5" s="20">
        <v>6.6</v>
      </c>
      <c r="F5" s="20">
        <v>6.8</v>
      </c>
      <c r="G5" s="20">
        <v>6.8</v>
      </c>
      <c r="H5" s="20">
        <v>6.8</v>
      </c>
      <c r="I5" s="21">
        <v>6.8</v>
      </c>
    </row>
    <row r="6" spans="1:9" ht="27.95" customHeight="1" x14ac:dyDescent="0.25">
      <c r="A6" s="19" t="s">
        <v>175</v>
      </c>
      <c r="B6" s="20">
        <v>7.9</v>
      </c>
      <c r="C6" s="20">
        <v>8</v>
      </c>
      <c r="D6" s="20">
        <v>9</v>
      </c>
      <c r="E6" s="20">
        <v>9</v>
      </c>
      <c r="F6" s="20">
        <v>8.5</v>
      </c>
      <c r="G6" s="20">
        <v>7.7</v>
      </c>
      <c r="H6" s="20">
        <v>9</v>
      </c>
      <c r="I6" s="21">
        <v>9</v>
      </c>
    </row>
    <row r="7" spans="1:9" ht="27.95" customHeight="1" x14ac:dyDescent="0.25">
      <c r="A7" s="19" t="s">
        <v>66</v>
      </c>
      <c r="B7" s="20">
        <v>7.9</v>
      </c>
      <c r="C7" s="20">
        <v>7.6</v>
      </c>
      <c r="D7" s="20">
        <v>7.6</v>
      </c>
      <c r="E7" s="20">
        <v>7.9</v>
      </c>
      <c r="F7" s="20">
        <v>7.9</v>
      </c>
      <c r="G7" s="20">
        <v>7.9</v>
      </c>
      <c r="H7" s="20">
        <v>7.9</v>
      </c>
      <c r="I7" s="21">
        <v>8.1999999999999993</v>
      </c>
    </row>
    <row r="8" spans="1:9" ht="27.95" customHeight="1" x14ac:dyDescent="0.25">
      <c r="A8" s="19" t="s">
        <v>71</v>
      </c>
      <c r="B8" s="20">
        <v>8.4</v>
      </c>
      <c r="C8" s="20">
        <v>8.4</v>
      </c>
      <c r="D8" s="20">
        <v>8.4</v>
      </c>
      <c r="E8" s="20">
        <v>8.4</v>
      </c>
      <c r="F8" s="20">
        <v>8.4</v>
      </c>
      <c r="G8" s="20">
        <v>8.4</v>
      </c>
      <c r="H8" s="20">
        <v>8.3000000000000007</v>
      </c>
      <c r="I8" s="21">
        <v>8.3000000000000007</v>
      </c>
    </row>
    <row r="9" spans="1:9" ht="27.95" customHeight="1" x14ac:dyDescent="0.25">
      <c r="A9" s="19" t="s">
        <v>76</v>
      </c>
      <c r="B9" s="20">
        <v>6</v>
      </c>
      <c r="C9" s="20">
        <v>6.2</v>
      </c>
      <c r="D9" s="20">
        <v>6</v>
      </c>
      <c r="E9" s="20">
        <v>6</v>
      </c>
      <c r="F9" s="20">
        <v>6</v>
      </c>
      <c r="G9" s="20">
        <v>6</v>
      </c>
      <c r="H9" s="20">
        <v>5.8</v>
      </c>
      <c r="I9" s="21">
        <v>6</v>
      </c>
    </row>
    <row r="10" spans="1:9" ht="27.95" customHeight="1" x14ac:dyDescent="0.25">
      <c r="A10" s="19" t="s">
        <v>81</v>
      </c>
      <c r="B10" s="20">
        <v>7.8</v>
      </c>
      <c r="C10" s="20">
        <v>7.7</v>
      </c>
      <c r="D10" s="20">
        <v>8</v>
      </c>
      <c r="E10" s="20">
        <v>8.1999999999999993</v>
      </c>
      <c r="F10" s="20">
        <v>8</v>
      </c>
      <c r="G10" s="20">
        <v>7.7</v>
      </c>
      <c r="H10" s="20">
        <v>7.7</v>
      </c>
      <c r="I10" s="21">
        <v>7.7</v>
      </c>
    </row>
    <row r="11" spans="1:9" ht="27.95" customHeight="1" x14ac:dyDescent="0.25">
      <c r="A11" s="19" t="s">
        <v>757</v>
      </c>
      <c r="B11" s="20">
        <v>7.7</v>
      </c>
      <c r="C11" s="20">
        <v>7.2</v>
      </c>
      <c r="D11" s="20">
        <v>8</v>
      </c>
      <c r="E11" s="20">
        <v>7.5</v>
      </c>
      <c r="F11" s="20">
        <v>7.5</v>
      </c>
      <c r="G11" s="20">
        <v>7.5</v>
      </c>
      <c r="H11" s="20">
        <v>7.8</v>
      </c>
      <c r="I11" s="21">
        <v>7.5</v>
      </c>
    </row>
    <row r="12" spans="1:9" ht="27.95" customHeight="1" x14ac:dyDescent="0.25">
      <c r="A12" s="19" t="s">
        <v>91</v>
      </c>
      <c r="B12" s="20">
        <v>7.8</v>
      </c>
      <c r="C12" s="20">
        <v>8</v>
      </c>
      <c r="D12" s="20">
        <v>8.1</v>
      </c>
      <c r="E12" s="20">
        <v>7.7</v>
      </c>
      <c r="F12" s="20">
        <v>7.4</v>
      </c>
      <c r="G12" s="20">
        <v>7.8</v>
      </c>
      <c r="H12" s="20">
        <v>7.8</v>
      </c>
      <c r="I12" s="21">
        <v>7.8</v>
      </c>
    </row>
    <row r="13" spans="1:9" ht="27.95" customHeight="1" x14ac:dyDescent="0.25">
      <c r="A13" s="19" t="s">
        <v>96</v>
      </c>
      <c r="B13" s="20">
        <v>8</v>
      </c>
      <c r="C13" s="20">
        <v>8</v>
      </c>
      <c r="D13" s="20">
        <v>8</v>
      </c>
      <c r="E13" s="20">
        <v>8</v>
      </c>
      <c r="F13" s="20">
        <v>8</v>
      </c>
      <c r="G13" s="20">
        <v>8</v>
      </c>
      <c r="H13" s="20">
        <v>7.7</v>
      </c>
      <c r="I13" s="21">
        <v>8.6</v>
      </c>
    </row>
    <row r="14" spans="1:9" ht="27.95" customHeight="1" thickBot="1" x14ac:dyDescent="0.3">
      <c r="A14" s="22" t="s">
        <v>101</v>
      </c>
      <c r="B14" s="23">
        <v>8.1999999999999993</v>
      </c>
      <c r="C14" s="23">
        <v>8</v>
      </c>
      <c r="D14" s="23">
        <v>8.5</v>
      </c>
      <c r="E14" s="23">
        <v>8</v>
      </c>
      <c r="F14" s="23">
        <v>7</v>
      </c>
      <c r="G14" s="23">
        <v>8</v>
      </c>
      <c r="H14" s="23">
        <v>8.3000000000000007</v>
      </c>
      <c r="I14" s="24">
        <v>0</v>
      </c>
    </row>
    <row r="16" spans="1:9" ht="18.75" x14ac:dyDescent="0.25">
      <c r="A16" s="32" t="s">
        <v>758</v>
      </c>
      <c r="B16" s="32"/>
      <c r="C16" s="32"/>
      <c r="D16" s="32"/>
      <c r="E16" s="32"/>
      <c r="F16" s="32"/>
      <c r="G16" s="32"/>
      <c r="H16" s="32"/>
      <c r="I16" s="32"/>
    </row>
    <row r="17" spans="1:9" x14ac:dyDescent="0.25">
      <c r="A17" s="33" t="s">
        <v>759</v>
      </c>
      <c r="B17" s="33"/>
      <c r="C17" s="33"/>
      <c r="D17" s="33"/>
      <c r="E17" s="33"/>
      <c r="F17" s="33"/>
      <c r="G17" s="33"/>
      <c r="H17" s="33"/>
      <c r="I17" s="33"/>
    </row>
    <row r="18" spans="1:9" ht="15.75" thickBot="1" x14ac:dyDescent="0.3"/>
    <row r="19" spans="1:9" ht="30" customHeight="1" x14ac:dyDescent="0.25">
      <c r="A19" s="16" t="s">
        <v>755</v>
      </c>
      <c r="B19" s="17" t="s">
        <v>141</v>
      </c>
      <c r="C19" s="17" t="s">
        <v>127</v>
      </c>
      <c r="D19" s="17" t="s">
        <v>150</v>
      </c>
      <c r="E19" s="17" t="s">
        <v>162</v>
      </c>
      <c r="F19" s="17" t="s">
        <v>756</v>
      </c>
      <c r="G19" s="17" t="s">
        <v>220</v>
      </c>
      <c r="H19" s="17" t="s">
        <v>358</v>
      </c>
      <c r="I19" s="18" t="s">
        <v>259</v>
      </c>
    </row>
    <row r="20" spans="1:9" ht="27.95" customHeight="1" x14ac:dyDescent="0.25">
      <c r="A20" s="19" t="s">
        <v>56</v>
      </c>
      <c r="B20" s="25">
        <v>6</v>
      </c>
      <c r="C20" s="25">
        <v>8</v>
      </c>
      <c r="D20" s="25">
        <v>5</v>
      </c>
      <c r="E20" s="25">
        <v>5</v>
      </c>
      <c r="F20" s="25">
        <v>4</v>
      </c>
      <c r="G20" s="25">
        <v>4</v>
      </c>
      <c r="H20" s="25">
        <v>4</v>
      </c>
      <c r="I20" s="26">
        <v>4</v>
      </c>
    </row>
    <row r="21" spans="1:9" ht="27.95" customHeight="1" x14ac:dyDescent="0.25">
      <c r="A21" s="19" t="s">
        <v>175</v>
      </c>
      <c r="B21" s="25">
        <v>8</v>
      </c>
      <c r="C21" s="25">
        <v>4</v>
      </c>
      <c r="D21" s="25">
        <v>2</v>
      </c>
      <c r="E21" s="25">
        <v>3</v>
      </c>
      <c r="F21" s="25">
        <v>2</v>
      </c>
      <c r="G21" s="25">
        <v>3</v>
      </c>
      <c r="H21" s="25">
        <v>1</v>
      </c>
      <c r="I21" s="26">
        <v>1</v>
      </c>
    </row>
    <row r="22" spans="1:9" ht="27.95" customHeight="1" x14ac:dyDescent="0.25">
      <c r="A22" s="19" t="s">
        <v>66</v>
      </c>
      <c r="B22" s="25">
        <v>7</v>
      </c>
      <c r="C22" s="25">
        <v>10</v>
      </c>
      <c r="D22" s="25">
        <v>8</v>
      </c>
      <c r="E22" s="25">
        <v>7</v>
      </c>
      <c r="F22" s="25">
        <v>7</v>
      </c>
      <c r="G22" s="25">
        <v>7</v>
      </c>
      <c r="H22" s="25">
        <v>7</v>
      </c>
      <c r="I22" s="26">
        <v>10</v>
      </c>
    </row>
    <row r="23" spans="1:9" ht="27.95" customHeight="1" x14ac:dyDescent="0.25">
      <c r="A23" s="19" t="s">
        <v>71</v>
      </c>
      <c r="B23" s="25">
        <v>7</v>
      </c>
      <c r="C23" s="25">
        <v>7</v>
      </c>
      <c r="D23" s="25">
        <v>7</v>
      </c>
      <c r="E23" s="25">
        <v>7</v>
      </c>
      <c r="F23" s="25">
        <v>7</v>
      </c>
      <c r="G23" s="25">
        <v>7</v>
      </c>
      <c r="H23" s="25">
        <v>6</v>
      </c>
      <c r="I23" s="26">
        <v>6</v>
      </c>
    </row>
    <row r="24" spans="1:9" ht="27.95" customHeight="1" x14ac:dyDescent="0.25">
      <c r="A24" s="19" t="s">
        <v>76</v>
      </c>
      <c r="B24" s="25">
        <v>4</v>
      </c>
      <c r="C24" s="25">
        <v>5</v>
      </c>
      <c r="D24" s="25">
        <v>5</v>
      </c>
      <c r="E24" s="25">
        <v>4</v>
      </c>
      <c r="F24" s="25">
        <v>4</v>
      </c>
      <c r="G24" s="25">
        <v>4</v>
      </c>
      <c r="H24" s="25">
        <v>5</v>
      </c>
      <c r="I24" s="26">
        <v>4</v>
      </c>
    </row>
    <row r="25" spans="1:9" ht="27.95" customHeight="1" x14ac:dyDescent="0.25">
      <c r="A25" s="19" t="s">
        <v>81</v>
      </c>
      <c r="B25" s="25">
        <v>4</v>
      </c>
      <c r="C25" s="25">
        <v>3</v>
      </c>
      <c r="D25" s="25">
        <v>4</v>
      </c>
      <c r="E25" s="25">
        <v>5</v>
      </c>
      <c r="F25" s="25">
        <v>4</v>
      </c>
      <c r="G25" s="25">
        <v>3</v>
      </c>
      <c r="H25" s="25">
        <v>3</v>
      </c>
      <c r="I25" s="26">
        <v>3</v>
      </c>
    </row>
    <row r="26" spans="1:9" ht="27.95" customHeight="1" x14ac:dyDescent="0.25">
      <c r="A26" s="19" t="s">
        <v>757</v>
      </c>
      <c r="B26" s="25">
        <v>3</v>
      </c>
      <c r="C26" s="25">
        <v>4</v>
      </c>
      <c r="D26" s="25">
        <v>4</v>
      </c>
      <c r="E26" s="25">
        <v>2</v>
      </c>
      <c r="F26" s="25">
        <v>2</v>
      </c>
      <c r="G26" s="25">
        <v>2</v>
      </c>
      <c r="H26" s="25">
        <v>4</v>
      </c>
      <c r="I26" s="26">
        <v>2</v>
      </c>
    </row>
    <row r="27" spans="1:9" ht="27.95" customHeight="1" x14ac:dyDescent="0.25">
      <c r="A27" s="19" t="s">
        <v>91</v>
      </c>
      <c r="B27" s="25">
        <v>8</v>
      </c>
      <c r="C27" s="25">
        <v>7</v>
      </c>
      <c r="D27" s="25">
        <v>9</v>
      </c>
      <c r="E27" s="25">
        <v>7</v>
      </c>
      <c r="F27" s="25">
        <v>7</v>
      </c>
      <c r="G27" s="25">
        <v>6</v>
      </c>
      <c r="H27" s="25">
        <v>6</v>
      </c>
      <c r="I27" s="26">
        <v>6</v>
      </c>
    </row>
    <row r="28" spans="1:9" ht="27.95" customHeight="1" x14ac:dyDescent="0.25">
      <c r="A28" s="19" t="s">
        <v>96</v>
      </c>
      <c r="B28" s="25">
        <v>1</v>
      </c>
      <c r="C28" s="25">
        <v>1</v>
      </c>
      <c r="D28" s="25">
        <v>1</v>
      </c>
      <c r="E28" s="25">
        <v>1</v>
      </c>
      <c r="F28" s="25">
        <v>1</v>
      </c>
      <c r="G28" s="25">
        <v>1</v>
      </c>
      <c r="H28" s="25">
        <v>6</v>
      </c>
      <c r="I28" s="26">
        <v>5</v>
      </c>
    </row>
    <row r="29" spans="1:9" ht="27.95" customHeight="1" thickBot="1" x14ac:dyDescent="0.3">
      <c r="A29" s="22" t="s">
        <v>101</v>
      </c>
      <c r="B29" s="27">
        <v>4</v>
      </c>
      <c r="C29" s="27">
        <v>2</v>
      </c>
      <c r="D29" s="27">
        <v>2</v>
      </c>
      <c r="E29" s="27">
        <v>1</v>
      </c>
      <c r="F29" s="27">
        <v>4</v>
      </c>
      <c r="G29" s="27">
        <v>2</v>
      </c>
      <c r="H29" s="27">
        <v>3</v>
      </c>
      <c r="I29" s="28">
        <v>0</v>
      </c>
    </row>
    <row r="31" spans="1:9" ht="19.5" thickBot="1" x14ac:dyDescent="0.3">
      <c r="A31" s="35" t="s">
        <v>760</v>
      </c>
      <c r="B31" s="35"/>
      <c r="C31" s="35"/>
      <c r="D31" s="35"/>
      <c r="E31" s="35"/>
      <c r="F31" s="35"/>
      <c r="G31" s="35"/>
      <c r="H31" s="35"/>
      <c r="I31" s="35"/>
    </row>
    <row r="33" spans="1:9" x14ac:dyDescent="0.25">
      <c r="A33" s="15" t="s">
        <v>761</v>
      </c>
      <c r="B33" s="34" t="s">
        <v>762</v>
      </c>
      <c r="C33" s="34"/>
      <c r="D33" s="34"/>
      <c r="E33" s="34"/>
      <c r="F33" s="34"/>
      <c r="G33" s="34"/>
      <c r="H33" s="34"/>
      <c r="I33" s="34"/>
    </row>
    <row r="34" spans="1:9" x14ac:dyDescent="0.25">
      <c r="A34" s="15" t="s">
        <v>763</v>
      </c>
      <c r="B34" s="34" t="s">
        <v>764</v>
      </c>
      <c r="C34" s="34"/>
      <c r="D34" s="34"/>
      <c r="E34" s="34"/>
      <c r="F34" s="34"/>
      <c r="G34" s="34"/>
      <c r="H34" s="34"/>
      <c r="I34" s="34"/>
    </row>
    <row r="35" spans="1:9" x14ac:dyDescent="0.25">
      <c r="A35" s="15" t="s">
        <v>765</v>
      </c>
      <c r="B35" s="34" t="s">
        <v>766</v>
      </c>
      <c r="C35" s="34"/>
      <c r="D35" s="34"/>
      <c r="E35" s="34"/>
      <c r="F35" s="34"/>
      <c r="G35" s="34"/>
      <c r="H35" s="34"/>
      <c r="I35" s="34"/>
    </row>
    <row r="36" spans="1:9" x14ac:dyDescent="0.25">
      <c r="A36" s="15" t="s">
        <v>767</v>
      </c>
      <c r="B36" s="34" t="s">
        <v>768</v>
      </c>
      <c r="C36" s="34"/>
      <c r="D36" s="34"/>
      <c r="E36" s="34"/>
      <c r="F36" s="34"/>
      <c r="G36" s="34"/>
      <c r="H36" s="34"/>
      <c r="I36" s="34"/>
    </row>
    <row r="37" spans="1:9" x14ac:dyDescent="0.25">
      <c r="A37" s="15" t="s">
        <v>769</v>
      </c>
      <c r="B37" s="34" t="s">
        <v>770</v>
      </c>
      <c r="C37" s="34"/>
      <c r="D37" s="34"/>
      <c r="E37" s="34"/>
      <c r="F37" s="34"/>
      <c r="G37" s="34"/>
      <c r="H37" s="34"/>
      <c r="I37" s="34"/>
    </row>
    <row r="39" spans="1:9" ht="15.75" x14ac:dyDescent="0.25">
      <c r="A39" s="29" t="s">
        <v>771</v>
      </c>
    </row>
    <row r="40" spans="1:9" x14ac:dyDescent="0.25">
      <c r="A40" s="15" t="s">
        <v>772</v>
      </c>
      <c r="B40" s="34" t="s">
        <v>773</v>
      </c>
      <c r="C40" s="34"/>
      <c r="D40" s="34"/>
      <c r="E40" s="34"/>
      <c r="F40" s="34"/>
      <c r="G40" s="34"/>
      <c r="H40" s="34"/>
      <c r="I40" s="34"/>
    </row>
    <row r="41" spans="1:9" x14ac:dyDescent="0.25">
      <c r="A41" s="15" t="s">
        <v>774</v>
      </c>
      <c r="B41" s="34" t="s">
        <v>775</v>
      </c>
      <c r="C41" s="34"/>
      <c r="D41" s="34"/>
      <c r="E41" s="34"/>
      <c r="F41" s="34"/>
      <c r="G41" s="34"/>
      <c r="H41" s="34"/>
      <c r="I41" s="34"/>
    </row>
    <row r="42" spans="1:9" x14ac:dyDescent="0.25">
      <c r="A42" s="15" t="s">
        <v>776</v>
      </c>
      <c r="B42" s="34" t="s">
        <v>777</v>
      </c>
      <c r="C42" s="34"/>
      <c r="D42" s="34"/>
      <c r="E42" s="34"/>
      <c r="F42" s="34"/>
      <c r="G42" s="34"/>
      <c r="H42" s="34"/>
      <c r="I42" s="34"/>
    </row>
    <row r="43" spans="1:9" x14ac:dyDescent="0.25">
      <c r="A43" s="15" t="s">
        <v>778</v>
      </c>
      <c r="B43" s="34" t="s">
        <v>779</v>
      </c>
      <c r="C43" s="34"/>
      <c r="D43" s="34"/>
      <c r="E43" s="34"/>
      <c r="F43" s="34"/>
      <c r="G43" s="34"/>
      <c r="H43" s="34"/>
      <c r="I43" s="34"/>
    </row>
    <row r="45" spans="1:9" ht="21" x14ac:dyDescent="0.35">
      <c r="A45" s="36" t="s">
        <v>780</v>
      </c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7" t="s">
        <v>781</v>
      </c>
      <c r="B46" s="37"/>
      <c r="C46" s="37"/>
      <c r="D46" s="37"/>
      <c r="E46" s="37"/>
      <c r="F46" s="37"/>
      <c r="G46" s="37"/>
      <c r="H46" s="37"/>
      <c r="I46" s="37"/>
    </row>
    <row r="48" spans="1:9" ht="17.25" x14ac:dyDescent="0.3">
      <c r="A48" s="38" t="s">
        <v>782</v>
      </c>
      <c r="B48" s="38"/>
      <c r="C48" s="38"/>
      <c r="D48" s="38"/>
      <c r="E48" s="38"/>
      <c r="F48" s="38"/>
      <c r="G48" s="38"/>
      <c r="H48" s="38"/>
      <c r="I48" s="38"/>
    </row>
    <row r="49" spans="1:9" x14ac:dyDescent="0.25">
      <c r="A49" s="31" t="s">
        <v>783</v>
      </c>
      <c r="B49" s="31"/>
      <c r="C49" s="31"/>
      <c r="D49" s="31"/>
      <c r="E49" s="31"/>
      <c r="F49" s="31"/>
      <c r="G49" s="31"/>
      <c r="H49" s="31"/>
      <c r="I49" s="31"/>
    </row>
    <row r="50" spans="1:9" ht="15.75" thickBot="1" x14ac:dyDescent="0.3"/>
    <row r="51" spans="1:9" x14ac:dyDescent="0.25">
      <c r="A51" s="16" t="s">
        <v>584</v>
      </c>
      <c r="B51" s="17" t="s">
        <v>784</v>
      </c>
      <c r="C51" s="17" t="s">
        <v>785</v>
      </c>
      <c r="D51" s="17" t="s">
        <v>786</v>
      </c>
      <c r="E51" s="17" t="s">
        <v>787</v>
      </c>
      <c r="F51" s="17" t="s">
        <v>788</v>
      </c>
      <c r="G51" s="18" t="s">
        <v>789</v>
      </c>
    </row>
    <row r="52" spans="1:9" ht="24.95" customHeight="1" x14ac:dyDescent="0.25">
      <c r="A52" s="19" t="s">
        <v>141</v>
      </c>
      <c r="B52" s="20">
        <f>AVERAGE(B5:B14)</f>
        <v>7.62</v>
      </c>
      <c r="C52" s="25">
        <f>SUM(B20:B29)</f>
        <v>52</v>
      </c>
      <c r="D52" s="25">
        <f>COUNTIF(B5:B14,"&gt;="&amp;8)</f>
        <v>3</v>
      </c>
      <c r="E52" s="41">
        <f>ROUND(B52*C52,0)</f>
        <v>396</v>
      </c>
      <c r="F52" s="25">
        <f>RANK(E52,E$52:E$59)</f>
        <v>1</v>
      </c>
      <c r="G52" s="42" t="str">
        <f>IF(F52&lt;=2,"⭐ PRIMARY TARGET",IF(F52&lt;=4,"🟢 HIGH PRIORITY",IF(F52&lt;=6,"🟡 SECONDARY","⚪ MONITOR")))</f>
        <v>⭐ PRIMARY TARGET</v>
      </c>
    </row>
    <row r="53" spans="1:9" ht="24.95" customHeight="1" x14ac:dyDescent="0.25">
      <c r="A53" s="19" t="s">
        <v>127</v>
      </c>
      <c r="B53" s="20">
        <f t="shared" ref="B53:B59" si="0">AVERAGE(B6:B15)</f>
        <v>7.7444444444444445</v>
      </c>
      <c r="C53" s="25">
        <f t="shared" ref="C53:C59" si="1">SUM(B21:B30)</f>
        <v>46</v>
      </c>
      <c r="D53" s="25">
        <f t="shared" ref="D53:D59" si="2">COUNTIF(B6:B15,"&gt;="&amp;8)</f>
        <v>3</v>
      </c>
      <c r="E53" s="41">
        <f t="shared" ref="E53:E59" si="3">ROUND(B53*C53,0)</f>
        <v>356</v>
      </c>
      <c r="F53" s="25">
        <f t="shared" ref="F53:F59" si="4">RANK(E53,E$52:E$59)</f>
        <v>2</v>
      </c>
      <c r="G53" s="42" t="str">
        <f t="shared" ref="G53:G59" si="5">IF(F53&lt;=2,"⭐ PRIMARY TARGET",IF(F53&lt;=4,"🟢 HIGH PRIORITY",IF(F53&lt;=6,"🟡 SECONDARY","⚪ MONITOR")))</f>
        <v>⭐ PRIMARY TARGET</v>
      </c>
    </row>
    <row r="54" spans="1:9" ht="24.95" customHeight="1" x14ac:dyDescent="0.25">
      <c r="A54" s="19" t="s">
        <v>150</v>
      </c>
      <c r="B54" s="20">
        <f t="shared" si="0"/>
        <v>7.7249999999999996</v>
      </c>
      <c r="C54" s="25">
        <f t="shared" si="1"/>
        <v>38</v>
      </c>
      <c r="D54" s="25">
        <f t="shared" si="2"/>
        <v>3</v>
      </c>
      <c r="E54" s="41">
        <f t="shared" si="3"/>
        <v>294</v>
      </c>
      <c r="F54" s="25">
        <f t="shared" si="4"/>
        <v>3</v>
      </c>
      <c r="G54" s="42" t="str">
        <f t="shared" si="5"/>
        <v>🟢 HIGH PRIORITY</v>
      </c>
    </row>
    <row r="55" spans="1:9" ht="24.95" customHeight="1" x14ac:dyDescent="0.25">
      <c r="A55" s="19" t="s">
        <v>162</v>
      </c>
      <c r="B55" s="20">
        <f t="shared" si="0"/>
        <v>7.6999999999999984</v>
      </c>
      <c r="C55" s="25">
        <f t="shared" si="1"/>
        <v>31</v>
      </c>
      <c r="D55" s="25">
        <f t="shared" si="2"/>
        <v>3</v>
      </c>
      <c r="E55" s="41">
        <f t="shared" si="3"/>
        <v>239</v>
      </c>
      <c r="F55" s="25">
        <f t="shared" si="4"/>
        <v>4</v>
      </c>
      <c r="G55" s="42" t="str">
        <f t="shared" si="5"/>
        <v>🟢 HIGH PRIORITY</v>
      </c>
    </row>
    <row r="56" spans="1:9" ht="24.95" customHeight="1" x14ac:dyDescent="0.25">
      <c r="A56" s="19" t="s">
        <v>756</v>
      </c>
      <c r="B56" s="20">
        <f t="shared" si="0"/>
        <v>7.583333333333333</v>
      </c>
      <c r="C56" s="25">
        <f t="shared" si="1"/>
        <v>24</v>
      </c>
      <c r="D56" s="25">
        <f t="shared" si="2"/>
        <v>2</v>
      </c>
      <c r="E56" s="41">
        <f t="shared" si="3"/>
        <v>182</v>
      </c>
      <c r="F56" s="25">
        <f t="shared" si="4"/>
        <v>5</v>
      </c>
      <c r="G56" s="42" t="str">
        <f t="shared" si="5"/>
        <v>🟡 SECONDARY</v>
      </c>
    </row>
    <row r="57" spans="1:9" ht="24.95" customHeight="1" x14ac:dyDescent="0.25">
      <c r="A57" s="19" t="s">
        <v>220</v>
      </c>
      <c r="B57" s="20">
        <f t="shared" si="0"/>
        <v>7.9</v>
      </c>
      <c r="C57" s="25">
        <f t="shared" si="1"/>
        <v>20</v>
      </c>
      <c r="D57" s="25">
        <f t="shared" si="2"/>
        <v>2</v>
      </c>
      <c r="E57" s="41">
        <f t="shared" si="3"/>
        <v>158</v>
      </c>
      <c r="F57" s="25">
        <f t="shared" si="4"/>
        <v>6</v>
      </c>
      <c r="G57" s="42" t="str">
        <f t="shared" si="5"/>
        <v>🟡 SECONDARY</v>
      </c>
    </row>
    <row r="58" spans="1:9" ht="24.95" customHeight="1" x14ac:dyDescent="0.25">
      <c r="A58" s="19" t="s">
        <v>358</v>
      </c>
      <c r="B58" s="20">
        <f t="shared" si="0"/>
        <v>7.5400000000000009</v>
      </c>
      <c r="C58" s="25">
        <f t="shared" si="1"/>
        <v>16</v>
      </c>
      <c r="D58" s="25">
        <f t="shared" si="2"/>
        <v>2</v>
      </c>
      <c r="E58" s="41">
        <f t="shared" si="3"/>
        <v>121</v>
      </c>
      <c r="F58" s="25">
        <f t="shared" si="4"/>
        <v>7</v>
      </c>
      <c r="G58" s="42" t="str">
        <f t="shared" si="5"/>
        <v>⚪ MONITOR</v>
      </c>
    </row>
    <row r="59" spans="1:9" ht="24.95" customHeight="1" thickBot="1" x14ac:dyDescent="0.3">
      <c r="A59" s="22" t="s">
        <v>259</v>
      </c>
      <c r="B59" s="23">
        <f t="shared" si="0"/>
        <v>7.6</v>
      </c>
      <c r="C59" s="27">
        <f t="shared" si="1"/>
        <v>13</v>
      </c>
      <c r="D59" s="27">
        <f t="shared" si="2"/>
        <v>3</v>
      </c>
      <c r="E59" s="43">
        <f t="shared" si="3"/>
        <v>99</v>
      </c>
      <c r="F59" s="27">
        <f t="shared" si="4"/>
        <v>8</v>
      </c>
      <c r="G59" s="44" t="str">
        <f t="shared" si="5"/>
        <v>⚪ MONITOR</v>
      </c>
    </row>
    <row r="61" spans="1:9" ht="17.25" x14ac:dyDescent="0.3">
      <c r="A61" s="39" t="s">
        <v>790</v>
      </c>
      <c r="B61" s="39"/>
      <c r="C61" s="39"/>
      <c r="D61" s="39"/>
      <c r="E61" s="39"/>
      <c r="F61" s="39"/>
      <c r="G61" s="39"/>
      <c r="H61" s="39"/>
      <c r="I61" s="39"/>
    </row>
    <row r="62" spans="1:9" x14ac:dyDescent="0.25">
      <c r="A62" s="40" t="s">
        <v>791</v>
      </c>
      <c r="B62" s="40"/>
      <c r="C62" s="40"/>
      <c r="D62" s="40"/>
      <c r="E62" s="40"/>
      <c r="F62" s="40"/>
      <c r="G62" s="40"/>
      <c r="H62" s="40"/>
      <c r="I62" s="40"/>
    </row>
    <row r="63" spans="1:9" ht="15.75" thickBot="1" x14ac:dyDescent="0.3"/>
    <row r="64" spans="1:9" x14ac:dyDescent="0.25">
      <c r="A64" s="16" t="s">
        <v>792</v>
      </c>
      <c r="B64" s="17" t="s">
        <v>51</v>
      </c>
      <c r="C64" s="17" t="s">
        <v>793</v>
      </c>
      <c r="D64" s="17" t="s">
        <v>794</v>
      </c>
      <c r="E64" s="17" t="s">
        <v>795</v>
      </c>
      <c r="F64" s="45" t="s">
        <v>796</v>
      </c>
      <c r="G64" s="45"/>
      <c r="H64" s="45"/>
      <c r="I64" s="46"/>
    </row>
    <row r="65" spans="1:9" ht="45" customHeight="1" x14ac:dyDescent="0.25">
      <c r="A65" s="47" t="s">
        <v>797</v>
      </c>
      <c r="B65" s="48" t="s">
        <v>71</v>
      </c>
      <c r="C65" s="49">
        <f>AVERAGE(B8:I8)</f>
        <v>8.375</v>
      </c>
      <c r="D65" s="49">
        <f>AVERAGE(B23:I23)</f>
        <v>6.75</v>
      </c>
      <c r="E65" s="50" t="s">
        <v>798</v>
      </c>
      <c r="F65" s="70" t="s">
        <v>799</v>
      </c>
      <c r="G65" s="70"/>
      <c r="H65" s="70"/>
      <c r="I65" s="71"/>
    </row>
    <row r="66" spans="1:9" ht="45" customHeight="1" x14ac:dyDescent="0.25">
      <c r="A66" s="47" t="s">
        <v>797</v>
      </c>
      <c r="B66" s="48" t="s">
        <v>175</v>
      </c>
      <c r="C66" s="49">
        <f>AVERAGE(B6:I6)</f>
        <v>8.5124999999999993</v>
      </c>
      <c r="D66" s="49">
        <f>AVERAGE(B21:I21)</f>
        <v>3</v>
      </c>
      <c r="E66" s="50" t="s">
        <v>798</v>
      </c>
      <c r="F66" s="70" t="s">
        <v>800</v>
      </c>
      <c r="G66" s="70"/>
      <c r="H66" s="70"/>
      <c r="I66" s="71"/>
    </row>
    <row r="67" spans="1:9" ht="45" customHeight="1" x14ac:dyDescent="0.25">
      <c r="A67" s="47" t="s">
        <v>797</v>
      </c>
      <c r="B67" s="48" t="s">
        <v>66</v>
      </c>
      <c r="C67" s="49">
        <f>AVERAGE(B7:I7)</f>
        <v>7.8624999999999989</v>
      </c>
      <c r="D67" s="49">
        <f>AVERAGE(B22:I22)</f>
        <v>7.875</v>
      </c>
      <c r="E67" s="50" t="s">
        <v>798</v>
      </c>
      <c r="F67" s="70" t="s">
        <v>801</v>
      </c>
      <c r="G67" s="70"/>
      <c r="H67" s="70"/>
      <c r="I67" s="71"/>
    </row>
    <row r="68" spans="1:9" ht="45" customHeight="1" x14ac:dyDescent="0.25">
      <c r="A68" s="51" t="s">
        <v>802</v>
      </c>
      <c r="B68" s="52" t="s">
        <v>101</v>
      </c>
      <c r="C68" s="53">
        <f>AVERAGE(B14:I14)</f>
        <v>7</v>
      </c>
      <c r="D68" s="53">
        <f>AVERAGE(B29:I29)</f>
        <v>2.25</v>
      </c>
      <c r="E68" s="54" t="s">
        <v>803</v>
      </c>
      <c r="F68" s="72" t="s">
        <v>804</v>
      </c>
      <c r="G68" s="72"/>
      <c r="H68" s="72"/>
      <c r="I68" s="73"/>
    </row>
    <row r="69" spans="1:9" ht="45" customHeight="1" x14ac:dyDescent="0.25">
      <c r="A69" s="51" t="s">
        <v>802</v>
      </c>
      <c r="B69" s="52" t="s">
        <v>81</v>
      </c>
      <c r="C69" s="53">
        <f>AVERAGE(B10:I10)</f>
        <v>7.8500000000000014</v>
      </c>
      <c r="D69" s="53">
        <f>AVERAGE(B25:I25)</f>
        <v>3.625</v>
      </c>
      <c r="E69" s="54" t="s">
        <v>805</v>
      </c>
      <c r="F69" s="72" t="s">
        <v>806</v>
      </c>
      <c r="G69" s="72"/>
      <c r="H69" s="72"/>
      <c r="I69" s="73"/>
    </row>
    <row r="70" spans="1:9" ht="45" customHeight="1" x14ac:dyDescent="0.25">
      <c r="A70" s="51" t="s">
        <v>802</v>
      </c>
      <c r="B70" s="52" t="s">
        <v>91</v>
      </c>
      <c r="C70" s="53">
        <f>AVERAGE(B12:I12)</f>
        <v>7.7999999999999989</v>
      </c>
      <c r="D70" s="53">
        <f>AVERAGE(B27:I27)</f>
        <v>7</v>
      </c>
      <c r="E70" s="54" t="s">
        <v>807</v>
      </c>
      <c r="F70" s="72" t="s">
        <v>808</v>
      </c>
      <c r="G70" s="72"/>
      <c r="H70" s="72"/>
      <c r="I70" s="73"/>
    </row>
    <row r="71" spans="1:9" ht="45" customHeight="1" x14ac:dyDescent="0.25">
      <c r="A71" s="55" t="s">
        <v>809</v>
      </c>
      <c r="B71" s="56" t="s">
        <v>96</v>
      </c>
      <c r="C71" s="57">
        <f>AVERAGE(B13:I13)</f>
        <v>8.0374999999999996</v>
      </c>
      <c r="D71" s="57">
        <f>AVERAGE(B28:I28)</f>
        <v>2.125</v>
      </c>
      <c r="E71" s="58" t="s">
        <v>810</v>
      </c>
      <c r="F71" s="74" t="s">
        <v>811</v>
      </c>
      <c r="G71" s="74"/>
      <c r="H71" s="74"/>
      <c r="I71" s="75"/>
    </row>
    <row r="72" spans="1:9" ht="45" customHeight="1" x14ac:dyDescent="0.25">
      <c r="A72" s="55" t="s">
        <v>809</v>
      </c>
      <c r="B72" s="56" t="s">
        <v>757</v>
      </c>
      <c r="C72" s="57">
        <f>AVERAGE(B11:I11)</f>
        <v>7.5874999999999995</v>
      </c>
      <c r="D72" s="57">
        <f>AVERAGE(B26:I26)</f>
        <v>2.875</v>
      </c>
      <c r="E72" s="58" t="s">
        <v>812</v>
      </c>
      <c r="F72" s="74" t="s">
        <v>813</v>
      </c>
      <c r="G72" s="74"/>
      <c r="H72" s="74"/>
      <c r="I72" s="75"/>
    </row>
    <row r="73" spans="1:9" ht="45" customHeight="1" x14ac:dyDescent="0.25">
      <c r="A73" s="59" t="s">
        <v>814</v>
      </c>
      <c r="B73" s="60" t="s">
        <v>56</v>
      </c>
      <c r="C73" s="61">
        <f>AVERAGE(B5:I5)</f>
        <v>6.6624999999999988</v>
      </c>
      <c r="D73" s="61">
        <f>AVERAGE(B20:I20)</f>
        <v>5</v>
      </c>
      <c r="E73" s="62" t="s">
        <v>815</v>
      </c>
      <c r="F73" s="76" t="s">
        <v>816</v>
      </c>
      <c r="G73" s="76"/>
      <c r="H73" s="76"/>
      <c r="I73" s="77"/>
    </row>
    <row r="74" spans="1:9" ht="45" customHeight="1" thickBot="1" x14ac:dyDescent="0.3">
      <c r="A74" s="63" t="s">
        <v>814</v>
      </c>
      <c r="B74" s="64" t="s">
        <v>76</v>
      </c>
      <c r="C74" s="65">
        <f>AVERAGE(B9:I9)</f>
        <v>6</v>
      </c>
      <c r="D74" s="65">
        <f>AVERAGE(B24:I24)</f>
        <v>4.375</v>
      </c>
      <c r="E74" s="66" t="s">
        <v>817</v>
      </c>
      <c r="F74" s="78" t="s">
        <v>818</v>
      </c>
      <c r="G74" s="78"/>
      <c r="H74" s="78"/>
      <c r="I74" s="79"/>
    </row>
    <row r="76" spans="1:9" ht="17.25" x14ac:dyDescent="0.3">
      <c r="A76" s="38" t="s">
        <v>819</v>
      </c>
      <c r="B76" s="38"/>
      <c r="C76" s="38"/>
      <c r="D76" s="38"/>
      <c r="E76" s="38"/>
      <c r="F76" s="38"/>
      <c r="G76" s="38"/>
      <c r="H76" s="38"/>
      <c r="I76" s="38"/>
    </row>
    <row r="77" spans="1:9" x14ac:dyDescent="0.25">
      <c r="A77" s="31" t="s">
        <v>820</v>
      </c>
      <c r="B77" s="31"/>
      <c r="C77" s="31"/>
      <c r="D77" s="31"/>
      <c r="E77" s="31"/>
      <c r="F77" s="31"/>
      <c r="G77" s="31"/>
      <c r="H77" s="31"/>
      <c r="I77" s="31"/>
    </row>
    <row r="78" spans="1:9" ht="15.75" thickBot="1" x14ac:dyDescent="0.3"/>
    <row r="79" spans="1:9" x14ac:dyDescent="0.25">
      <c r="A79" s="16" t="s">
        <v>584</v>
      </c>
      <c r="B79" s="17" t="s">
        <v>821</v>
      </c>
      <c r="C79" s="45" t="s">
        <v>822</v>
      </c>
      <c r="D79" s="45"/>
      <c r="E79" s="45" t="s">
        <v>823</v>
      </c>
      <c r="F79" s="45"/>
      <c r="G79" s="45"/>
      <c r="H79" s="45"/>
      <c r="I79" s="46"/>
    </row>
    <row r="80" spans="1:9" ht="54.95" customHeight="1" x14ac:dyDescent="0.25">
      <c r="A80" s="67" t="s">
        <v>824</v>
      </c>
      <c r="B80" s="80" t="s">
        <v>825</v>
      </c>
      <c r="C80" s="70" t="s">
        <v>826</v>
      </c>
      <c r="D80" s="70"/>
      <c r="E80" s="70" t="s">
        <v>827</v>
      </c>
      <c r="F80" s="70"/>
      <c r="G80" s="70"/>
      <c r="H80" s="70"/>
      <c r="I80" s="71"/>
    </row>
    <row r="81" spans="1:9" ht="54.95" customHeight="1" x14ac:dyDescent="0.25">
      <c r="A81" s="67" t="s">
        <v>828</v>
      </c>
      <c r="B81" s="80" t="s">
        <v>829</v>
      </c>
      <c r="C81" s="70" t="s">
        <v>830</v>
      </c>
      <c r="D81" s="70"/>
      <c r="E81" s="70" t="s">
        <v>831</v>
      </c>
      <c r="F81" s="70"/>
      <c r="G81" s="70"/>
      <c r="H81" s="70"/>
      <c r="I81" s="71"/>
    </row>
    <row r="82" spans="1:9" ht="54.95" customHeight="1" x14ac:dyDescent="0.25">
      <c r="A82" s="68" t="s">
        <v>832</v>
      </c>
      <c r="B82" s="81" t="s">
        <v>833</v>
      </c>
      <c r="C82" s="72" t="s">
        <v>834</v>
      </c>
      <c r="D82" s="72"/>
      <c r="E82" s="72" t="s">
        <v>835</v>
      </c>
      <c r="F82" s="72"/>
      <c r="G82" s="72"/>
      <c r="H82" s="72"/>
      <c r="I82" s="73"/>
    </row>
    <row r="83" spans="1:9" ht="54.95" customHeight="1" x14ac:dyDescent="0.25">
      <c r="A83" s="68" t="s">
        <v>836</v>
      </c>
      <c r="B83" s="81" t="s">
        <v>837</v>
      </c>
      <c r="C83" s="72" t="s">
        <v>838</v>
      </c>
      <c r="D83" s="72"/>
      <c r="E83" s="72" t="s">
        <v>839</v>
      </c>
      <c r="F83" s="72"/>
      <c r="G83" s="72"/>
      <c r="H83" s="72"/>
      <c r="I83" s="73"/>
    </row>
    <row r="84" spans="1:9" ht="54.95" customHeight="1" x14ac:dyDescent="0.25">
      <c r="A84" s="69" t="s">
        <v>840</v>
      </c>
      <c r="B84" s="82" t="s">
        <v>841</v>
      </c>
      <c r="C84" s="74" t="s">
        <v>842</v>
      </c>
      <c r="D84" s="74"/>
      <c r="E84" s="74" t="s">
        <v>843</v>
      </c>
      <c r="F84" s="74"/>
      <c r="G84" s="74"/>
      <c r="H84" s="74"/>
      <c r="I84" s="75"/>
    </row>
    <row r="85" spans="1:9" ht="54.95" customHeight="1" x14ac:dyDescent="0.25">
      <c r="A85" s="69" t="s">
        <v>844</v>
      </c>
      <c r="B85" s="82" t="s">
        <v>845</v>
      </c>
      <c r="C85" s="74" t="s">
        <v>846</v>
      </c>
      <c r="D85" s="74"/>
      <c r="E85" s="74" t="s">
        <v>847</v>
      </c>
      <c r="F85" s="74"/>
      <c r="G85" s="74"/>
      <c r="H85" s="74"/>
      <c r="I85" s="75"/>
    </row>
    <row r="86" spans="1:9" ht="54.95" customHeight="1" x14ac:dyDescent="0.25">
      <c r="A86" s="19" t="s">
        <v>848</v>
      </c>
      <c r="B86" s="83" t="s">
        <v>849</v>
      </c>
      <c r="C86" s="76" t="s">
        <v>850</v>
      </c>
      <c r="D86" s="76"/>
      <c r="E86" s="76" t="s">
        <v>851</v>
      </c>
      <c r="F86" s="76"/>
      <c r="G86" s="76"/>
      <c r="H86" s="76"/>
      <c r="I86" s="77"/>
    </row>
    <row r="87" spans="1:9" ht="54.95" customHeight="1" thickBot="1" x14ac:dyDescent="0.3">
      <c r="A87" s="22" t="s">
        <v>852</v>
      </c>
      <c r="B87" s="84" t="s">
        <v>853</v>
      </c>
      <c r="C87" s="78" t="s">
        <v>854</v>
      </c>
      <c r="D87" s="78"/>
      <c r="E87" s="78" t="s">
        <v>855</v>
      </c>
      <c r="F87" s="78"/>
      <c r="G87" s="78"/>
      <c r="H87" s="78"/>
      <c r="I87" s="79"/>
    </row>
  </sheetData>
  <mergeCells count="51">
    <mergeCell ref="C86:D86"/>
    <mergeCell ref="E86:I86"/>
    <mergeCell ref="C87:D87"/>
    <mergeCell ref="E87:I87"/>
    <mergeCell ref="C83:D83"/>
    <mergeCell ref="E83:I83"/>
    <mergeCell ref="C84:D84"/>
    <mergeCell ref="E84:I84"/>
    <mergeCell ref="C85:D85"/>
    <mergeCell ref="E85:I85"/>
    <mergeCell ref="C80:D80"/>
    <mergeCell ref="E80:I80"/>
    <mergeCell ref="C81:D81"/>
    <mergeCell ref="E81:I81"/>
    <mergeCell ref="C82:D82"/>
    <mergeCell ref="E82:I82"/>
    <mergeCell ref="F70:I70"/>
    <mergeCell ref="F71:I71"/>
    <mergeCell ref="F72:I72"/>
    <mergeCell ref="F73:I73"/>
    <mergeCell ref="F74:I74"/>
    <mergeCell ref="C79:D79"/>
    <mergeCell ref="E79:I79"/>
    <mergeCell ref="A61:I61"/>
    <mergeCell ref="A62:I62"/>
    <mergeCell ref="A76:I76"/>
    <mergeCell ref="A77:I77"/>
    <mergeCell ref="F64:I64"/>
    <mergeCell ref="F65:I65"/>
    <mergeCell ref="F66:I66"/>
    <mergeCell ref="F67:I67"/>
    <mergeCell ref="F68:I68"/>
    <mergeCell ref="F69:I69"/>
    <mergeCell ref="B42:I42"/>
    <mergeCell ref="B43:I43"/>
    <mergeCell ref="A45:I45"/>
    <mergeCell ref="A46:I46"/>
    <mergeCell ref="A48:I48"/>
    <mergeCell ref="A49:I49"/>
    <mergeCell ref="B34:I34"/>
    <mergeCell ref="B35:I35"/>
    <mergeCell ref="B36:I36"/>
    <mergeCell ref="B37:I37"/>
    <mergeCell ref="B40:I40"/>
    <mergeCell ref="B41:I41"/>
    <mergeCell ref="A1:I1"/>
    <mergeCell ref="A2:I2"/>
    <mergeCell ref="A16:I16"/>
    <mergeCell ref="A17:I17"/>
    <mergeCell ref="A31:I31"/>
    <mergeCell ref="B33:I33"/>
  </mergeCells>
  <conditionalFormatting sqref="B5:I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:I29">
    <cfRule type="colorScale" priority="2">
      <colorScale>
        <cfvo type="min"/>
        <cfvo type="percentile" val="50"/>
        <cfvo type="max"/>
        <color rgb="FFFCE4D6"/>
        <color rgb="FFF4B084"/>
        <color rgb="FFC65911"/>
      </colorScale>
    </cfRule>
  </conditionalFormatting>
  <conditionalFormatting sqref="E52:E59">
    <cfRule type="dataBar" priority="3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{0E4B0EB4-001B-48C9-98CC-3A0332B5D38E}</x14:id>
        </ext>
      </extLst>
    </cfRule>
  </conditionalFormatting>
  <conditionalFormatting sqref="G52:G59">
    <cfRule type="expression" dxfId="3" priority="4">
      <formula>ISNUMBER(SEARCH("PRIMARY",G52))</formula>
    </cfRule>
  </conditionalFormatting>
  <conditionalFormatting sqref="G52:G59">
    <cfRule type="expression" dxfId="2" priority="5">
      <formula>ISNUMBER(SEARCH("HIGH",G52))</formula>
    </cfRule>
  </conditionalFormatting>
  <conditionalFormatting sqref="G52:G59">
    <cfRule type="expression" dxfId="1" priority="6">
      <formula>ISNUMBER(SEARCH("SECONDARY",G52))</formula>
    </cfRule>
  </conditionalFormatting>
  <conditionalFormatting sqref="G52:G59">
    <cfRule type="expression" dxfId="0" priority="7">
      <formula>ISNUMBER(SEARCH("MONITOR",G52))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4B0EB4-001B-48C9-98CC-3A0332B5D38E}">
            <x14:dataBar minLength="0" maxLength="100" border="1" direction="leftToRight" negativeBarColorSameAsPositive="1" axisPosition="none">
              <x14:cfvo type="min"/>
              <x14:cfvo type="max"/>
              <x14:borderColor rgb="FF4472C4"/>
            </x14:dataBar>
          </x14:cfRule>
          <xm:sqref>E52:E59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Category Overview</vt:lpstr>
      <vt:lpstr>Source Register</vt:lpstr>
      <vt:lpstr>Sector Hotspots</vt:lpstr>
      <vt:lpstr>Content Pipeline</vt:lpstr>
      <vt:lpstr>Competitor Landscape</vt:lpstr>
      <vt:lpstr>Scoring Model</vt:lpstr>
      <vt:lpstr>Heat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Paul Fenton</cp:lastModifiedBy>
  <cp:revision>0</cp:revision>
  <dcterms:created xsi:type="dcterms:W3CDTF">2026-04-17T19:04:21Z</dcterms:created>
  <dcterms:modified xsi:type="dcterms:W3CDTF">2026-04-17T19:52:51Z</dcterms:modified>
  <dc:language>en-US</dc:language>
</cp:coreProperties>
</file>
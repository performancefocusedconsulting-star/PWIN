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My Drive\Bid Equity\Product\Qualify\"/>
    </mc:Choice>
  </mc:AlternateContent>
  <xr:revisionPtr revIDLastSave="0" documentId="8_{64D7459A-6BA1-49A4-8077-EBF7CE7DE9E4}" xr6:coauthVersionLast="47" xr6:coauthVersionMax="47" xr10:uidLastSave="{00000000-0000-0000-0000-000000000000}"/>
  <bookViews>
    <workbookView xWindow="-110" yWindow="-110" windowWidth="19420" windowHeight="10300" firstSheet="8" activeTab="11" xr2:uid="{00000000-000D-0000-FFFF-FFFF00000000}"/>
  </bookViews>
  <sheets>
    <sheet name="Lookups" sheetId="1" state="hidden" r:id="rId1"/>
    <sheet name="Benchmark_Scenarios" sheetId="2" r:id="rId2"/>
    <sheet name="AI_Benchmark_Guide" sheetId="3" r:id="rId3"/>
    <sheet name="Archetype_Weights" sheetId="4" r:id="rId4"/>
    <sheet name="Context_Action_Guide" sheetId="5" r:id="rId5"/>
    <sheet name="Archetype_Criticality" sheetId="6" r:id="rId6"/>
    <sheet name="Overview" sheetId="7" r:id="rId7"/>
    <sheet name="Artifact_Library" sheetId="8" r:id="rId8"/>
    <sheet name="Original_24Q" sheetId="9" r:id="rId9"/>
    <sheet name="Core_25Q_Model" sheetId="10" r:id="rId10"/>
    <sheet name="Original_vs_New" sheetId="11" r:id="rId11"/>
    <sheet name="Core_25Q_Rubric" sheetId="12" r:id="rId12"/>
    <sheet name="Incumbent_Overlay_Rubric" sheetId="13" r:id="rId13"/>
    <sheet name="Question_Artifact_Matrix" sheetId="14" r:id="rId14"/>
    <sheet name="Scoring_Rules" sheetId="15" r:id="rId15"/>
    <sheet name="Working_Scorecard_Core" sheetId="16" r:id="rId16"/>
    <sheet name="Working_Scorecard_Inc" sheetId="17" r:id="rId17"/>
    <sheet name="Dashboard" sheetId="18" r:id="rId18"/>
    <sheet name="Challenger_Overlay_Rubric" sheetId="19" r:id="rId19"/>
    <sheet name="Working_Scorecard_Chal" sheetId="20" r:id="rId2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 i="20" l="1"/>
  <c r="N13" i="20"/>
  <c r="M13" i="20"/>
  <c r="L13" i="20"/>
  <c r="K13" i="20"/>
  <c r="P13" i="20" s="1"/>
  <c r="O12" i="20"/>
  <c r="N12" i="20"/>
  <c r="M12" i="20"/>
  <c r="L12" i="20"/>
  <c r="K12" i="20"/>
  <c r="P12" i="20" s="1"/>
  <c r="P11" i="20"/>
  <c r="O11" i="20"/>
  <c r="N11" i="20"/>
  <c r="M11" i="20"/>
  <c r="L11" i="20"/>
  <c r="K11" i="20"/>
  <c r="O10" i="20"/>
  <c r="N10" i="20"/>
  <c r="M10" i="20"/>
  <c r="L10" i="20"/>
  <c r="K10" i="20"/>
  <c r="P10" i="20" s="1"/>
  <c r="O9" i="20"/>
  <c r="N9" i="20"/>
  <c r="M9" i="20"/>
  <c r="L9" i="20"/>
  <c r="P9" i="20" s="1"/>
  <c r="K9" i="20"/>
  <c r="O8" i="20"/>
  <c r="N8" i="20"/>
  <c r="P8" i="20" s="1"/>
  <c r="M8" i="20"/>
  <c r="L8" i="20"/>
  <c r="K8" i="20"/>
  <c r="P7" i="20"/>
  <c r="O7" i="20"/>
  <c r="N7" i="20"/>
  <c r="M7" i="20"/>
  <c r="L7" i="20"/>
  <c r="K7" i="20"/>
  <c r="O6" i="20"/>
  <c r="N6" i="20"/>
  <c r="M6" i="20"/>
  <c r="L6" i="20"/>
  <c r="K6" i="20"/>
  <c r="P6" i="20" s="1"/>
  <c r="K3" i="20"/>
  <c r="K2" i="20"/>
  <c r="K1" i="20"/>
  <c r="B7" i="18"/>
  <c r="K4" i="18"/>
  <c r="H4" i="18"/>
  <c r="B4" i="18"/>
  <c r="K5" i="18" s="1"/>
  <c r="O13" i="17"/>
  <c r="N13" i="17"/>
  <c r="M13" i="17"/>
  <c r="L13" i="17"/>
  <c r="K13" i="17"/>
  <c r="P13" i="17" s="1"/>
  <c r="O12" i="17"/>
  <c r="N12" i="17"/>
  <c r="P12" i="17" s="1"/>
  <c r="M12" i="17"/>
  <c r="L12" i="17"/>
  <c r="K12" i="17"/>
  <c r="P11" i="17"/>
  <c r="O11" i="17"/>
  <c r="N11" i="17"/>
  <c r="M11" i="17"/>
  <c r="L11" i="17"/>
  <c r="K11" i="17"/>
  <c r="O10" i="17"/>
  <c r="N10" i="17"/>
  <c r="M10" i="17"/>
  <c r="L10" i="17"/>
  <c r="K10" i="17"/>
  <c r="P10" i="17" s="1"/>
  <c r="O9" i="17"/>
  <c r="N9" i="17"/>
  <c r="M9" i="17"/>
  <c r="L9" i="17"/>
  <c r="K9" i="17"/>
  <c r="P9" i="17" s="1"/>
  <c r="O8" i="17"/>
  <c r="N8" i="17"/>
  <c r="P8" i="17" s="1"/>
  <c r="M8" i="17"/>
  <c r="L8" i="17"/>
  <c r="K8" i="17"/>
  <c r="P7" i="17"/>
  <c r="O7" i="17"/>
  <c r="N7" i="17"/>
  <c r="M7" i="17"/>
  <c r="L7" i="17"/>
  <c r="K7" i="17"/>
  <c r="O6" i="17"/>
  <c r="N6" i="17"/>
  <c r="M6" i="17"/>
  <c r="L6" i="17"/>
  <c r="K6" i="17"/>
  <c r="P6" i="17" s="1"/>
  <c r="K3" i="17"/>
  <c r="K2" i="17"/>
  <c r="K1" i="17"/>
  <c r="S36" i="16"/>
  <c r="R36" i="16"/>
  <c r="T36" i="16" s="1"/>
  <c r="Q36" i="16"/>
  <c r="P36" i="16"/>
  <c r="O36" i="16"/>
  <c r="N36" i="16"/>
  <c r="M36" i="16"/>
  <c r="D36" i="16"/>
  <c r="Q35" i="16"/>
  <c r="P35" i="16"/>
  <c r="O35" i="16"/>
  <c r="N35" i="16"/>
  <c r="M35" i="16"/>
  <c r="R35" i="16" s="1"/>
  <c r="D35" i="16"/>
  <c r="Q34" i="16"/>
  <c r="P34" i="16"/>
  <c r="O34" i="16"/>
  <c r="N34" i="16"/>
  <c r="M34" i="16"/>
  <c r="R34" i="16" s="1"/>
  <c r="D34" i="16"/>
  <c r="Q33" i="16"/>
  <c r="P33" i="16"/>
  <c r="O33" i="16"/>
  <c r="N33" i="16"/>
  <c r="M33" i="16"/>
  <c r="R33" i="16" s="1"/>
  <c r="D33" i="16"/>
  <c r="Q32" i="16"/>
  <c r="P32" i="16"/>
  <c r="O32" i="16"/>
  <c r="N32" i="16"/>
  <c r="M32" i="16"/>
  <c r="R32" i="16" s="1"/>
  <c r="D32" i="16"/>
  <c r="Q31" i="16"/>
  <c r="P31" i="16"/>
  <c r="O31" i="16"/>
  <c r="N31" i="16"/>
  <c r="M31" i="16"/>
  <c r="R31" i="16" s="1"/>
  <c r="D31" i="16"/>
  <c r="Q30" i="16"/>
  <c r="P30" i="16"/>
  <c r="O30" i="16"/>
  <c r="N30" i="16"/>
  <c r="M30" i="16"/>
  <c r="R30" i="16" s="1"/>
  <c r="D30" i="16"/>
  <c r="Q29" i="16"/>
  <c r="P29" i="16"/>
  <c r="O29" i="16"/>
  <c r="N29" i="16"/>
  <c r="M29" i="16"/>
  <c r="R29" i="16" s="1"/>
  <c r="D29" i="16"/>
  <c r="Q28" i="16"/>
  <c r="P28" i="16"/>
  <c r="O28" i="16"/>
  <c r="N28" i="16"/>
  <c r="R28" i="16" s="1"/>
  <c r="M28" i="16"/>
  <c r="D28" i="16"/>
  <c r="Q27" i="16"/>
  <c r="P27" i="16"/>
  <c r="O27" i="16"/>
  <c r="N27" i="16"/>
  <c r="M27" i="16"/>
  <c r="R27" i="16" s="1"/>
  <c r="D27" i="16"/>
  <c r="Q26" i="16"/>
  <c r="P26" i="16"/>
  <c r="O26" i="16"/>
  <c r="N26" i="16"/>
  <c r="M26" i="16"/>
  <c r="R26" i="16" s="1"/>
  <c r="D26" i="16"/>
  <c r="Q25" i="16"/>
  <c r="R25" i="16" s="1"/>
  <c r="P25" i="16"/>
  <c r="O25" i="16"/>
  <c r="N25" i="16"/>
  <c r="M25" i="16"/>
  <c r="D25" i="16"/>
  <c r="R24" i="16"/>
  <c r="T24" i="16" s="1"/>
  <c r="Q24" i="16"/>
  <c r="P24" i="16"/>
  <c r="O24" i="16"/>
  <c r="N24" i="16"/>
  <c r="M24" i="16"/>
  <c r="D24" i="16"/>
  <c r="Q23" i="16"/>
  <c r="P23" i="16"/>
  <c r="O23" i="16"/>
  <c r="N23" i="16"/>
  <c r="M23" i="16"/>
  <c r="R23" i="16" s="1"/>
  <c r="D23" i="16"/>
  <c r="Q22" i="16"/>
  <c r="P22" i="16"/>
  <c r="O22" i="16"/>
  <c r="N22" i="16"/>
  <c r="M22" i="16"/>
  <c r="R22" i="16" s="1"/>
  <c r="D22" i="16"/>
  <c r="Q21" i="16"/>
  <c r="P21" i="16"/>
  <c r="O21" i="16"/>
  <c r="N21" i="16"/>
  <c r="M21" i="16"/>
  <c r="R21" i="16" s="1"/>
  <c r="D21" i="16"/>
  <c r="Q20" i="16"/>
  <c r="P20" i="16"/>
  <c r="O20" i="16"/>
  <c r="N20" i="16"/>
  <c r="R20" i="16" s="1"/>
  <c r="M20" i="16"/>
  <c r="D20" i="16"/>
  <c r="Q19" i="16"/>
  <c r="P19" i="16"/>
  <c r="O19" i="16"/>
  <c r="N19" i="16"/>
  <c r="M19" i="16"/>
  <c r="R19" i="16" s="1"/>
  <c r="D19" i="16"/>
  <c r="Q18" i="16"/>
  <c r="P18" i="16"/>
  <c r="O18" i="16"/>
  <c r="N18" i="16"/>
  <c r="M18" i="16"/>
  <c r="R18" i="16" s="1"/>
  <c r="D18" i="16"/>
  <c r="Q17" i="16"/>
  <c r="R17" i="16" s="1"/>
  <c r="P17" i="16"/>
  <c r="O17" i="16"/>
  <c r="N17" i="16"/>
  <c r="M17" i="16"/>
  <c r="D17" i="16"/>
  <c r="R16" i="16"/>
  <c r="S16" i="16" s="1"/>
  <c r="Q16" i="16"/>
  <c r="P16" i="16"/>
  <c r="O16" i="16"/>
  <c r="N16" i="16"/>
  <c r="M16" i="16"/>
  <c r="D16" i="16"/>
  <c r="Q15" i="16"/>
  <c r="P15" i="16"/>
  <c r="O15" i="16"/>
  <c r="N15" i="16"/>
  <c r="M15" i="16"/>
  <c r="R15" i="16" s="1"/>
  <c r="D15" i="16"/>
  <c r="Q14" i="16"/>
  <c r="P14" i="16"/>
  <c r="O14" i="16"/>
  <c r="N14" i="16"/>
  <c r="M14" i="16"/>
  <c r="R14" i="16" s="1"/>
  <c r="D14" i="16"/>
  <c r="Q13" i="16"/>
  <c r="P13" i="16"/>
  <c r="O13" i="16"/>
  <c r="N13" i="16"/>
  <c r="M13" i="16"/>
  <c r="R13" i="16" s="1"/>
  <c r="D13" i="16"/>
  <c r="Q12" i="16"/>
  <c r="P12" i="16"/>
  <c r="O12" i="16"/>
  <c r="N12" i="16"/>
  <c r="R12" i="16" s="1"/>
  <c r="M12" i="16"/>
  <c r="D12" i="16"/>
  <c r="E7" i="16"/>
  <c r="E7" i="18" s="1"/>
  <c r="K6" i="16"/>
  <c r="E6" i="18" s="1"/>
  <c r="K5" i="16"/>
  <c r="E5" i="18" s="1"/>
  <c r="K4" i="16"/>
  <c r="K8" i="16" s="1"/>
  <c r="T21" i="16" l="1"/>
  <c r="S21" i="16"/>
  <c r="T29" i="16"/>
  <c r="S29" i="16"/>
  <c r="T33" i="16"/>
  <c r="S33" i="16"/>
  <c r="T20" i="16"/>
  <c r="S20" i="16"/>
  <c r="T12" i="16"/>
  <c r="S12" i="16"/>
  <c r="B14" i="18"/>
  <c r="B18" i="18"/>
  <c r="T32" i="16"/>
  <c r="S32" i="16"/>
  <c r="T17" i="16"/>
  <c r="B15" i="18"/>
  <c r="S17" i="16"/>
  <c r="T15" i="16"/>
  <c r="S15" i="16"/>
  <c r="S19" i="16"/>
  <c r="T19" i="16"/>
  <c r="T28" i="16"/>
  <c r="S28" i="16"/>
  <c r="S14" i="16"/>
  <c r="T14" i="16"/>
  <c r="T25" i="16"/>
  <c r="S25" i="16"/>
  <c r="S27" i="16"/>
  <c r="T27" i="16"/>
  <c r="B17" i="18"/>
  <c r="S31" i="16"/>
  <c r="T31" i="16"/>
  <c r="T35" i="16"/>
  <c r="S35" i="16"/>
  <c r="T23" i="16"/>
  <c r="S23" i="16"/>
  <c r="T18" i="16"/>
  <c r="S18" i="16"/>
  <c r="S22" i="16"/>
  <c r="B16" i="18"/>
  <c r="T22" i="16"/>
  <c r="T13" i="16"/>
  <c r="S13" i="16"/>
  <c r="T26" i="16"/>
  <c r="S26" i="16"/>
  <c r="T30" i="16"/>
  <c r="S30" i="16"/>
  <c r="T34" i="16"/>
  <c r="S34" i="16"/>
  <c r="S24" i="16"/>
  <c r="T16" i="16"/>
  <c r="H6" i="18"/>
  <c r="E4" i="18"/>
  <c r="B8" i="18" s="1"/>
  <c r="K6" i="18"/>
  <c r="K7" i="16"/>
  <c r="H5" i="18"/>
  <c r="B10" i="18" l="1"/>
  <c r="B9"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L12" authorId="0" shapeId="0" xr:uid="{00000000-0006-0000-0F00-000001000000}">
      <text>
        <r>
          <rPr>
            <sz val="11"/>
            <color theme="1"/>
            <rFont val="Calibri"/>
            <family val="2"/>
            <charset val="1"/>
          </rPr>
          <t>Required artifacts: A01 Opportunity Brief; A02 Buyer Decision Thesis; A05 Buyer Anxiety &amp; Constraint Map; A22 Buyer Engagement &amp; Signal Log
Use format: Evidence claim | Artifact reference(s) | Evidence basis/source type | Recency | Confidence | Caveat/gap</t>
        </r>
      </text>
    </comment>
    <comment ref="L13" authorId="0" shapeId="0" xr:uid="{00000000-0006-0000-0F00-000002000000}">
      <text>
        <r>
          <rPr>
            <sz val="11"/>
            <color theme="1"/>
            <rFont val="Calibri"/>
            <family val="2"/>
            <charset val="1"/>
          </rPr>
          <t>Required artifacts: A01 Opportunity Brief; A02 Buyer Decision Thesis
Use format: Evidence claim | Artifact reference(s) | Evidence basis/source type | Recency | Confidence | Caveat/gap</t>
        </r>
      </text>
    </comment>
    <comment ref="L14" authorId="0" shapeId="0" xr:uid="{00000000-0006-0000-0F00-000003000000}">
      <text>
        <r>
          <rPr>
            <sz val="11"/>
            <color theme="1"/>
            <rFont val="Calibri"/>
            <family val="2"/>
            <charset val="1"/>
          </rPr>
          <t>Required artifacts: A02 Buyer Decision Thesis; A05 Buyer Anxiety &amp; Constraint Map; A14 Evaluation Hypothesis Map
Use format: Evidence claim | Artifact reference(s) | Evidence basis/source type | Recency | Confidence | Caveat/gap</t>
        </r>
      </text>
    </comment>
    <comment ref="L15" authorId="0" shapeId="0" xr:uid="{00000000-0006-0000-0F00-000004000000}">
      <text>
        <r>
          <rPr>
            <sz val="11"/>
            <color theme="1"/>
            <rFont val="Calibri"/>
            <family val="2"/>
            <charset val="1"/>
          </rPr>
          <t>Required artifacts: A02 Buyer Decision Thesis; A07 Incumbent Defensibility Assessment
Use format: Evidence claim | Artifact reference(s) | Evidence basis/source type | Recency | Confidence | Caveat/gap</t>
        </r>
      </text>
    </comment>
    <comment ref="L16" authorId="0" shapeId="0" xr:uid="{00000000-0006-0000-0F00-000005000000}">
      <text>
        <r>
          <rPr>
            <sz val="11"/>
            <color theme="1"/>
            <rFont val="Calibri"/>
            <family val="2"/>
            <charset val="1"/>
          </rPr>
          <t>Required artifacts: A01 Opportunity Brief; A02 Buyer Decision Thesis; A14 Evaluation Hypothesis Map; A22 Buyer Engagement &amp; Signal Log
Use format: Evidence claim | Artifact reference(s) | Evidence basis/source type | Recency | Confidence | Caveat/gap</t>
        </r>
      </text>
    </comment>
    <comment ref="L17" authorId="0" shapeId="0" xr:uid="{00000000-0006-0000-0F00-000006000000}">
      <text>
        <r>
          <rPr>
            <sz val="11"/>
            <color theme="1"/>
            <rFont val="Calibri"/>
            <family val="2"/>
            <charset val="1"/>
          </rPr>
          <t>Required artifacts: A03 Stakeholder Map; A04 Decision Architecture Map
Use format: Evidence claim | Artifact reference(s) | Evidence basis/source type | Recency | Confidence | Caveat/gap</t>
        </r>
      </text>
    </comment>
    <comment ref="L18" authorId="0" shapeId="0" xr:uid="{00000000-0006-0000-0F00-000007000000}">
      <text>
        <r>
          <rPr>
            <sz val="11"/>
            <color theme="1"/>
            <rFont val="Calibri"/>
            <family val="2"/>
            <charset val="1"/>
          </rPr>
          <t>Required artifacts: A03 Stakeholder Map; A04 Decision Architecture Map; A22 Buyer Engagement &amp; Signal Log
Use format: Evidence claim | Artifact reference(s) | Evidence basis/source type | Recency | Confidence | Caveat/gap</t>
        </r>
      </text>
    </comment>
    <comment ref="L19" authorId="0" shapeId="0" xr:uid="{00000000-0006-0000-0F00-000008000000}">
      <text>
        <r>
          <rPr>
            <sz val="11"/>
            <color theme="1"/>
            <rFont val="Calibri"/>
            <family val="2"/>
            <charset val="1"/>
          </rPr>
          <t>Required artifacts: A05 Buyer Anxiety &amp; Constraint Map; A12 Objection Handling Map; A22 Buyer Engagement &amp; Signal Log
Use format: Evidence claim | Artifact reference(s) | Evidence basis/source type | Recency | Confidence | Caveat/gap</t>
        </r>
      </text>
    </comment>
    <comment ref="L20" authorId="0" shapeId="0" xr:uid="{00000000-0006-0000-0F00-000009000000}">
      <text>
        <r>
          <rPr>
            <sz val="11"/>
            <color theme="1"/>
            <rFont val="Calibri"/>
            <family val="2"/>
            <charset val="1"/>
          </rPr>
          <t>Required artifacts: A03 Stakeholder Map; A18 Delivery Credibility Summary; A22 Buyer Engagement &amp; Signal Log
Use format: Evidence claim | Artifact reference(s) | Evidence basis/source type | Recency | Confidence | Caveat/gap</t>
        </r>
      </text>
    </comment>
    <comment ref="L21" authorId="0" shapeId="0" xr:uid="{00000000-0006-0000-0F00-00000A000000}">
      <text>
        <r>
          <rPr>
            <sz val="11"/>
            <color theme="1"/>
            <rFont val="Calibri"/>
            <family val="2"/>
            <charset val="1"/>
          </rPr>
          <t>Required artifacts: A22 Buyer Engagement &amp; Signal Log; A03 Stakeholder Map
Use format: Evidence claim | Artifact reference(s) | Evidence basis/source type | Recency | Confidence | Caveat/gap</t>
        </r>
      </text>
    </comment>
    <comment ref="L22" authorId="0" shapeId="0" xr:uid="{00000000-0006-0000-0F00-00000B000000}">
      <text>
        <r>
          <rPr>
            <sz val="11"/>
            <color theme="1"/>
            <rFont val="Calibri"/>
            <family val="2"/>
            <charset val="1"/>
          </rPr>
          <t>Required artifacts: A06 Competitor Field Map
Use format: Evidence claim | Artifact reference(s) | Evidence basis/source type | Recency | Confidence | Caveat/gap</t>
        </r>
      </text>
    </comment>
    <comment ref="L23" authorId="0" shapeId="0" xr:uid="{00000000-0006-0000-0F00-00000C000000}">
      <text>
        <r>
          <rPr>
            <sz val="11"/>
            <color theme="1"/>
            <rFont val="Calibri"/>
            <family val="2"/>
            <charset val="1"/>
          </rPr>
          <t>Required artifacts: A07 Incumbent Defensibility Assessment; A06 Competitor Field Map
Use format: Evidence claim | Artifact reference(s) | Evidence basis/source type | Recency | Confidence | Caveat/gap</t>
        </r>
      </text>
    </comment>
    <comment ref="L24" authorId="0" shapeId="0" xr:uid="{00000000-0006-0000-0F00-00000D000000}">
      <text>
        <r>
          <rPr>
            <sz val="11"/>
            <color theme="1"/>
            <rFont val="Calibri"/>
            <family val="2"/>
            <charset val="1"/>
          </rPr>
          <t>Required artifacts: A06 Competitor Field Map; A08 Path-to-Win Statement; A09 Win Themes; A10 Proof Map
Use format: Evidence claim | Artifact reference(s) | Evidence basis/source type | Recency | Confidence | Caveat/gap</t>
        </r>
      </text>
    </comment>
    <comment ref="L25" authorId="0" shapeId="0" xr:uid="{00000000-0006-0000-0F00-00000E000000}">
      <text>
        <r>
          <rPr>
            <sz val="11"/>
            <color theme="1"/>
            <rFont val="Calibri"/>
            <family val="2"/>
            <charset val="1"/>
          </rPr>
          <t>Required artifacts: A06 Competitor Field Map; A08 Path-to-Win Statement; A19 Gap &amp; Fix Plan
Use format: Evidence claim | Artifact reference(s) | Evidence basis/source type | Recency | Confidence | Caveat/gap</t>
        </r>
      </text>
    </comment>
    <comment ref="L26" authorId="0" shapeId="0" xr:uid="{00000000-0006-0000-0F00-00000F000000}">
      <text>
        <r>
          <rPr>
            <sz val="11"/>
            <color theme="1"/>
            <rFont val="Calibri"/>
            <family val="2"/>
            <charset val="1"/>
          </rPr>
          <t>Required artifacts: A06 Competitor Field Map; A08 Path-to-Win Statement; A12 Objection Handling Map
Use format: Evidence claim | Artifact reference(s) | Evidence basis/source type | Recency | Confidence | Caveat/gap</t>
        </r>
      </text>
    </comment>
    <comment ref="L27" authorId="0" shapeId="0" xr:uid="{00000000-0006-0000-0F00-000010000000}">
      <text>
        <r>
          <rPr>
            <sz val="11"/>
            <color theme="1"/>
            <rFont val="Calibri"/>
            <family val="2"/>
            <charset val="1"/>
          </rPr>
          <t>Required artifacts: A13 Route-to-Market Map; A14 Evaluation Hypothesis Map
Use format: Evidence claim | Artifact reference(s) | Evidence basis/source type | Recency | Confidence | Caveat/gap</t>
        </r>
      </text>
    </comment>
    <comment ref="L28" authorId="0" shapeId="0" xr:uid="{00000000-0006-0000-0F00-000011000000}">
      <text>
        <r>
          <rPr>
            <sz val="11"/>
            <color theme="1"/>
            <rFont val="Calibri"/>
            <family val="2"/>
            <charset val="1"/>
          </rPr>
          <t>Required artifacts: A13 Route-to-Market Map; A15 Suitability / Eligibility Review
Use format: Evidence claim | Artifact reference(s) | Evidence basis/source type | Recency | Confidence | Caveat/gap</t>
        </r>
      </text>
    </comment>
    <comment ref="L29" authorId="0" shapeId="0" xr:uid="{00000000-0006-0000-0F00-000012000000}">
      <text>
        <r>
          <rPr>
            <sz val="11"/>
            <color theme="1"/>
            <rFont val="Calibri"/>
            <family val="2"/>
            <charset val="1"/>
          </rPr>
          <t>Required artifacts: A02 Buyer Decision Thesis; A09 Win Themes; A11 Solution Spine
Use format: Evidence claim | Artifact reference(s) | Evidence basis/source type | Recency | Confidence | Caveat/gap</t>
        </r>
      </text>
    </comment>
    <comment ref="L30" authorId="0" shapeId="0" xr:uid="{00000000-0006-0000-0F00-000013000000}">
      <text>
        <r>
          <rPr>
            <sz val="11"/>
            <color theme="1"/>
            <rFont val="Calibri"/>
            <family val="2"/>
            <charset val="1"/>
          </rPr>
          <t>Required artifacts: A10 Proof Map; A18 Delivery Credibility Summary
Use format: Evidence claim | Artifact reference(s) | Evidence basis/source type | Recency | Confidence | Caveat/gap</t>
        </r>
      </text>
    </comment>
    <comment ref="L31" authorId="0" shapeId="0" xr:uid="{00000000-0006-0000-0F00-000014000000}">
      <text>
        <r>
          <rPr>
            <sz val="11"/>
            <color theme="1"/>
            <rFont val="Calibri"/>
            <family val="2"/>
            <charset val="1"/>
          </rPr>
          <t>Required artifacts: A08 Path-to-Win Statement; A09 Win Themes; A10 Proof Map; A14 Evaluation Hypothesis Map
Use format: Evidence claim | Artifact reference(s) | Evidence basis/source type | Recency | Confidence | Caveat/gap</t>
        </r>
      </text>
    </comment>
    <comment ref="L32" authorId="0" shapeId="0" xr:uid="{00000000-0006-0000-0F00-000015000000}">
      <text>
        <r>
          <rPr>
            <sz val="11"/>
            <color theme="1"/>
            <rFont val="Calibri"/>
            <family val="2"/>
            <charset val="1"/>
          </rPr>
          <t>Required artifacts: A16 Commercial Stance Note; A17 Risk / Red-Line Summary
Use format: Evidence claim | Artifact reference(s) | Evidence basis/source type | Recency | Confidence | Caveat/gap</t>
        </r>
      </text>
    </comment>
    <comment ref="L33" authorId="0" shapeId="0" xr:uid="{00000000-0006-0000-0F00-000016000000}">
      <text>
        <r>
          <rPr>
            <sz val="11"/>
            <color theme="1"/>
            <rFont val="Calibri"/>
            <family val="2"/>
            <charset val="1"/>
          </rPr>
          <t>Required artifacts: A11 Solution Spine; A18 Delivery Credibility Summary; A23 Partner Strategy &amp; Coverage
Use format: Evidence claim | Artifact reference(s) | Evidence basis/source type | Recency | Confidence | Caveat/gap</t>
        </r>
      </text>
    </comment>
    <comment ref="L34" authorId="0" shapeId="0" xr:uid="{00000000-0006-0000-0F00-000017000000}">
      <text>
        <r>
          <rPr>
            <sz val="11"/>
            <color theme="1"/>
            <rFont val="Calibri"/>
            <family val="2"/>
            <charset val="1"/>
          </rPr>
          <t>Required artifacts: A17 Risk / Red-Line Summary; A19 Gap &amp; Fix Plan
Use format: Evidence claim | Artifact reference(s) | Evidence basis/source type | Recency | Confidence | Caveat/gap</t>
        </r>
      </text>
    </comment>
    <comment ref="L35" authorId="0" shapeId="0" xr:uid="{00000000-0006-0000-0F00-000018000000}">
      <text>
        <r>
          <rPr>
            <sz val="11"/>
            <color theme="1"/>
            <rFont val="Calibri"/>
            <family val="2"/>
            <charset val="1"/>
          </rPr>
          <t>Required artifacts: A20 Pursuit Operating Plan; A21 Formal Gate Recommendation Pack
Use format: Evidence claim | Artifact reference(s) | Evidence basis/source type | Recency | Confidence | Caveat/gap</t>
        </r>
      </text>
    </comment>
    <comment ref="L36" authorId="0" shapeId="0" xr:uid="{00000000-0006-0000-0F00-000019000000}">
      <text>
        <r>
          <rPr>
            <sz val="11"/>
            <color theme="1"/>
            <rFont val="Calibri"/>
            <family val="2"/>
            <charset val="1"/>
          </rPr>
          <t>Required artifacts: A22 Buyer Engagement &amp; Signal Log; A04 Decision Architecture Map; A06 Competitor Field Map; A07 Incumbent Defensibility Assessment
Use format: Evidence claim | Artifact reference(s) | Evidence basis/source type | Recency | Confidence | Caveat/gap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J6" authorId="0" shapeId="0" xr:uid="{00000000-0006-0000-1000-000001000000}">
      <text>
        <r>
          <rPr>
            <sz val="11"/>
            <color theme="1"/>
            <rFont val="Calibri"/>
            <family val="2"/>
            <charset val="1"/>
          </rPr>
          <t>Required artifacts: A07 Incumbent Defensibility Assessment; A02 Buyer Decision Thesis; A22 Buyer Engagement &amp; Signal Log
Use format: Evidence claim | Artifact reference(s) | Evidence basis/source type | Recency | Confidence | Caveat/gap</t>
        </r>
      </text>
    </comment>
    <comment ref="J7" authorId="0" shapeId="0" xr:uid="{00000000-0006-0000-1000-000002000000}">
      <text>
        <r>
          <rPr>
            <sz val="11"/>
            <color theme="1"/>
            <rFont val="Calibri"/>
            <family val="2"/>
            <charset val="1"/>
          </rPr>
          <t>Required artifacts: A07 Incumbent Defensibility Assessment; A05 Buyer Anxiety &amp; Constraint Map; A22 Buyer Engagement &amp; Signal Log
Use format: Evidence claim | Artifact reference(s) | Evidence basis/source type | Recency | Confidence | Caveat/gap</t>
        </r>
      </text>
    </comment>
    <comment ref="J8" authorId="0" shapeId="0" xr:uid="{00000000-0006-0000-1000-000003000000}">
      <text>
        <r>
          <rPr>
            <sz val="11"/>
            <color theme="1"/>
            <rFont val="Calibri"/>
            <family val="2"/>
            <charset val="1"/>
          </rPr>
          <t>Required artifacts: A07 Incumbent Defensibility Assessment; A17 Risk / Red-Line Summary; A18 Delivery Credibility Summary; A19 Gap &amp; Fix Plan
Use format: Evidence claim | Artifact reference(s) | Evidence basis/source type | Recency | Confidence | Caveat/gap</t>
        </r>
      </text>
    </comment>
    <comment ref="J9" authorId="0" shapeId="0" xr:uid="{00000000-0006-0000-1000-000004000000}">
      <text>
        <r>
          <rPr>
            <sz val="11"/>
            <color theme="1"/>
            <rFont val="Calibri"/>
            <family val="2"/>
            <charset val="1"/>
          </rPr>
          <t>Required artifacts: A08 Path-to-Win Statement; A09 Win Themes; A11 Solution Spine
Use format: Evidence claim | Artifact reference(s) | Evidence basis/source type | Recency | Confidence | Caveat/gap</t>
        </r>
      </text>
    </comment>
    <comment ref="J10" authorId="0" shapeId="0" xr:uid="{00000000-0006-0000-1000-000005000000}">
      <text>
        <r>
          <rPr>
            <sz val="11"/>
            <color theme="1"/>
            <rFont val="Calibri"/>
            <family val="2"/>
            <charset val="1"/>
          </rPr>
          <t>Required artifacts: A06 Competitor Field Map; A07 Incumbent Defensibility Assessment; A12 Objection Handling Map
Use format: Evidence claim | Artifact reference(s) | Evidence basis/source type | Recency | Confidence | Caveat/gap</t>
        </r>
      </text>
    </comment>
    <comment ref="J11" authorId="0" shapeId="0" xr:uid="{00000000-0006-0000-1000-000006000000}">
      <text>
        <r>
          <rPr>
            <sz val="11"/>
            <color theme="1"/>
            <rFont val="Calibri"/>
            <family val="2"/>
            <charset val="1"/>
          </rPr>
          <t>Required artifacts: A07 Incumbent Defensibility Assessment; A18 Delivery Credibility Summary; A22 Buyer Engagement &amp; Signal Log
Use format: Evidence claim | Artifact reference(s) | Evidence basis/source type | Recency | Confidence | Caveat/gap</t>
        </r>
      </text>
    </comment>
    <comment ref="J12" authorId="0" shapeId="0" xr:uid="{00000000-0006-0000-1000-000007000000}">
      <text>
        <r>
          <rPr>
            <sz val="11"/>
            <color theme="1"/>
            <rFont val="Calibri"/>
            <family val="2"/>
            <charset val="1"/>
          </rPr>
          <t>Required artifacts: A16 Commercial Stance Note; A07 Incumbent Defensibility Assessment; A22 Buyer Engagement &amp; Signal Log
Use format: Evidence claim | Artifact reference(s) | Evidence basis/source type | Recency | Confidence | Caveat/gap</t>
        </r>
      </text>
    </comment>
    <comment ref="J13" authorId="0" shapeId="0" xr:uid="{00000000-0006-0000-1000-000008000000}">
      <text>
        <r>
          <rPr>
            <sz val="11"/>
            <color theme="1"/>
            <rFont val="Calibri"/>
            <family val="2"/>
            <charset val="1"/>
          </rPr>
          <t>Required artifacts: A16 Commercial Stance Note; A17 Risk / Red-Line Summary; A08 Path-to-Win Statement; A09 Win Themes
Use format: Evidence claim | Artifact reference(s) | Evidence basis/source type | Recency | Confidence | Caveat/gap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0" authorId="0" shapeId="0" xr:uid="{00000000-0006-0000-1100-000001000000}">
      <text>
        <r>
          <rPr>
            <sz val="11"/>
            <color theme="1"/>
            <rFont val="Calibri"/>
            <family val="2"/>
            <charset val="1"/>
          </rPr>
          <t>Balanced governance logic: artifacts + evidence + judgment. A high score does not override multiple weak critical questions.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J6" authorId="0" shapeId="0" xr:uid="{00000000-0006-0000-1300-000001000000}">
      <text>
        <r>
          <rPr>
            <sz val="11"/>
            <color theme="1"/>
            <rFont val="Calibri"/>
            <family val="2"/>
            <charset val="1"/>
          </rPr>
          <t>Required artifacts: A07 Incumbent Defensibility Assessment; A02 Buyer Decision Thesis; A22 Buyer Engagement &amp; Signal Log
Use format: Evidence claim | Artifact reference(s) | Evidence basis/source type | Recency | Confidence | Caveat/gap</t>
        </r>
      </text>
    </comment>
    <comment ref="J7" authorId="0" shapeId="0" xr:uid="{00000000-0006-0000-1300-000002000000}">
      <text>
        <r>
          <rPr>
            <sz val="11"/>
            <color theme="1"/>
            <rFont val="Calibri"/>
            <family val="2"/>
            <charset val="1"/>
          </rPr>
          <t>Required artifacts: A07 Incumbent Defensibility Assessment; A05 Buyer Anxiety &amp; Constraint Map; A22 Buyer Engagement &amp; Signal Log
Use format: Evidence claim | Artifact reference(s) | Evidence basis/source type | Recency | Confidence | Caveat/gap</t>
        </r>
      </text>
    </comment>
    <comment ref="J8" authorId="0" shapeId="0" xr:uid="{00000000-0006-0000-1300-000003000000}">
      <text>
        <r>
          <rPr>
            <sz val="11"/>
            <color theme="1"/>
            <rFont val="Calibri"/>
            <family val="2"/>
            <charset val="1"/>
          </rPr>
          <t>Required artifacts: A07 Incumbent Defensibility Assessment; A17 Risk / Red-Line Summary; A18 Delivery Credibility Summary; A19 Gap &amp; Fix Plan
Use format: Evidence claim | Artifact reference(s) | Evidence basis/source type | Recency | Confidence | Caveat/gap</t>
        </r>
      </text>
    </comment>
    <comment ref="J9" authorId="0" shapeId="0" xr:uid="{00000000-0006-0000-1300-000004000000}">
      <text>
        <r>
          <rPr>
            <sz val="11"/>
            <color theme="1"/>
            <rFont val="Calibri"/>
            <family val="2"/>
            <charset val="1"/>
          </rPr>
          <t>Required artifacts: A08 Path-to-Win Statement; A09 Win Themes; A11 Solution Spine
Use format: Evidence claim | Artifact reference(s) | Evidence basis/source type | Recency | Confidence | Caveat/gap</t>
        </r>
      </text>
    </comment>
    <comment ref="J10" authorId="0" shapeId="0" xr:uid="{00000000-0006-0000-1300-000005000000}">
      <text>
        <r>
          <rPr>
            <sz val="11"/>
            <color theme="1"/>
            <rFont val="Calibri"/>
            <family val="2"/>
            <charset val="1"/>
          </rPr>
          <t>Required artifacts: A06 Competitor Field Map; A07 Incumbent Defensibility Assessment; A12 Objection Handling Map
Use format: Evidence claim | Artifact reference(s) | Evidence basis/source type | Recency | Confidence | Caveat/gap</t>
        </r>
      </text>
    </comment>
    <comment ref="J11" authorId="0" shapeId="0" xr:uid="{00000000-0006-0000-1300-000006000000}">
      <text>
        <r>
          <rPr>
            <sz val="11"/>
            <color theme="1"/>
            <rFont val="Calibri"/>
            <family val="2"/>
            <charset val="1"/>
          </rPr>
          <t>Required artifacts: A07 Incumbent Defensibility Assessment; A18 Delivery Credibility Summary; A22 Buyer Engagement &amp; Signal Log
Use format: Evidence claim | Artifact reference(s) | Evidence basis/source type | Recency | Confidence | Caveat/gap</t>
        </r>
      </text>
    </comment>
    <comment ref="J12" authorId="0" shapeId="0" xr:uid="{00000000-0006-0000-1300-000007000000}">
      <text>
        <r>
          <rPr>
            <sz val="11"/>
            <color theme="1"/>
            <rFont val="Calibri"/>
            <family val="2"/>
            <charset val="1"/>
          </rPr>
          <t>Required artifacts: A16 Commercial Stance Note; A07 Incumbent Defensibility Assessment; A22 Buyer Engagement &amp; Signal Log
Use format: Evidence claim | Artifact reference(s) | Evidence basis/source type | Recency | Confidence | Caveat/gap</t>
        </r>
      </text>
    </comment>
    <comment ref="J13" authorId="0" shapeId="0" xr:uid="{00000000-0006-0000-1300-000008000000}">
      <text>
        <r>
          <rPr>
            <sz val="11"/>
            <color theme="1"/>
            <rFont val="Calibri"/>
            <family val="2"/>
            <charset val="1"/>
          </rPr>
          <t>Required artifacts: A16 Commercial Stance Note; A17 Risk / Red-Line Summary; A08 Path-to-Win Statement; A09 Win Themes
Use format: Evidence claim | Artifact reference(s) | Evidence basis/source type | Recency | Confidence | Caveat/gap</t>
        </r>
      </text>
    </comment>
  </commentList>
</comments>
</file>

<file path=xl/sharedStrings.xml><?xml version="1.0" encoding="utf-8"?>
<sst xmlns="http://schemas.openxmlformats.org/spreadsheetml/2006/main" count="2754" uniqueCount="1319">
  <si>
    <t>Benchmark Scenarios (v5)</t>
  </si>
  <si>
    <t>Scenario ID</t>
  </si>
  <si>
    <t>Scenario name</t>
  </si>
  <si>
    <t>Use case summary</t>
  </si>
  <si>
    <t>Full context</t>
  </si>
  <si>
    <t>S1</t>
  </si>
  <si>
    <t>Central government | BPO managed service | £100m | Capture phase | Challenger | Reprocurement from incumbent</t>
  </si>
  <si>
    <t>CG BPO £100m Challenger Capture</t>
  </si>
  <si>
    <t>A central government department is recompeting a £100m BPO / managed service. We are the challenger in capture phase. The incumbent is established and continuity risk matters. Buyer is under cost, service performance, and transition scrutiny.</t>
  </si>
  <si>
    <t>S2</t>
  </si>
  <si>
    <t>Local government | Consulting / advisory | £3m | Pre-gate | Challenger | Open competition</t>
  </si>
  <si>
    <t>LG Consulting £3m Challenger Pre-gate</t>
  </si>
  <si>
    <t>A local authority is procuring a £3m consulting engagement. We are a challenger at pre-gate. Senior sponsor confidence, named people, issue understanding, and directly relevant case studies matter more than industrial delivery scale.</t>
  </si>
  <si>
    <t>S3</t>
  </si>
  <si>
    <t>NHS | Digital product / SaaS | £12m | Formal pursuit | Challenger | Framework call-off</t>
  </si>
  <si>
    <t>NHS SaaS £12m Challenger Formal</t>
  </si>
  <si>
    <t>An NHS body is running a £12m digital product / SaaS procurement via framework call-off. We are a challenger in formal pursuit. Product fit, assurance, implementation confidence, references, and scoreability dominate.</t>
  </si>
  <si>
    <t>S4</t>
  </si>
  <si>
    <t>Defence | Digital transformation / SI | £75m | Capture phase | Challenger | Restricted competition</t>
  </si>
  <si>
    <t>Defence SI £75m Challenger Capture</t>
  </si>
  <si>
    <t>A defence organisation is pursuing a £75m digital transformation / systems integration programme. We are a challenger in capture phase. Security, delivery credibility, partner model, restricted-route fit, and mobilisation confidence matter.</t>
  </si>
  <si>
    <t>S5</t>
  </si>
  <si>
    <t>Central government | BPO / operational service | £120m | Capture phase | Incumbent | Renewal / rebid</t>
  </si>
  <si>
    <t>CG BPO £120m Incumbent Capture</t>
  </si>
  <si>
    <t>A central government department is recompeting a £120m operational / BPO service that we currently hold. We are the incumbent in capture phase. Renewal-plus-improvement, price reset pressure, and switching-risk logic are central.</t>
  </si>
  <si>
    <t>S6</t>
  </si>
  <si>
    <t>Wider public sector | Framework / panel appointment | £20m indicative | Pre-gate | Neutral field</t>
  </si>
  <si>
    <t>WPS Framework £20m Pre-gate</t>
  </si>
  <si>
    <t>A wider public sector framework / panel competition is emerging with c.£20m indicative value. There is no clear incumbent advantage on a single live problem. Compliance, breadth, route access, pricing construct, and referenceability matter.</t>
  </si>
  <si>
    <t>S7</t>
  </si>
  <si>
    <t>A local authority is procuring a £3m consulting engagement. We are a challenger at pre-gate. Named people, stakeholder confidence, and directly relevant local-government transformation credentials matter more than large delivery infrastructure.</t>
  </si>
  <si>
    <t>S8</t>
  </si>
  <si>
    <t>An NHS body is procuring a £12m SaaS / digital product through a framework call-off. We are the challenger in formal pursuit. Product fit, assurance, implementation credibility, integration, and directly relevant references matter heavily.</t>
  </si>
  <si>
    <t>S9</t>
  </si>
  <si>
    <t>A defence organisation is running a restricted £75m digital transformation / SI competition. We are a challenger in capture. Secure delivery, mobilisation, clearances, and mission continuity are major buyer concerns.</t>
  </si>
  <si>
    <t>S10</t>
  </si>
  <si>
    <t>Central government | BPO / managed service | £50m | Formal pursuit | Challenger | Price-sensitive recompetition</t>
  </si>
  <si>
    <t>CG BPO £50m Challenger Formal</t>
  </si>
  <si>
    <t>A central government department is recompeting a £50m BPO / managed service in a price-sensitive formal pursuit. The incumbent has mixed service history. Cost reset and scoreable service improvement matter.</t>
  </si>
  <si>
    <t>S11</t>
  </si>
  <si>
    <t>Local government | Operational service | £25m | Capture phase | Challenger | Incumbent with long local presence</t>
  </si>
  <si>
    <t>LG Operational £25m Challenger Capture</t>
  </si>
  <si>
    <t>A local authority is recompeting a £25m operational service. We are the challenger in capture. The incumbent has strong local familiarity and continuity advantage, but the buyer is open to better value and service redesign if risk can be managed.</t>
  </si>
  <si>
    <t>S12</t>
  </si>
  <si>
    <t>Health | Consulting / transformation support | £5m | Pre-gate | Challenger | Sponsor-led change</t>
  </si>
  <si>
    <t>Health Consulting £5m Challenger Pre-gate</t>
  </si>
  <si>
    <t>An NHS organisation is considering a £5m consulting / transformation support engagement. We are a challenger in pre-gate. Sponsor trust, issue understanding, and healthcare-relevant delivery examples matter most.</t>
  </si>
  <si>
    <t>S13</t>
  </si>
  <si>
    <t>Central government | Framework / panel style route | £20m indicative | Pre-gate | Challenger | Recompetition with incumbent well known</t>
  </si>
  <si>
    <t>CG Framework £20m Challenger Pre-gate</t>
  </si>
  <si>
    <t>A central government buyer is using a framework or panel-style route for an indicative £20m opportunity. We are a challenger at pre-gate. The incumbent is well known, but contestability depends on route openness, evaluation flexibility, and whether the buyer genuinely wants alternatives.</t>
  </si>
  <si>
    <t>Response</t>
  </si>
  <si>
    <t>ResponseScore</t>
  </si>
  <si>
    <t>ArtifactSufficiency</t>
  </si>
  <si>
    <t>Multiplier</t>
  </si>
  <si>
    <t>EvidenceQuality</t>
  </si>
  <si>
    <t>Freshness</t>
  </si>
  <si>
    <t>JudgmentQuality</t>
  </si>
  <si>
    <t>BuyerType</t>
  </si>
  <si>
    <t>Code</t>
  </si>
  <si>
    <t>PursuitStage</t>
  </si>
  <si>
    <t>DealSize</t>
  </si>
  <si>
    <t>SectorList</t>
  </si>
  <si>
    <t>Strongly Agree</t>
  </si>
  <si>
    <t>Full set complete</t>
  </si>
  <si>
    <t>Direct / recent / triangulated</t>
  </si>
  <si>
    <t>&lt;=30 days</t>
  </si>
  <si>
    <t>Strong</t>
  </si>
  <si>
    <t>Department</t>
  </si>
  <si>
    <t>Early identification</t>
  </si>
  <si>
    <t>Small (&lt;£1m)</t>
  </si>
  <si>
    <t>Central Government</t>
  </si>
  <si>
    <t>Agree</t>
  </si>
  <si>
    <t>Most required artifacts present</t>
  </si>
  <si>
    <t>Good but partly indirect</t>
  </si>
  <si>
    <t>31-90 days</t>
  </si>
  <si>
    <t>Moderate</t>
  </si>
  <si>
    <t>Agency / ALB</t>
  </si>
  <si>
    <t>Pre-gate</t>
  </si>
  <si>
    <t>Medium (£1m-£10m)</t>
  </si>
  <si>
    <t>Local Government</t>
  </si>
  <si>
    <t>Disagree</t>
  </si>
  <si>
    <t>Partial artifacts only</t>
  </si>
  <si>
    <t>Mostly inferred / mixed</t>
  </si>
  <si>
    <t>91-180 days</t>
  </si>
  <si>
    <t>Weak</t>
  </si>
  <si>
    <t>Council / Local Authority</t>
  </si>
  <si>
    <t>Active capture</t>
  </si>
  <si>
    <t>Large (£10m-£50m)</t>
  </si>
  <si>
    <t>Defence</t>
  </si>
  <si>
    <t>Strongly Disagree</t>
  </si>
  <si>
    <t>Missing critical artifact(s)</t>
  </si>
  <si>
    <t>Weak / assumption-heavy</t>
  </si>
  <si>
    <t>&gt;180 days / unvalidated</t>
  </si>
  <si>
    <t>NHS / Health Body</t>
  </si>
  <si>
    <t>Formal pursuit</t>
  </si>
  <si>
    <t>Strategic (&gt;£50m)</t>
  </si>
  <si>
    <t>Health</t>
  </si>
  <si>
    <t>Defence / Secure Body</t>
  </si>
  <si>
    <t>Late stage / final response</t>
  </si>
  <si>
    <t>Justice</t>
  </si>
  <si>
    <t>Regulator</t>
  </si>
  <si>
    <t>Education / Culture</t>
  </si>
  <si>
    <t>Transport / Infrastructure</t>
  </si>
  <si>
    <t>Wider Public Sector</t>
  </si>
  <si>
    <t>Other</t>
  </si>
  <si>
    <t>AI Benchmark Guide (v5)</t>
  </si>
  <si>
    <t>Question ID</t>
  </si>
  <si>
    <t>Benchmark Scenario ID</t>
  </si>
  <si>
    <t>What AI should compare</t>
  </si>
  <si>
    <t>Downgrade triggers</t>
  </si>
  <si>
    <t>Upgrade trigger</t>
  </si>
  <si>
    <t>Q01</t>
  </si>
  <si>
    <t>AI should check for a clear conclusion, specific evidence, what has been documented in the artifacts, and the implication for the pursuit.</t>
  </si>
  <si>
    <t>Generic assertions, missing buyer implication, no documented decision or trade-off, weak specificity, no evidence source, or no reference to what has been documented.</t>
  </si>
  <si>
    <t>Specific evidence, explicit judgment, clear implication for pursuit, and a documented artifact outcome that shows executed thinking.</t>
  </si>
  <si>
    <t>Q02</t>
  </si>
  <si>
    <t>Q03</t>
  </si>
  <si>
    <t>Q04</t>
  </si>
  <si>
    <t>Q05</t>
  </si>
  <si>
    <t>Q06</t>
  </si>
  <si>
    <t>Q07</t>
  </si>
  <si>
    <t>Q08</t>
  </si>
  <si>
    <t>Q09</t>
  </si>
  <si>
    <t>Q10</t>
  </si>
  <si>
    <t>Q11</t>
  </si>
  <si>
    <t>Q12</t>
  </si>
  <si>
    <t>Q13</t>
  </si>
  <si>
    <t>AI should check for named competitors, buyer-relevant differentiation, proof, and a clear explanation of why the point matters in evaluation or final choice.</t>
  </si>
  <si>
    <t>Q14</t>
  </si>
  <si>
    <t>Q15</t>
  </si>
  <si>
    <t>Q16</t>
  </si>
  <si>
    <t>AI should check for route, compliance, and scoreability specifics rather than general assertions of fit.</t>
  </si>
  <si>
    <t>Q17</t>
  </si>
  <si>
    <t>Q18</t>
  </si>
  <si>
    <t>Q19</t>
  </si>
  <si>
    <t>Q20</t>
  </si>
  <si>
    <t>Q21</t>
  </si>
  <si>
    <t>AI should look for explicit viability logic, not optimism: pricing logic, delivery proof, risk positions, and the implication for go / no-go.</t>
  </si>
  <si>
    <t>Q22</t>
  </si>
  <si>
    <t>Q23</t>
  </si>
  <si>
    <t>Q24</t>
  </si>
  <si>
    <t>Q25</t>
  </si>
  <si>
    <t>I01</t>
  </si>
  <si>
    <t>AI should check whether the response names the specific renewal or switching issue, states what has been documented, and explains the buyer implication.</t>
  </si>
  <si>
    <t>Generic incumbent comfort language, no documented renewal logic, unresolved issue ignored, or no buyer-specific implication.</t>
  </si>
  <si>
    <t>Clear incumbent-specific evidence, explicit renewal or switching logic, and documented mitigations or value case.</t>
  </si>
  <si>
    <t>I02</t>
  </si>
  <si>
    <t>I03</t>
  </si>
  <si>
    <t>I04</t>
  </si>
  <si>
    <t>I05</t>
  </si>
  <si>
    <t>I06</t>
  </si>
  <si>
    <t>I07</t>
  </si>
  <si>
    <t>I08</t>
  </si>
  <si>
    <t>C01</t>
  </si>
  <si>
    <t>AI should compare the user response against the benchmark for switching logic, specificity, documented judgments, and whether the written note shows executed thinking and a pursuit implication.</t>
  </si>
  <si>
    <t>Assumes a switch without evidence; generic anti-incumbent language; no documented buyer fear / switching case / mobilisation logic; no implication for the pursuit; no reference to what has been concluded in the artifacts.</t>
  </si>
  <si>
    <t>Specific switching logic, explicit judgment, clear pursuit implication, documented conclusions in the artifacts, and evidence that the team has translated analysis into action.</t>
  </si>
  <si>
    <t>C02</t>
  </si>
  <si>
    <t>C03</t>
  </si>
  <si>
    <t>C04</t>
  </si>
  <si>
    <t>C05</t>
  </si>
  <si>
    <t>C06</t>
  </si>
  <si>
    <t>C07</t>
  </si>
  <si>
    <t>C08</t>
  </si>
  <si>
    <t>Opportunity Archetype</t>
  </si>
  <si>
    <t>Buyer Need &amp; Decision Logic</t>
  </si>
  <si>
    <t>Stakeholder Position &amp; Access</t>
  </si>
  <si>
    <t>Competitive Position &amp; Incumbent Dynamics</t>
  </si>
  <si>
    <t>Procurement, Proposition &amp; Solution Fit</t>
  </si>
  <si>
    <t>Commercial, Delivery &amp; Pursuit Readiness</t>
  </si>
  <si>
    <t>Rationale</t>
  </si>
  <si>
    <t>Professional Consulting / Advisory</t>
  </si>
  <si>
    <t>People, reputation, problem understanding, stakeholder pull, and case study relevance dominate.</t>
  </si>
  <si>
    <t>Digital Transformation / SI / Delivery</t>
  </si>
  <si>
    <t>Solution fit, delivery credibility, and scoreability matter as much as stakeholder access.</t>
  </si>
  <si>
    <t>Digital Product / SaaS / Platform</t>
  </si>
  <si>
    <t>Product / roadmap fit, technical compliance, integration, and commercial model are decisive.</t>
  </si>
  <si>
    <t>BPO / Managed Service / Operational Outsourcing</t>
  </si>
  <si>
    <t>Operational continuity, transition, pricing, and delivery credibility dominate.</t>
  </si>
  <si>
    <t>Facilities / Field / Operational Service</t>
  </si>
  <si>
    <t>Mobilisation, staffing, operational resilience, and commercial delivery realism dominate.</t>
  </si>
  <si>
    <t>Hybrid Transformation + Managed Service</t>
  </si>
  <si>
    <t>Balanced model where proposition fit and delivery credibility both matter.</t>
  </si>
  <si>
    <t>Framework / Panel Appointment</t>
  </si>
  <si>
    <t>Baseline compliance, breadth of capability, references, and commercial construct dominate.</t>
  </si>
  <si>
    <t>Incumbent Renewal / Rebid</t>
  </si>
  <si>
    <t>Retention logic, switching risk, value-for-money defence, and renewal-plus-improvement matter most.</t>
  </si>
  <si>
    <t>Context-Sensitive Action Guide</t>
  </si>
  <si>
    <t>Use these rules to tailor challenge questions and recommended actions by sector, buyer type, opportunity archetype, pursuit stage, pursuit role, and deal size. The AI should combine the base rubric with these context rules before proposing next actions.</t>
  </si>
  <si>
    <t>Context Dimension</t>
  </si>
  <si>
    <t>Value</t>
  </si>
  <si>
    <t>What changes in the coaching action</t>
  </si>
  <si>
    <t>Typical artifact emphasis</t>
  </si>
  <si>
    <t>Typical strategic action emphasis</t>
  </si>
  <si>
    <t>Sector</t>
  </si>
  <si>
    <t>Emphasise business case strength, policy fit, governance scrutiny, value-for-money, and ministerial / departmental risk.</t>
  </si>
  <si>
    <t>Buyer Decision Thesis; Evaluation Hypothesis Map; Commercial Stance Note; Risk / Red-Line Summary</t>
  </si>
  <si>
    <t>Validate policy and spending drivers, test scrutiny exposure, and address continuity / assurance concerns.</t>
  </si>
  <si>
    <t>Emphasise affordability, implementation practicality, local stakeholder impact, and operational feasibility.</t>
  </si>
  <si>
    <t>Opportunity Brief; Buyer Anxiety &amp; Constraint Map; Delivery Credibility Summary</t>
  </si>
  <si>
    <t>Strengthen affordability logic, local delivery proof, and pragmatic mobilisation story.</t>
  </si>
  <si>
    <t>Emphasise security, assurance, incumbency, resilience, mission continuity, and secure delivery credentials.</t>
  </si>
  <si>
    <t>Suitability / Eligibility Review; Delivery Credibility Summary; Incumbent Defensibility Assessment</t>
  </si>
  <si>
    <t>Close clearance / assurance gaps, test transition risk, and strengthen sovereign / mission assurance story.</t>
  </si>
  <si>
    <t>Emphasise patient/service continuity, assurance, governance, integration, and operational risk.</t>
  </si>
  <si>
    <t>Buyer Decision Thesis; Solution Spine; Delivery Credibility Summary</t>
  </si>
  <si>
    <t>Show lower service risk, clearer outcomes, and strong mobilisation / operational continuity logic.</t>
  </si>
  <si>
    <t>Buyer Type</t>
  </si>
  <si>
    <t>Department / ALB / Agency</t>
  </si>
  <si>
    <t>Expect formal governance, policy scrutiny, and stronger procurement discipline.</t>
  </si>
  <si>
    <t>Decision Architecture Map; Evaluation Hypothesis Map</t>
  </si>
  <si>
    <t>Map sponsor / procurement / operational decision roles and formal approvals.</t>
  </si>
  <si>
    <t>Expect affordability pressure, member / local scrutiny, and practical operational concerns.</t>
  </si>
  <si>
    <t>Buyer Anxiety &amp; Constraint Map; Commercial Stance Note</t>
  </si>
  <si>
    <t>Sharpen affordability, implementation, and local impact case.</t>
  </si>
  <si>
    <t>Expect assurance, service continuity, stakeholder complexity, and operational proof.</t>
  </si>
  <si>
    <t>Delivery Credibility Summary; Proof Map</t>
  </si>
  <si>
    <t>Strengthen operational proof and change-risk mitigation.</t>
  </si>
  <si>
    <t>Weight named people, sponsor trust, problem definition, case studies, and executive credibility more heavily.</t>
  </si>
  <si>
    <t>Stakeholder Map; Buyer Decision Thesis; Proof Map</t>
  </si>
  <si>
    <t>Improve sponsor alignment, named-team relevance, and problem framing.</t>
  </si>
  <si>
    <t>Weight solution fit, architecture credibility, implementation proof, and scoreability more heavily.</t>
  </si>
  <si>
    <t>Solution Spine; Evaluation Hypothesis Map; Proof Map</t>
  </si>
  <si>
    <t>Tighten scoreable differentiators, technical proof, and mobilisation logic.</t>
  </si>
  <si>
    <t>Weight product fit, compliance, integration, assurance, roadmap, and implementation model more heavily.</t>
  </si>
  <si>
    <t>Suitability / Eligibility Review; Solution Spine; Proof Map</t>
  </si>
  <si>
    <t>Address product fit, implementation risk, security/compliance, and commercial model.</t>
  </si>
  <si>
    <t>Weight transition, service continuity, workforce model, operational proof, and commercial robustness more heavily.</t>
  </si>
  <si>
    <t>Incumbent Defensibility Assessment; Delivery Credibility Summary; Commercial Stance Note</t>
  </si>
  <si>
    <t>Strengthen transition case, operational proof, and value-for-money logic.</t>
  </si>
  <si>
    <t>Pursuit Stage</t>
  </si>
  <si>
    <t>Actions should focus on sense-making, key unknowns, and whether to shape or drop.</t>
  </si>
  <si>
    <t>Opportunity Brief; Buyer Decision Thesis</t>
  </si>
  <si>
    <t>Clarify buyer need, route-to-market, likely field, and whether a plausible path exists.</t>
  </si>
  <si>
    <t>Actions should focus on building the minimum artifact set, validating the path to win, and closing major evidence gaps.</t>
  </si>
  <si>
    <t>Buyer Decision Thesis; Stakeholder Map; Competitor Field Map; Path-to-Win Statement</t>
  </si>
  <si>
    <t>Validate key assumptions, improve proof, and decide whether formal commitment is justified.</t>
  </si>
  <si>
    <t>Actions should focus on sharpening differentiation, proof, pricing posture, and stakeholder strategy.</t>
  </si>
  <si>
    <t>Win Themes; Proof Map; Commercial Stance Note; Gap &amp; Fix Plan</t>
  </si>
  <si>
    <t>Turn insight into clear pursuit moves and close score-critical weaknesses.</t>
  </si>
  <si>
    <t>Actions should focus on scoreability, answer strategy, proof deployment, and executive control.</t>
  </si>
  <si>
    <t>Evaluation Hypothesis Map; Solution Spine; Pursuit Operating Plan</t>
  </si>
  <si>
    <t>Translate the strategy into score-winning content and governance actions.</t>
  </si>
  <si>
    <t>Actions should focus on final red-team challenge, consistency, risk reduction, and executive sign-off.</t>
  </si>
  <si>
    <t>Objection Handling Map; Risk / Red-Line Summary; Gate Pack</t>
  </si>
  <si>
    <t>Test assumptions, fix response weaknesses, and confirm whether continued effort is justified.</t>
  </si>
  <si>
    <t>Pursuit Role</t>
  </si>
  <si>
    <t>Incumbent</t>
  </si>
  <si>
    <t>Actions should test reasons to retain, reasons to switch, performance issues, price reset risk, and renewal-plus-improvement narrative.</t>
  </si>
  <si>
    <t>Address complacency risk, value-for-money defence, and switch-risk narrative.</t>
  </si>
  <si>
    <t>Challenger</t>
  </si>
  <si>
    <t>Actions should test switch triggers, trust deficit, transition-risk neutralisation, and relative advantage over status quo.</t>
  </si>
  <si>
    <t>Buyer Decision Thesis; Path-to-Win Statement; Proof Map</t>
  </si>
  <si>
    <t>Build credible displacement logic and reduce perceived switching risk.</t>
  </si>
  <si>
    <t>Deal Size</t>
  </si>
  <si>
    <t>Actions can be tighter and faster; focus on sponsor access, named people, and practical compliance.</t>
  </si>
  <si>
    <t>Opportunity Brief; Proof Map</t>
  </si>
  <si>
    <t>Keep effort proportionate and prove relevance quickly.</t>
  </si>
  <si>
    <t>Balance access, proposition, scoreability, and delivery credibility.</t>
  </si>
  <si>
    <t>Buyer Decision Thesis; Solution Spine; Commercial Stance Note</t>
  </si>
  <si>
    <t>Sharpen the strongest two or three win levers.</t>
  </si>
  <si>
    <t>Increase scrutiny on commercial logic, delivery proof, governance, and incumbent dynamics.</t>
  </si>
  <si>
    <t>Commercial Stance Note; Delivery Credibility Summary; Incumbent Defensibility Assessment</t>
  </si>
  <si>
    <t>Stress-test risk, transition, pricing, and leadership commitment.</t>
  </si>
  <si>
    <t>Treat weaknesses more seriously; require stronger evidence, tighter governance, and a full action plan.</t>
  </si>
  <si>
    <t>Full artifact set; Gate Pack; Gap &amp; Fix Plan</t>
  </si>
  <si>
    <t>Escalate unresolved risks, assign named owners, and run formal capture governance.</t>
  </si>
  <si>
    <t>Archetype Criticality Guide</t>
  </si>
  <si>
    <t>Use this sheet to see which categories tend to matter most by opportunity archetype. This does not replace judgment, but it helps the AI and reviewers emphasise the right questions.</t>
  </si>
  <si>
    <t>Comment</t>
  </si>
  <si>
    <t>High</t>
  </si>
  <si>
    <t>Medium-High</t>
  </si>
  <si>
    <t>Medium</t>
  </si>
  <si>
    <t>People, reputation, sponsor trust, and problem understanding dominate.</t>
  </si>
  <si>
    <t>Scoreability, solution fit, proof, and delivery credibility all matter strongly.</t>
  </si>
  <si>
    <t>Medium-Low</t>
  </si>
  <si>
    <t>Very High</t>
  </si>
  <si>
    <t>Product fit, compliance, implementation, and commercial model dominate.</t>
  </si>
  <si>
    <t>Transition, service continuity, incumbent strength, and commercial/delivery viability dominate.</t>
  </si>
  <si>
    <t>Facilities / Operational Service</t>
  </si>
  <si>
    <t>Operational proof, mobilisation, and price/value matter heavily.</t>
  </si>
  <si>
    <t>Needs both transformation credibility and operational confidence.</t>
  </si>
  <si>
    <t>Low-Medium</t>
  </si>
  <si>
    <t>Route-to-market, suitability, scoreability, and breadth of proof matter most.</t>
  </si>
  <si>
    <t>Renewal logic, switch risk, performance record, and price/value defence dominate.</t>
  </si>
  <si>
    <t>Winnability Artifact &amp; Judgment Scorecard — v4</t>
  </si>
  <si>
    <t>This workbook now includes v5 contextual benchmark responses: one benchmark scenario per question, four drafted evidence-box examples per hurdle level, and an AI Benchmark Guide to compare user input against realistic pursuit language.</t>
  </si>
  <si>
    <t>What this workbook does</t>
  </si>
  <si>
    <t>1) Uses a balanced core 25-question model across buyer need, stakeholder access, competitive position, procurement / proposition fit, and commercial / delivery readiness.</t>
  </si>
  <si>
    <t>2) Adds an 8-question incumbent overlay for renewal / retention pursuits.</t>
  </si>
  <si>
    <t>3) Forces each question to reference specific artifacts and explicit evidence thresholds before the team can justify Strongly Agree.</t>
  </si>
  <si>
    <t>4) Separates artifact completeness from evidence quality, freshness, and judgment quality.</t>
  </si>
  <si>
    <t>5) Supports a balanced go / conditional go / watch / no-bid recommendation rather than a false precision forecast.</t>
  </si>
  <si>
    <t>Validation principle</t>
  </si>
  <si>
    <t>A pursuit can have complete artifacts and still lose. Artifacts prove preparation, not correctness. Judgment comes in when the team interprets what the evidence means, considers alternative explanations, and decides whether the path to win is genuinely credible rather than hopeful.</t>
  </si>
  <si>
    <t>How to use</t>
  </si>
  <si>
    <t>A) Review the Artifact_Library and Question_Artifact_Matrix.</t>
  </si>
  <si>
    <t>B) Use Core_25Q_Rubric and Incumbent_Overlay_Rubric to understand what Strongly Agree / Agree / Disagree / Strongly Disagree actually require.</t>
  </si>
  <si>
    <t>C) Complete Working_Scorecard_Core for all pursuits.</t>
  </si>
  <si>
    <t>D) If your client is the incumbent, also complete Working_Scorecard_Incumbent and set Dashboard!B3 to Incumbent.</t>
  </si>
  <si>
    <t>E) Use the Dashboard to review overall score, critical weakness counts, overlay score, and decision band.</t>
  </si>
  <si>
    <t>Critical governance rules</t>
  </si>
  <si>
    <t>• Missing critical artifacts cap the score.</t>
  </si>
  <si>
    <t>• Weak evidence quality reduces the score even if the narrative sounds confident.</t>
  </si>
  <si>
    <t>• Judgment quality is scored separately; over-claiming beyond the evidence should not receive full marks.</t>
  </si>
  <si>
    <t>• A high overall score should not override multiple weak critical questions.</t>
  </si>
  <si>
    <t>• Incumbent pursuits require the overlay because renewals fail for different reasons than challenger bids.</t>
  </si>
  <si>
    <t>New in v6</t>
  </si>
  <si>
    <t>Added Challenger overlay rubric and working scorecard with benchmark scenarios, context-sensitive actions, and score caps for weak switching logic.</t>
  </si>
  <si>
    <t>Artifact Library</t>
  </si>
  <si>
    <t>Controlled artifact set used by the rubric. Full marks generally require the required artifacts to exist and to contain the specific evidence listed in the rubric sheets.</t>
  </si>
  <si>
    <t>Artifact ID</t>
  </si>
  <si>
    <t>Artifact Name</t>
  </si>
  <si>
    <t>Purpose</t>
  </si>
  <si>
    <t>Minimum complete criteria</t>
  </si>
  <si>
    <t>A01</t>
  </si>
  <si>
    <t>Opportunity Brief</t>
  </si>
  <si>
    <t>Core summary of opportunity, buyer, scope, timing, value, route-to-market, and strategic relevance.</t>
  </si>
  <si>
    <t>Names the opportunity, buyer, service line, est. value, timing, route-to-market, incumbent (if known), and why the opportunity matters.</t>
  </si>
  <si>
    <t>A02</t>
  </si>
  <si>
    <t>Buyer Decision Thesis</t>
  </si>
  <si>
    <t>One-page statement of the buyer's real problem, desired outcomes, timing trigger, and what will drive the decision.</t>
  </si>
  <si>
    <t>States what the buyer is trying to solve, why now, the top outcomes/trade-offs, and what would make them stay or switch.</t>
  </si>
  <si>
    <t>A03</t>
  </si>
  <si>
    <t>Stakeholder Map</t>
  </si>
  <si>
    <t>Named stakeholders, roles, influence, stance, access status, and relationship owner.</t>
  </si>
  <si>
    <t>Lists key stakeholders by name/role with influence level, stance, relationship status, and actions.</t>
  </si>
  <si>
    <t>A04</t>
  </si>
  <si>
    <t>Decision Architecture Map</t>
  </si>
  <si>
    <t>How the decision will actually be made, formally and informally.</t>
  </si>
  <si>
    <t>Shows formal panel, procurement role, business owner, executive veto / override points, and likely decision sequence.</t>
  </si>
  <si>
    <t>A05</t>
  </si>
  <si>
    <t>Buyer Anxiety &amp; Constraint Map</t>
  </si>
  <si>
    <t>Main buyer fears, constraints, sensitivities, and success conditions.</t>
  </si>
  <si>
    <t>Captures transition, delivery, scrutiny, budget, timing, regulatory, and service continuity concerns.</t>
  </si>
  <si>
    <t>A06</t>
  </si>
  <si>
    <t>Competitor Field Map</t>
  </si>
  <si>
    <t>Likely field, strongest rival, incumbent position, and competitor-specific observations.</t>
  </si>
  <si>
    <t>Names likely competitors, strongest rival, service strengths, relationship position, and likely win logic.</t>
  </si>
  <si>
    <t>A07</t>
  </si>
  <si>
    <t>Incumbent Defensibility Assessment</t>
  </si>
  <si>
    <t>Why the incumbent is strong or vulnerable, including continuity bias and switching friction.</t>
  </si>
  <si>
    <t>Explains incumbent satisfaction, switching costs, embeddedness, fatigue, performance issues, and reasons to retain or switch.</t>
  </si>
  <si>
    <t>A08</t>
  </si>
  <si>
    <t>Path-to-Win Statement</t>
  </si>
  <si>
    <t>Joined-up statement of how the team expects to win.</t>
  </si>
  <si>
    <t>States why the buyer could choose us, how we beat the likely winner, and the core basis of possible win.</t>
  </si>
  <si>
    <t>A09</t>
  </si>
  <si>
    <t>Win Themes</t>
  </si>
  <si>
    <t>2–3 buyer-relevant, scoreable themes that differentiate the offer.</t>
  </si>
  <si>
    <t>No more than 3 themes, each buyer-linked, evidence-backed, and distinct from competitors.</t>
  </si>
  <si>
    <t>A10</t>
  </si>
  <si>
    <t>Proof Map</t>
  </si>
  <si>
    <t>Mapped evidence proving each win theme and lowering buyer risk.</t>
  </si>
  <si>
    <t>Maps case studies, references, SMEs, data points, accreditations, and delivery evidence to the themes.</t>
  </si>
  <si>
    <t>A11</t>
  </si>
  <si>
    <t>Solution Spine</t>
  </si>
  <si>
    <t>High-level solution, service model, transition approach, governance, and outcomes logic.</t>
  </si>
  <si>
    <t>Defines the service model, delivery model, mobilisation approach, governance, and benefits logic.</t>
  </si>
  <si>
    <t>A12</t>
  </si>
  <si>
    <t>Objection Handling Map</t>
  </si>
  <si>
    <t>Likely buyer and competitor objections plus response strategy.</t>
  </si>
  <si>
    <t>Lists likely objections, owner, rebuttal, supporting proof, and mitigation actions.</t>
  </si>
  <si>
    <t>A13</t>
  </si>
  <si>
    <t>Route-to-Market Map</t>
  </si>
  <si>
    <t>Procurement route, framework / lot status, access conditions, and route risks.</t>
  </si>
  <si>
    <t>Shows route-to-market, eligibility, framework position, timeline, and alternative routes if any.</t>
  </si>
  <si>
    <t>A14</t>
  </si>
  <si>
    <t>Evaluation Hypothesis Map</t>
  </si>
  <si>
    <t>Expected evaluation criteria, weightings, and how strengths convert into score.</t>
  </si>
  <si>
    <t>Shows likely criteria, weighting logic, likely scoring traps, and where our differentiators are visible.</t>
  </si>
  <si>
    <t>A15</t>
  </si>
  <si>
    <t>Suitability / Eligibility Review</t>
  </si>
  <si>
    <t>Mandatory requirements, compliance, accreditations, clearances, and suitability status.</t>
  </si>
  <si>
    <t>Confirms mandatory requirements, accreditations, experience thresholds, security/compliance status, and any gaps.</t>
  </si>
  <si>
    <t>A16</t>
  </si>
  <si>
    <t>Commercial Stance Note</t>
  </si>
  <si>
    <t>Early commercial position and pricing logic.</t>
  </si>
  <si>
    <t>Explains buyer commercial priorities, pricing posture, target economics, and value-for-money narrative.</t>
  </si>
  <si>
    <t>A17</t>
  </si>
  <si>
    <t>Risk / Red-Line Summary</t>
  </si>
  <si>
    <t>Commercial, contractual, transition, TUPE, liability, regulatory, and delivery risks.</t>
  </si>
  <si>
    <t>Lists key risks, red lines, mitigations, and which risks are acceptable / unacceptable.</t>
  </si>
  <si>
    <t>A18</t>
  </si>
  <si>
    <t>Delivery Credibility Summary</t>
  </si>
  <si>
    <t>Why the team is credible to deliver the requirement at scale.</t>
  </si>
  <si>
    <t>Summarises analogous delivery, capacity, mobilisation capability, partner support, and delivery assurances.</t>
  </si>
  <si>
    <t>A19</t>
  </si>
  <si>
    <t>Gap &amp; Fix Plan</t>
  </si>
  <si>
    <t>Material weaknesses, whether they are fixable, owners, and deadlines.</t>
  </si>
  <si>
    <t>Lists gaps, impact, fixability, owner, due date, and confidence in fix.</t>
  </si>
  <si>
    <t>A20</t>
  </si>
  <si>
    <t>Pursuit Operating Plan</t>
  </si>
  <si>
    <t>Roles, governance cadence, milestones, and pursuit resources.</t>
  </si>
  <si>
    <t>Assigns capture lead, solution lead, commercial lead, SMEs, review cadence, and key milestones.</t>
  </si>
  <si>
    <t>A21</t>
  </si>
  <si>
    <t>Formal Gate Recommendation Pack</t>
  </si>
  <si>
    <t>Synthesised recommendation for go / conditional go / watch / no bid.</t>
  </si>
  <si>
    <t>Contains the decision recommendation, rationale, critical weaknesses, actions, and executive asks.</t>
  </si>
  <si>
    <t>A22</t>
  </si>
  <si>
    <t>Buyer Engagement &amp; Signal Log</t>
  </si>
  <si>
    <t>Evidence from live interactions, access, signals, and buyer pull.</t>
  </si>
  <si>
    <t>Logs key interactions, actions, sensitive info shared, message adoption, and what each signal implies.</t>
  </si>
  <si>
    <t>A23</t>
  </si>
  <si>
    <t>Partner Strategy &amp; Coverage</t>
  </si>
  <si>
    <t>Required partners, roles, economics, and readiness.</t>
  </si>
  <si>
    <t>Names partners, gap coverage, roles, commercial logic, readiness, and residual dependencies.</t>
  </si>
  <si>
    <t>Original 24 Questions (user-provided workbook)</t>
  </si>
  <si>
    <t>Copied from the uploaded PWIN_Question_Weights.xlsx file to preserve the starting point for redesign.</t>
  </si>
  <si>
    <t>Original #</t>
  </si>
  <si>
    <t>Original Category</t>
  </si>
  <si>
    <t>Topic</t>
  </si>
  <si>
    <t>Original Question</t>
  </si>
  <si>
    <t>Default Weight</t>
  </si>
  <si>
    <t>Notes</t>
  </si>
  <si>
    <t>Competitive Positioning</t>
  </si>
  <si>
    <t>Strategy Foundation</t>
  </si>
  <si>
    <t>We have defined both a route-to-market strategy and a competitive approach, shared it across the pursuit team, and it is built on our proven strengths while directly targeting gaps in our competitors' offerings.</t>
  </si>
  <si>
    <t>Competitive Intelligence</t>
  </si>
  <si>
    <t>We have identified our primary competitors on this opportunity, understand the strengths they will rely on, and have a costed tactical plan to outperform them at evaluation.</t>
  </si>
  <si>
    <t>Winning Proposition</t>
  </si>
  <si>
    <t>We have evidence that our central winning proposition has resonated with key stakeholders and is shaping the client's evaluation criteria, and we have demonstrated that only we can deliver it convincingly.</t>
  </si>
  <si>
    <t>Countertactics</t>
  </si>
  <si>
    <t>We have anticipated the moves our competitors are most likely to make against us and have embedded specific counter-measures into our pursuit plan.</t>
  </si>
  <si>
    <t>Procurement Intelligence</t>
  </si>
  <si>
    <t>Clarity of Approval Steps</t>
  </si>
  <si>
    <t>The client has shared their full approval and sign-off sequence with us, and we have validated it as credible given the contract value, their organisational structure, and their procurement track record.</t>
  </si>
  <si>
    <t>Decision Criteria &amp; Drivers</t>
  </si>
  <si>
    <t>We have obtained the client's minimum award criteria and their priority evaluation themes, understand what is driving them, and can either demonstrate clear superiority against them or have an active plan to shape them.</t>
  </si>
  <si>
    <t>Decision Timeline</t>
  </si>
  <si>
    <t>We understand the client's procurement timeline, the factors driving each key milestone, and we have a realistic capture plan to meet them.</t>
  </si>
  <si>
    <t>Final Veto Rights</t>
  </si>
  <si>
    <t>We have identified by name and role the most senior individual who could override the formal evaluation panel at each level of the client's hierarchy, and have a plan to manage that risk.</t>
  </si>
  <si>
    <t>Stakeholder Strength</t>
  </si>
  <si>
    <t>Internal Champion</t>
  </si>
  <si>
    <t>Within the client's senior decision-making network, we have developed one or more internal champions who have committed to a joint action plan with specific milestones to advance our position.</t>
  </si>
  <si>
    <t>Competitor Relationships</t>
  </si>
  <si>
    <t>We have identified the client contacts our key competitors are relying on for support, and we are executing a specific plan to neutralise their influence.</t>
  </si>
  <si>
    <t>Evaluator Coverage</t>
  </si>
  <si>
    <t>The client's technical evaluators and business case owners have confirmed that our proposed approach meets their minimum requirements and are actively supportive of our solution.</t>
  </si>
  <si>
    <t>Decision Authority Relationships</t>
  </si>
  <si>
    <t>Compared to our competitors, we have stronger working relationships with the individuals who hold decision authority and those who meaningfully influence the award outcome.</t>
  </si>
  <si>
    <t>Organisational Influence</t>
  </si>
  <si>
    <t>Network of Influence</t>
  </si>
  <si>
    <t>We have mapped the client's senior decision-making network and broader sphere of influence, understand the key relationships between them, and are actively leveraging this to our advantage.</t>
  </si>
  <si>
    <t>Personal Agendas</t>
  </si>
  <si>
    <t>We have identified how key senior individuals benefit personally or professionally from selecting us, and we are using this insight to reinforce our proposition over competitors.</t>
  </si>
  <si>
    <t>Power Dynamics</t>
  </si>
  <si>
    <t>We understand the internal political dynamics within the client and are aligned with the individuals and factions most likely to carry influence over the final decision.</t>
  </si>
  <si>
    <t>Political Coaching</t>
  </si>
  <si>
    <t>We have trusted sources within the client organisation who regularly provide us with political insight and guidance on how to strengthen our position.</t>
  </si>
  <si>
    <t>Value Proposition</t>
  </si>
  <si>
    <t>Co-Developed</t>
  </si>
  <si>
    <t>Our value proposition has been shaped through direct collaboration with the client and is grounded in their specific organisational priorities, constraints, and expectations.</t>
  </si>
  <si>
    <t>Client Value Justification</t>
  </si>
  <si>
    <t>We have validated our cost-benefit case with the right client stakeholders and they have confirmed the credibility of the projected impacts on their key operational and financial outcomes.</t>
  </si>
  <si>
    <t>Differentiated</t>
  </si>
  <si>
    <t>We have embedded clear differentiators into our value narrative, and influential client stakeholders have confirmed these set us apart from the competition.</t>
  </si>
  <si>
    <t>Validated Alignment</t>
  </si>
  <si>
    <t>Key client stakeholders have confirmed internally that our proposition is well-aligned to their strategic priorities, that our solution is credible, and that our approach is the strongest on offer.</t>
  </si>
  <si>
    <t>Pursuit Progress</t>
  </si>
  <si>
    <t>Client Engagement</t>
  </si>
  <si>
    <t>The client is investing meaningful time and resource in our collaboration, with both sides holding live actions that are actively developing the business case.</t>
  </si>
  <si>
    <t>Communication Transparency</t>
  </si>
  <si>
    <t>The client is sharing sensitive or non-public information with us that is enabling us to build a stronger and more targeted proposition.</t>
  </si>
  <si>
    <t>Message Adoption</t>
  </si>
  <si>
    <t>Client decision-makers and their teams are using our language and framing internally, indicating that our narrative has been adopted beyond the immediate contacts we brief.</t>
  </si>
  <si>
    <t>Future Focus</t>
  </si>
  <si>
    <t>We have had substantive conversations with senior client contacts about the shape of a long-term partnership, including future phases, extensions, or adjacent work.</t>
  </si>
  <si>
    <t>Core 25-Question Model</t>
  </si>
  <si>
    <t>Balanced core model used for all pursuits. Each category contains 5 questions; category weighting is applied at scorecard level.</t>
  </si>
  <si>
    <t>Category</t>
  </si>
  <si>
    <t>Category Weight %</t>
  </si>
  <si>
    <t>Critical?</t>
  </si>
  <si>
    <t>Short Label</t>
  </si>
  <si>
    <t>Question</t>
  </si>
  <si>
    <t>Why this question is asked</t>
  </si>
  <si>
    <t>Required Artifacts</t>
  </si>
  <si>
    <t>Yes</t>
  </si>
  <si>
    <t>Reason for change now</t>
  </si>
  <si>
    <t>There is a clearly evidenced reason the buyer wants meaningful change now.</t>
  </si>
  <si>
    <t>Tests the strength of the buyer's need-to-change rather than assuming the existence of a tender means appetite for change.</t>
  </si>
  <si>
    <t>A01, A02, A05, A22</t>
  </si>
  <si>
    <t>No</t>
  </si>
  <si>
    <t>High-priority problem</t>
  </si>
  <si>
    <t>The opportunity addresses a high-priority business problem, not just a formal procurement cycle.</t>
  </si>
  <si>
    <t>Separates real demand pull from process-led renewals or low-priority buying events.</t>
  </si>
  <si>
    <t>A01, A02</t>
  </si>
  <si>
    <t>Outcomes and trade-offs</t>
  </si>
  <si>
    <t>We understand the buyer’s top three desired outcomes and the trade-offs between them.</t>
  </si>
  <si>
    <t>Tests whether the team knows what success actually means and what will be sacrificed to achieve it.</t>
  </si>
  <si>
    <t>A02, A05, A14</t>
  </si>
  <si>
    <t>Status quo / retain incumbent</t>
  </si>
  <si>
    <t>We understand what would make the buyer retain the incumbent or stay close to the status quo.</t>
  </si>
  <si>
    <t>Forces explicit understanding of continuity bias, switching friction, and reasons to keep things largely unchanged.</t>
  </si>
  <si>
    <t>A02, A07</t>
  </si>
  <si>
    <t>Why now</t>
  </si>
  <si>
    <t>We can clearly explain why the buyer is going to market now rather than later.</t>
  </si>
  <si>
    <t>Tests timing trigger and urgency, including policy, budget, performance, political, or expiry-driven triggers.</t>
  </si>
  <si>
    <t>A01, A02, A14, A22</t>
  </si>
  <si>
    <t>Real decision-makers known</t>
  </si>
  <si>
    <t>We know who the real decision-makers and influencers are, beyond the formal procurement contacts.</t>
  </si>
  <si>
    <t>Tests whether the team understands who actually shapes the decision, not just the visible contacts.</t>
  </si>
  <si>
    <t>A03, A04</t>
  </si>
  <si>
    <t>Access or reliable insight</t>
  </si>
  <si>
    <t>We have meaningful access to, or reliable insight into, the priorities of the most important stakeholders.</t>
  </si>
  <si>
    <t>Tests access or high-quality proxy insight into stakeholder priorities.</t>
  </si>
  <si>
    <t>A03, A04, A22</t>
  </si>
  <si>
    <t>Stakeholder anxieties understood</t>
  </si>
  <si>
    <t>We understand the main stakeholder anxieties that could work against us, such as transition risk, delivery risk, scrutiny, or affordability.</t>
  </si>
  <si>
    <t>Strong pursuits solve fears as well as needs; this checks if those fears are known and documented.</t>
  </si>
  <si>
    <t>A05, A12, A22</t>
  </si>
  <si>
    <t>Credible and relevant bidder</t>
  </si>
  <si>
    <t>We are seen by key stakeholders as a credible and relevant bidder for this requirement.</t>
  </si>
  <si>
    <t>Tests whether the team is genuinely shortlist-plausible in buyer eyes, not just self-assessed as relevant.</t>
  </si>
  <si>
    <t>A03, A18, A22</t>
  </si>
  <si>
    <t>Active buyer pull</t>
  </si>
  <si>
    <t>The client is engaging with us in ways that indicate active interest in our thinking, not just routine supplier interaction.</t>
  </si>
  <si>
    <t>Captures active buyer pull, such as time, actions, signal sharing, or message uptake.</t>
  </si>
  <si>
    <t>A22, A03</t>
  </si>
  <si>
    <t>Strongest rival identified</t>
  </si>
  <si>
    <t>We know the likely competitive field well enough to identify the strongest rival on this opportunity.</t>
  </si>
  <si>
    <t>Basic but essential understanding of the actual field rather than a generic competitor universe.</t>
  </si>
  <si>
    <t>Incumbent strengths and vulnerabilities</t>
  </si>
  <si>
    <t>We understand the incumbent’s real strengths, embedded advantages, and vulnerabilities.</t>
  </si>
  <si>
    <t>Tests incumbent defensibility, continuity bias, and displacement difficulty.</t>
  </si>
  <si>
    <t>A07, A06</t>
  </si>
  <si>
    <t>Evidenced advantage over likely winner</t>
  </si>
  <si>
    <t>We have a clear, evidenced advantage over the most likely winner on what matters most to the buyer.</t>
  </si>
  <si>
    <t>This is one of the core winnability questions: do we have a buyer-relevant edge against the likely winner?</t>
  </si>
  <si>
    <t>A06, A08, A09, A10</t>
  </si>
  <si>
    <t>Path to win not based on luck</t>
  </si>
  <si>
    <t>Our path to win does not depend mainly on competitor failure, poor execution, or luck.</t>
  </si>
  <si>
    <t>Challenges optimism bias and asks whether the pursuit can win on its own merits.</t>
  </si>
  <si>
    <t>A06, A08, A19</t>
  </si>
  <si>
    <t>Competitor positioning and response</t>
  </si>
  <si>
    <t>We understand how the strongest competitors are likely to position themselves and how we will respond.</t>
  </si>
  <si>
    <t>Tests competitor-aware positioning and preparedness to counter likely rival narratives.</t>
  </si>
  <si>
    <t>A06, A08, A12</t>
  </si>
  <si>
    <t>Strengths are scoreable</t>
  </si>
  <si>
    <t>The procurement route, rules, and likely evaluation approach allow our strengths to be visible and scoreable.</t>
  </si>
  <si>
    <t>Tests whether the procurement design can actually reward our strengths rather than suppress them.</t>
  </si>
  <si>
    <t>A13, A14</t>
  </si>
  <si>
    <t>Mandatorys / suitability met</t>
  </si>
  <si>
    <t>We meet the mandatory requirements, route-to-market access conditions, and suitability criteria.</t>
  </si>
  <si>
    <t>Prevents the team overstating winnability when eligibility or suitability is weak.</t>
  </si>
  <si>
    <t>A13, A15</t>
  </si>
  <si>
    <t>Proposition aligned</t>
  </si>
  <si>
    <t>Our proposition is clearly aligned to the buyer’s strategic priorities, operational constraints, and success measures.</t>
  </si>
  <si>
    <t>Checks that the solution is aligned to what the buyer actually values and what the environment can support.</t>
  </si>
  <si>
    <t>A02, A09, A11</t>
  </si>
  <si>
    <t>Proof reduces risk</t>
  </si>
  <si>
    <t>We have directly relevant proof points that materially reduce the buyer’s perceived risk in choosing us.</t>
  </si>
  <si>
    <t>Tests whether the proof story is strong enough to reduce selection and delivery risk.</t>
  </si>
  <si>
    <t>A10, A18</t>
  </si>
  <si>
    <t>Differentiators influence scoring</t>
  </si>
  <si>
    <t>Our differentiators are clear, buyer-relevant, and likely to influence scoring rather than just sounding attractive.</t>
  </si>
  <si>
    <t>Stops generic differentiation claims and checks whether differentiators are likely to convert into score.</t>
  </si>
  <si>
    <t>A08, A09, A10, A14</t>
  </si>
  <si>
    <t>Commercially viable to win</t>
  </si>
  <si>
    <t>We can price this opportunity credibly and still achieve acceptable economics for our business.</t>
  </si>
  <si>
    <t>Tests whether the deal is commercially winnable without destructive pricing or margin sacrifice.</t>
  </si>
  <si>
    <t>A16, A17</t>
  </si>
  <si>
    <t>Delivery &amp; partner credibility</t>
  </si>
  <si>
    <t>Our delivery model, delivery capacity, and any required partners are credible enough to support a winning bid.</t>
  </si>
  <si>
    <t>Tests whether the delivery and partner model is believable at the required scale and pace.</t>
  </si>
  <si>
    <t>A11, A18, A23</t>
  </si>
  <si>
    <t>Risks manageable</t>
  </si>
  <si>
    <t>The key contractual, transition, TUPE, regulatory, security, or liability risks are manageable.</t>
  </si>
  <si>
    <t>Tests whether the risk profile is acceptable and understood rather than assumed away.</t>
  </si>
  <si>
    <t>A17, A19</t>
  </si>
  <si>
    <t>Pursuit team ready</t>
  </si>
  <si>
    <t>We have the internal leadership, SMEs, time, and bid resources required to prosecute this pursuit well.</t>
  </si>
  <si>
    <t>Strong opportunities still fail if the pursuit cannot be executed to the required standard.</t>
  </si>
  <si>
    <t>A20, A21</t>
  </si>
  <si>
    <t>Opportunity genuinely contestable</t>
  </si>
  <si>
    <t>The client’s behavior so far suggests the opportunity is still genuinely contestable rather than effectively pre-decided.</t>
  </si>
  <si>
    <t>Tests whether the deal remains open enough to justify serious pursuit effort.</t>
  </si>
  <si>
    <t>A22, A04, A06, A07</t>
  </si>
  <si>
    <t>Original vs Redesigned Model</t>
  </si>
  <si>
    <t>Shows how each original question maps to the redesigned model. The redesign splits several broad relationship-led questions into more explicit buyer-need, scoreability, proof, and commercial/delivery tests.</t>
  </si>
  <si>
    <t>Original Topic</t>
  </si>
  <si>
    <t>Primary New Question IDs</t>
  </si>
  <si>
    <t>Why the redesign changed it</t>
  </si>
  <si>
    <t>Q13, Q15, Q16, Q20</t>
  </si>
  <si>
    <t>Split into comparative advantage, competitor response, scoreability, and differentiator strength rather than one broad strategic statement.</t>
  </si>
  <si>
    <t>Q11, Q13, Q15, Q21</t>
  </si>
  <si>
    <t>Retains competitor understanding but now tests against the likely winner and commercial realism.</t>
  </si>
  <si>
    <t>Q18, Q19, Q20, Q10</t>
  </si>
  <si>
    <t>Moves buyer resonance into proposition fit, proof, differentiation, and active buyer pull.</t>
  </si>
  <si>
    <t>Q15, Q14, Q12</t>
  </si>
  <si>
    <t>Keeps countertactics but reduces speculative scoring by linking to path-to-win and incumbent dynamics.</t>
  </si>
  <si>
    <t>Q06, Q04, Q25</t>
  </si>
  <si>
    <t>Approval sequence becomes part of decision architecture and contestability rather than a standalone strength claim.</t>
  </si>
  <si>
    <t>Q03, Q16, Q18, Q20</t>
  </si>
  <si>
    <t>Retained but strengthened by separating buyer outcomes from procurement scoreability.</t>
  </si>
  <si>
    <t>Q05, Q24</t>
  </si>
  <si>
    <t>Timeline moved from strategic scoring to pursuit readiness; lower predictive value for winning.</t>
  </si>
  <si>
    <t>Q06, Q25</t>
  </si>
  <si>
    <t>Veto rights treated as part of decision architecture and contestability rather than a standalone power-play question.</t>
  </si>
  <si>
    <t>Q07, Q09, Q10</t>
  </si>
  <si>
    <t>Champion logic becomes access, credibility, and buyer pull rather than assuming internal advocacy equals win strength.</t>
  </si>
  <si>
    <t>Q12, Q15</t>
  </si>
  <si>
    <t>Competitor-contact knowledge becomes incumbent/competitor understanding and response planning.</t>
  </si>
  <si>
    <t>Q07, Q09, Q19</t>
  </si>
  <si>
    <t>Evaluator support becomes access, credibility, and relevant proof rather than assumed endorsement.</t>
  </si>
  <si>
    <t>Q07, Q09, Q13</t>
  </si>
  <si>
    <t>Relationship strength retained but grounded in buyer-relevant comparative advantage rather than pure relationship optimism.</t>
  </si>
  <si>
    <t>Q06, Q07</t>
  </si>
  <si>
    <t>Network mapping retained inside decision-maker and access questions to avoid double counting.</t>
  </si>
  <si>
    <t>Q07, Q08</t>
  </si>
  <si>
    <t>Personal agenda logic narrowed into stakeholder priorities and anxieties; avoids overclaiming individual motivations.</t>
  </si>
  <si>
    <t>Q06, Q08</t>
  </si>
  <si>
    <t>Power dynamics retained inside decision architecture and stakeholder risk/anxiety understanding.</t>
  </si>
  <si>
    <t>Q07, Q08, Q10</t>
  </si>
  <si>
    <t>Political coaching becomes part of buyer insight quality and buyer pull; avoids rewarding rumor alone.</t>
  </si>
  <si>
    <t>Q18, Q03</t>
  </si>
  <si>
    <t>Co-developed value proposition becomes buyer alignment and outcome/trade-off understanding.</t>
  </si>
  <si>
    <t>Q18, Q21</t>
  </si>
  <si>
    <t>Cost-benefit validation retained but moved into commercial viability and proposition alignment.</t>
  </si>
  <si>
    <t>Q20, Q13</t>
  </si>
  <si>
    <t>Differentiation retained but now explicitly linked to scoreability and advantage over likely winner.</t>
  </si>
  <si>
    <t>Q18, Q19, Q09</t>
  </si>
  <si>
    <t>Validated alignment becomes proposition fit, proof, and credibility rather than a broad endorsement claim.</t>
  </si>
  <si>
    <t>Q10, Q25</t>
  </si>
  <si>
    <t>Client engagement retained as buyer pull and contestability.</t>
  </si>
  <si>
    <t>Sensitive information sharing retained inside buyer pull / contestability rather than as a standalone proxy.</t>
  </si>
  <si>
    <t>Q10, Q18, Q20</t>
  </si>
  <si>
    <t>Message adoption retained as buyer pull and proposition resonance.</t>
  </si>
  <si>
    <t>Future partnership discussions retained but treated as a weaker contestability signal, not a win proxy on its own.</t>
  </si>
  <si>
    <t>Core 25Q Rubric — Contextual Benchmark Responses, Execution, Judgment &amp; Coaching (v5)</t>
  </si>
  <si>
    <t>This rubric uses one benchmark scenario per question. The example responses show what a user might actually write in the evidence box at each hurdle level. AI should compare the user's wording, judgments, specificity, and implications against the benchmark response — not just keyword-match artifacts.</t>
  </si>
  <si>
    <t>Especially critical for</t>
  </si>
  <si>
    <t>Why asked</t>
  </si>
  <si>
    <t>Required artifacts</t>
  </si>
  <si>
    <t>Execution evidence required / salient decisions and insights</t>
  </si>
  <si>
    <t>Strongly Agree hurdle</t>
  </si>
  <si>
    <t>Agree hurdle</t>
  </si>
  <si>
    <t>Disagree hurdle</t>
  </si>
  <si>
    <t>Strongly Disagree hurdle</t>
  </si>
  <si>
    <t>Benchmark scenario (for AI comparison)</t>
  </si>
  <si>
    <t>Example — Strongly Agree</t>
  </si>
  <si>
    <t>Example — Agree</t>
  </si>
  <si>
    <t>Example — Disagree</t>
  </si>
  <si>
    <t>Example — Strongly Disagree</t>
  </si>
  <si>
    <t>Challenge questions — Strongly Agree</t>
  </si>
  <si>
    <t>Challenge questions — Agree</t>
  </si>
  <si>
    <t>Challenge questions — Disagree</t>
  </si>
  <si>
    <t>Challenge questions — Strongly Disagree</t>
  </si>
  <si>
    <t>Action focus / artifact outcomes</t>
  </si>
  <si>
    <t>Context-sensitive actions — Strongly Agree</t>
  </si>
  <si>
    <t>Context-sensitive actions — Agree</t>
  </si>
  <si>
    <t>Context-sensitive actions — Disagree</t>
  </si>
  <si>
    <t>Context-sensitive actions — Strongly Disagree</t>
  </si>
  <si>
    <t>What would move up one level</t>
  </si>
  <si>
    <t>Score cap / warning</t>
  </si>
  <si>
    <t>Critical across all archetypes; particularly important in Consulting / Advisory, Hybrid, and pre-gate shaping where the real reason to change is often under-specified.</t>
  </si>
  <si>
    <t>A01 Opportunity Brief; A02 Buyer Decision Thesis; A05 Buyer Anxiety &amp; Constraint Map; A22 Buyer Engagement &amp; Signal Log</t>
  </si>
  <si>
    <t>State the trigger for change, why it matters now, and what evidence shows the buyer wants meaningful movement rather than routine renewal.</t>
  </si>
  <si>
    <t>The written evidence shows the team has executed the thinking, made the key decisions and trade-offs, documented the implication, and reinforced the position in the relevant artifact(s). The conclusion is explicit, evidence-backed, and challenge-resistant.</t>
  </si>
  <si>
    <t>The team has executed most of the thinking and documented a credible position, but one or more judgments remain partly inferred, incompletely evidenced, or not yet fully translated into a clear artifact outcome.</t>
  </si>
  <si>
    <t>Some work may have been done, but the written record does not yet communicate the key decision, insight, trade-off, or implication strongly enough to support the claim.</t>
  </si>
  <si>
    <t>There is no credible evidence of executed thinking, no documented conclusion that answers the question, or the available evidence points in the opposite direction.</t>
  </si>
  <si>
    <t>S1 — Central government | BPO managed service | £100m | Capture phase | Challenger | Reprocurement from incumbent</t>
  </si>
  <si>
    <t>Buyer Decision Thesis records three change triggers for the department: current service KPIs have slipped for two consecutive quarters, the operating cost base exceeds the business case target, and the sponsor wants a lower-risk transition before the next spending review. These points are triangulated through the market-engagement pack, account notes, and the Opportunity Brief, and the implication documented is that the buyer wants measurable service improvement rather than another like-for-like renewal.</t>
  </si>
  <si>
    <t>The Opportunity Brief states that the department is seeking service improvement and cost reduction, and account intelligence suggests current performance is under review. The team has documented a credible reason for change, but the evidence is still partly indirect and not yet fully translated into a clear buyer decision thesis.</t>
  </si>
  <si>
    <t>The team assumes the department wants change because the contract is being recompeted and because efficiency is a common theme in central government. The note names no decisive trigger and does not document why the buyer would want meaningful movement rather than a routine rerun.</t>
  </si>
  <si>
    <t>We think the buyer wants change because there is a tender. No documented trigger, stakeholder signal, or service issue is recorded to support that conclusion.</t>
  </si>
  <si>
    <t>Re-test whether the documented need-to-change is still current, whether the strongest evidence comes from direct buyer signals or inference, and whether the decision thesis would survive a challenge from procurement, finance, and operations.</t>
  </si>
  <si>
    <t>Which part of the buyer need-to-change is still inferred, weakly validated, or not yet translated into a clear decision thesis? What conflicting evidence exists?</t>
  </si>
  <si>
    <t>Have we confused a published procurement with real buyer appetite for change? What decisive trigger, consequence of inaction, or stakeholder priority is still missing?</t>
  </si>
  <si>
    <t>What evidence would we need before we could credibly claim real buyer momentum? Is this pursuit being carried by hope rather than need?</t>
  </si>
  <si>
    <t>Strengthen the Opportunity Brief, Buyer Decision Thesis, Buyer Anxiety &amp; Constraint Map, and any engagement log so they communicate the actual trigger, urgency, trade-offs, and implications for the pursuit.</t>
  </si>
  <si>
    <t>Maintain and harden the position for [{Sector}] / [{Buyer Type}] / [{Stage}] / [{Role}] / [{Deal Size}]: keep the documented conclusion current, pressure-test it against new buyer and competitor signals, and refresh the named artifact(s): A01 Opportunity Brief; A02 Buyer Decision Thesis; A05 Buyer Anxiety &amp; Constraint Map; A22 Buyer Engagement &amp; Signal Log.</t>
  </si>
  <si>
    <t>Close the main evidence or interpretation gaps for [{Archetype}] / [{Stage}] / [{Role}]. Update the artifact outcome(s) in A01 Opportunity Brief; A02 Buyer Decision Thesis; A05 Buyer Anxiety &amp; Constraint Map; A22 Buyer Engagement &amp; Signal Log so the key judgment, trade-off, and implication are explicit and better supported.</t>
  </si>
  <si>
    <t>Rework the underlying analysis for [{Sector}] / [{Buyer Type}] / [{Archetype}]. Use A01 Opportunity Brief; A02 Buyer Decision Thesis; A05 Buyer Anxiety &amp; Constraint Map; A22 Buyer Engagement &amp; Signal Log to document the missing decision, trade-off, and implication; then test the conclusion with fresher buyer / market evidence.</t>
  </si>
  <si>
    <t>Treat this as a major weakness. Before scoring positively, rebuild the relevant artifact outcome(s) in A01 Opportunity Brief; A02 Buyer Decision Thesis; A05 Buyer Anxiety &amp; Constraint Map; A22 Buyer Engagement &amp; Signal Log, gather direct evidence, and decide whether the pursuit should be reshaped, deferred, or stopped for [{Stage}] / [{Role}] / [{Deal Size}].</t>
  </si>
  <si>
    <t>Move up one level by strengthening the artifact outcome, making the key judgment explicit, adding fresher or more direct evidence, and linking the conclusion to a specific pursuit implication and action.</t>
  </si>
  <si>
    <t>Max = Disagree if the core artifact set is absent or materially incomplete; Max = Agree if the artifact exists but does not clearly communicate the salient decision / insight.</t>
  </si>
  <si>
    <t>A01 Opportunity Brief; A02 Buyer Decision Thesis</t>
  </si>
  <si>
    <t>Show why this problem sits high on the buyer agenda and what consequences arise if it is not addressed.</t>
  </si>
  <si>
    <t>The Buyer Decision Thesis documents that the procurement is tied to a priority operating issue: service failures are hitting ministerial attention, the programme is on the departmental risk register, and the sponsor has linked the outcome to a formal efficiency target. The team has written down why this is a live business problem rather than a procedural buying event and what that means for our positioning.</t>
  </si>
  <si>
    <t>The team has recorded that the opportunity appears important because of cost pressure and service expectations, and there are signs the sponsor cares about the outcome. The note is credible, but it does not yet prove the problem sits high enough on the buyer agenda to outweigh continuity bias.</t>
  </si>
  <si>
    <t>The write-up says this looks important because of the contract value and the visibility of the department. It does not evidence that the problem is priority-led rather than simply a scheduled procurement.</t>
  </si>
  <si>
    <t>There is no written basis for saying this is a high-priority problem; the team is treating the opportunity as important simply because it exists.</t>
  </si>
  <si>
    <t>Maintain and harden the position for [{Sector}] / [{Buyer Type}] / [{Stage}] / [{Role}] / [{Deal Size}]: keep the documented conclusion current, pressure-test it against new buyer and competitor signals, and refresh the named artifact(s): A01 Opportunity Brief; A02 Buyer Decision Thesis.</t>
  </si>
  <si>
    <t>Close the main evidence or interpretation gaps for [{Archetype}] / [{Stage}] / [{Role}]. Update the artifact outcome(s) in A01 Opportunity Brief; A02 Buyer Decision Thesis so the key judgment, trade-off, and implication are explicit and better supported.</t>
  </si>
  <si>
    <t>Rework the underlying analysis for [{Sector}] / [{Buyer Type}] / [{Archetype}]. Use A01 Opportunity Brief; A02 Buyer Decision Thesis to document the missing decision, trade-off, and implication; then test the conclusion with fresher buyer / market evidence.</t>
  </si>
  <si>
    <t>Treat this as a major weakness. Before scoring positively, rebuild the relevant artifact outcome(s) in A01 Opportunity Brief; A02 Buyer Decision Thesis, gather direct evidence, and decide whether the pursuit should be reshaped, deferred, or stopped for [{Stage}] / [{Role}] / [{Deal Size}].</t>
  </si>
  <si>
    <t>A02 Buyer Decision Thesis; A05 Buyer Anxiety &amp; Constraint Map; A14 Evaluation Hypothesis Map</t>
  </si>
  <si>
    <t>Name the top outcomes, the trade-offs between them, and what the buyer is prepared to prioritise or sacrifice.</t>
  </si>
  <si>
    <t>S2 — Local government | Consulting / advisory | £3m | Pre-gate | Challenger | Open competition</t>
  </si>
  <si>
    <t>The Buyer Decision Thesis for the council sets out the top three outcomes as faster decision support to senior leaders, a politically credible transformation roadmap, and capability transfer to internal teams. It also records the trade-off that pace matters more than broad scope in year one, which is why the solution spine is deliberately narrow and people-led.</t>
  </si>
  <si>
    <t>The team has identified likely council outcomes around transformation, assurance, and pace, and those priorities are referenced in the working narrative. However, the trade-offs between them are not yet fully evidenced or consistently reflected across the artifacts.</t>
  </si>
  <si>
    <t>The note lists several plausible outcomes for the council but does not clearly rank them or explain what the buyer is willing to sacrifice. It reads more like a generic consulting proposition than a documented decision view.</t>
  </si>
  <si>
    <t>No clear top outcomes or trade-offs are documented; the response relies on broad assumptions about what councils usually want.</t>
  </si>
  <si>
    <t>Maintain and harden the position for [{Sector}] / [{Buyer Type}] / [{Stage}] / [{Role}] / [{Deal Size}]: keep the documented conclusion current, pressure-test it against new buyer and competitor signals, and refresh the named artifact(s): A02 Buyer Decision Thesis; A05 Buyer Anxiety &amp; Constraint Map; A14 Evaluation Hypothesis Map.</t>
  </si>
  <si>
    <t>Close the main evidence or interpretation gaps for [{Archetype}] / [{Stage}] / [{Role}]. Update the artifact outcome(s) in A02 Buyer Decision Thesis; A05 Buyer Anxiety &amp; Constraint Map; A14 Evaluation Hypothesis Map so the key judgment, trade-off, and implication are explicit and better supported.</t>
  </si>
  <si>
    <t>Rework the underlying analysis for [{Sector}] / [{Buyer Type}] / [{Archetype}]. Use A02 Buyer Decision Thesis; A05 Buyer Anxiety &amp; Constraint Map; A14 Evaluation Hypothesis Map to document the missing decision, trade-off, and implication; then test the conclusion with fresher buyer / market evidence.</t>
  </si>
  <si>
    <t>Treat this as a major weakness. Before scoring positively, rebuild the relevant artifact outcome(s) in A02 Buyer Decision Thesis; A05 Buyer Anxiety &amp; Constraint Map; A14 Evaluation Hypothesis Map, gather direct evidence, and decide whether the pursuit should be reshaped, deferred, or stopped for [{Stage}] / [{Role}] / [{Deal Size}].</t>
  </si>
  <si>
    <t>A02 Buyer Decision Thesis; A07 Incumbent Defensibility Assessment</t>
  </si>
  <si>
    <t>Explain why the buyer might keep the incumbent or stay close to the status quo, including continuity, switching cost, or political risk.</t>
  </si>
  <si>
    <t>The team has documented that the department may retain the incumbent because of operational embeddedness, lower perceived transition risk, and acceptable baseline performance in two critical service towers. That conclusion is captured in the Incumbent Defensibility Assessment together with the implication that our case must make switching risk feel lower than staying put.</t>
  </si>
  <si>
    <t>The team has written down continuity, embedded knowledge, and buyer caution as likely reasons to stay with the incumbent. The logic is credible, but it is not yet supported by enough direct evidence on how heavily those factors will influence the decision.</t>
  </si>
  <si>
    <t>The note says the incumbent will probably be favored because incumbents usually are. It does not document the specific retention drivers for this buyer or the implications for the pursuit.</t>
  </si>
  <si>
    <t>No serious written view exists on why the buyer might retain the incumbent or prefer the status quo.</t>
  </si>
  <si>
    <t>Maintain and harden the position for [{Sector}] / [{Buyer Type}] / [{Stage}] / [{Role}] / [{Deal Size}]: keep the documented conclusion current, pressure-test it against new buyer and competitor signals, and refresh the named artifact(s): A02 Buyer Decision Thesis; A07 Incumbent Defensibility Assessment.</t>
  </si>
  <si>
    <t>Close the main evidence or interpretation gaps for [{Archetype}] / [{Stage}] / [{Role}]. Update the artifact outcome(s) in A02 Buyer Decision Thesis; A07 Incumbent Defensibility Assessment so the key judgment, trade-off, and implication are explicit and better supported.</t>
  </si>
  <si>
    <t>Rework the underlying analysis for [{Sector}] / [{Buyer Type}] / [{Archetype}]. Use A02 Buyer Decision Thesis; A07 Incumbent Defensibility Assessment to document the missing decision, trade-off, and implication; then test the conclusion with fresher buyer / market evidence.</t>
  </si>
  <si>
    <t>Treat this as a major weakness. Before scoring positively, rebuild the relevant artifact outcome(s) in A02 Buyer Decision Thesis; A07 Incumbent Defensibility Assessment, gather direct evidence, and decide whether the pursuit should be reshaped, deferred, or stopped for [{Stage}] / [{Role}] / [{Deal Size}].</t>
  </si>
  <si>
    <t>A01 Opportunity Brief; A02 Buyer Decision Thesis; A14 Evaluation Hypothesis Map; A22 Buyer Engagement &amp; Signal Log</t>
  </si>
  <si>
    <t>Explain why the timing is now: expiry, performance issue, budget cycle, policy shift, leadership change, or market event.</t>
  </si>
  <si>
    <t>The Opportunity Brief records why the department is coming to market now: break options and budget timing align this year, recent service scrutiny has created sponsor pressure, and procurement wants the successor mobilised before the next performance cycle. The team has documented why delay is unattractive to the buyer and how that timing supports a credible challenger entry.</t>
  </si>
  <si>
    <t>The team has identified likely timing triggers such as contract milestones and budget pressure, and these are recorded in the brief. The explanation is plausible, but one or more timing drivers are still inferred rather than validated.</t>
  </si>
  <si>
    <t>The note says the department is going to market now because the contract is ending soon. It does not explain the business, budget, or operational reasons that make timing important.</t>
  </si>
  <si>
    <t>No documented explanation exists for why the buyer is going to market now rather than later.</t>
  </si>
  <si>
    <t>Maintain and harden the position for [{Sector}] / [{Buyer Type}] / [{Stage}] / [{Role}] / [{Deal Size}]: keep the documented conclusion current, pressure-test it against new buyer and competitor signals, and refresh the named artifact(s): A01 Opportunity Brief; A02 Buyer Decision Thesis; A14 Evaluation Hypothesis Map; A22 Buyer Engagement &amp; Signal Log.</t>
  </si>
  <si>
    <t>Close the main evidence or interpretation gaps for [{Archetype}] / [{Stage}] / [{Role}]. Update the artifact outcome(s) in A01 Opportunity Brief; A02 Buyer Decision Thesis; A14 Evaluation Hypothesis Map; A22 Buyer Engagement &amp; Signal Log so the key judgment, trade-off, and implication are explicit and better supported.</t>
  </si>
  <si>
    <t>Rework the underlying analysis for [{Sector}] / [{Buyer Type}] / [{Archetype}]. Use A01 Opportunity Brief; A02 Buyer Decision Thesis; A14 Evaluation Hypothesis Map; A22 Buyer Engagement &amp; Signal Log to document the missing decision, trade-off, and implication; then test the conclusion with fresher buyer / market evidence.</t>
  </si>
  <si>
    <t>Treat this as a major weakness. Before scoring positively, rebuild the relevant artifact outcome(s) in A01 Opportunity Brief; A02 Buyer Decision Thesis; A14 Evaluation Hypothesis Map; A22 Buyer Engagement &amp; Signal Log, gather direct evidence, and decide whether the pursuit should be reshaped, deferred, or stopped for [{Stage}] / [{Role}] / [{Deal Size}].</t>
  </si>
  <si>
    <t>Most critical in Consulting / Advisory, Incumbent Renewal / Rebid, and politically sensitive public-sector pursuits where trust and sponsor dynamics strongly influence outcomes.</t>
  </si>
  <si>
    <t>A03 Stakeholder Map; A04 Decision Architecture Map</t>
  </si>
  <si>
    <t>Name the real decision-makers, influencers, and hidden power centres and explain how they affect the decision.</t>
  </si>
  <si>
    <t>The Stakeholder Map identifies the formal procurement lead, the service owner, the sponsor shaping the business case, and the operations lead who will influence risk appetite. The team has recorded each person’s likely role in the decision and where our access is direct, indirect, or absent.</t>
  </si>
  <si>
    <t>The team has named the main procurement and business contacts and has a working view of who matters most. However, the map is not yet complete enough to prove that all real decision-makers and influencers are understood.</t>
  </si>
  <si>
    <t>The write-up lists a few visible contacts but does not distinguish between formal contacts and real decision-makers. Influence is assumed rather than mapped.</t>
  </si>
  <si>
    <t>There is no credible stakeholder architecture documented beyond the procurement point of contact.</t>
  </si>
  <si>
    <t>Validate that access is to the real decision-makers rather than peripheral contacts, that stakeholder priorities are current, and that the relationship quality is strong enough to influence decision quality not just provide information.</t>
  </si>
  <si>
    <t>Which critical stakeholder is still insufficiently understood, inaccessible, or weakly evidenced? Where are we relying on second-hand account assumptions?</t>
  </si>
  <si>
    <t>Is our perceived access actually broad enough to shape the outcome? Which missing stakeholder insight is most likely to hurt us?</t>
  </si>
  <si>
    <t>Are we treating this as a relationship-led win without evidence of trust, relevance, or real access? What must happen before we can call ourselves a credible bidder?</t>
  </si>
  <si>
    <t>Sharpen the Stakeholder Map, Decision Architecture Map, and Buyer Engagement &amp; Signal Log so they show who matters, what they care about, what they fear, and how that changes our pursuit choices.</t>
  </si>
  <si>
    <t>Maintain and harden the position for [{Sector}] / [{Buyer Type}] / [{Stage}] / [{Role}] / [{Deal Size}]: keep the documented conclusion current, pressure-test it against new buyer and competitor signals, and refresh the named artifact(s): A03 Stakeholder Map; A04 Decision Architecture Map.</t>
  </si>
  <si>
    <t>Close the main evidence or interpretation gaps for [{Archetype}] / [{Stage}] / [{Role}]. Update the artifact outcome(s) in A03 Stakeholder Map; A04 Decision Architecture Map so the key judgment, trade-off, and implication are explicit and better supported.</t>
  </si>
  <si>
    <t>Rework the underlying analysis for [{Sector}] / [{Buyer Type}] / [{Archetype}]. Use A03 Stakeholder Map; A04 Decision Architecture Map to document the missing decision, trade-off, and implication; then test the conclusion with fresher buyer / market evidence.</t>
  </si>
  <si>
    <t>Treat this as a major weakness. Before scoring positively, rebuild the relevant artifact outcome(s) in A03 Stakeholder Map; A04 Decision Architecture Map, gather direct evidence, and decide whether the pursuit should be reshaped, deferred, or stopped for [{Stage}] / [{Role}] / [{Deal Size}].</t>
  </si>
  <si>
    <t>A03 Stakeholder Map; A04 Decision Architecture Map; A22 Buyer Engagement &amp; Signal Log</t>
  </si>
  <si>
    <t>Show where access exists or where insight has been gained indirectly through reliable channels, and what that tells you.</t>
  </si>
  <si>
    <t>Through sponsor conversations and account notes, the team has documented that the council leader values pace and political defensibility, procurement is focused on value-for-money, and the service lead wants named experts with similar local government delivery. The artifacts show not only access, but insight into what each key stakeholder will actually care about.</t>
  </si>
  <si>
    <t>The team has some meaningful access and has captured useful priorities from a subset of stakeholders. The picture is directionally strong, but there are still gaps in coverage or confidence across the most important individuals.</t>
  </si>
  <si>
    <t>The response shows limited access and relies heavily on second-hand assumptions about stakeholder priorities. It does not provide enough evidence that the team truly understands what the key decision-makers care about.</t>
  </si>
  <si>
    <t>No meaningful access or reliable stakeholder insight is documented.</t>
  </si>
  <si>
    <t>Maintain and harden the position for [{Sector}] / [{Buyer Type}] / [{Stage}] / [{Role}] / [{Deal Size}]: keep the documented conclusion current, pressure-test it against new buyer and competitor signals, and refresh the named artifact(s): A03 Stakeholder Map; A04 Decision Architecture Map; A22 Buyer Engagement &amp; Signal Log.</t>
  </si>
  <si>
    <t>Close the main evidence or interpretation gaps for [{Archetype}] / [{Stage}] / [{Role}]. Update the artifact outcome(s) in A03 Stakeholder Map; A04 Decision Architecture Map; A22 Buyer Engagement &amp; Signal Log so the key judgment, trade-off, and implication are explicit and better supported.</t>
  </si>
  <si>
    <t>Rework the underlying analysis for [{Sector}] / [{Buyer Type}] / [{Archetype}]. Use A03 Stakeholder Map; A04 Decision Architecture Map; A22 Buyer Engagement &amp; Signal Log to document the missing decision, trade-off, and implication; then test the conclusion with fresher buyer / market evidence.</t>
  </si>
  <si>
    <t>Treat this as a major weakness. Before scoring positively, rebuild the relevant artifact outcome(s) in A03 Stakeholder Map; A04 Decision Architecture Map; A22 Buyer Engagement &amp; Signal Log, gather direct evidence, and decide whether the pursuit should be reshaped, deferred, or stopped for [{Stage}] / [{Role}] / [{Deal Size}].</t>
  </si>
  <si>
    <t>A05 Buyer Anxiety &amp; Constraint Map; A12 Objection Handling Map; A22 Buyer Engagement &amp; Signal Log</t>
  </si>
  <si>
    <t>Set out the leading stakeholder anxieties and what evidence supports them.</t>
  </si>
  <si>
    <t>The Buyer Anxiety Map explicitly records the main stakeholder fears: service disruption at go-live, parliamentary scrutiny if performance slips, and the risk of overpromising savings. Those anxieties are linked to solution choices and proof requirements in the relevant artifacts.</t>
  </si>
  <si>
    <t>The team has identified some likely anxieties such as transition and affordability and has noted them in the working papers. The insight is useful but still partial and not yet fully connected to the pursuit response.</t>
  </si>
  <si>
    <t>The note mentions generic risks but does not show a buyer-specific understanding of the anxieties that could work against us.</t>
  </si>
  <si>
    <t>There is no documented view of stakeholder anxieties or how they might affect the pursuit.</t>
  </si>
  <si>
    <t>Maintain and harden the position for [{Sector}] / [{Buyer Type}] / [{Stage}] / [{Role}] / [{Deal Size}]: keep the documented conclusion current, pressure-test it against new buyer and competitor signals, and refresh the named artifact(s): A05 Buyer Anxiety &amp; Constraint Map; A12 Objection Handling Map; A22 Buyer Engagement &amp; Signal Log.</t>
  </si>
  <si>
    <t>Close the main evidence or interpretation gaps for [{Archetype}] / [{Stage}] / [{Role}]. Update the artifact outcome(s) in A05 Buyer Anxiety &amp; Constraint Map; A12 Objection Handling Map; A22 Buyer Engagement &amp; Signal Log so the key judgment, trade-off, and implication are explicit and better supported.</t>
  </si>
  <si>
    <t>Rework the underlying analysis for [{Sector}] / [{Buyer Type}] / [{Archetype}]. Use A05 Buyer Anxiety &amp; Constraint Map; A12 Objection Handling Map; A22 Buyer Engagement &amp; Signal Log to document the missing decision, trade-off, and implication; then test the conclusion with fresher buyer / market evidence.</t>
  </si>
  <si>
    <t>Treat this as a major weakness. Before scoring positively, rebuild the relevant artifact outcome(s) in A05 Buyer Anxiety &amp; Constraint Map; A12 Objection Handling Map; A22 Buyer Engagement &amp; Signal Log, gather direct evidence, and decide whether the pursuit should be reshaped, deferred, or stopped for [{Stage}] / [{Role}] / [{Deal Size}].</t>
  </si>
  <si>
    <t>Especially critical for Consulting / Advisory, Framework / Panel Appointment, and strategic challenger pursuits where buyer trust and relevance drive shortlist plausibility.</t>
  </si>
  <si>
    <t>A03 Stakeholder Map; A18 Delivery Credibility Summary; A22 Buyer Engagement &amp; Signal Log</t>
  </si>
  <si>
    <t>Explain why the buyer sees us as credible, relevant, and shortlist-plausible for this exact requirement.</t>
  </si>
  <si>
    <t>The stakeholder notes show that the council already sees us as a credible option because named partners have relevant advisory reputations, our lead SME is known to the sponsor, and our case studies are explicitly adjacent to the brief. That credibility judgment is written down and linked to the people and proof choices in the pursuit plan.</t>
  </si>
  <si>
    <t>The team has a credible basis to believe it is seen as relevant, supported by some stakeholder engagement and case-study alignment. However, the evidence is not yet strong enough to show broad buyer confidence rather than cautious interest.</t>
  </si>
  <si>
    <t>The response assumes the buyer will see us as credible because of our general brand and experience. It lacks specific evidence that the right stakeholders view us as a serious fit for this requirement.</t>
  </si>
  <si>
    <t>There is no documented evidence that the buyer sees us as a credible and relevant bidder.</t>
  </si>
  <si>
    <t>Maintain and harden the position for [{Sector}] / [{Buyer Type}] / [{Stage}] / [{Role}] / [{Deal Size}]: keep the documented conclusion current, pressure-test it against new buyer and competitor signals, and refresh the named artifact(s): A03 Stakeholder Map; A18 Delivery Credibility Summary; A22 Buyer Engagement &amp; Signal Log.</t>
  </si>
  <si>
    <t>Close the main evidence or interpretation gaps for [{Archetype}] / [{Stage}] / [{Role}]. Update the artifact outcome(s) in A03 Stakeholder Map; A18 Delivery Credibility Summary; A22 Buyer Engagement &amp; Signal Log so the key judgment, trade-off, and implication are explicit and better supported.</t>
  </si>
  <si>
    <t>Rework the underlying analysis for [{Sector}] / [{Buyer Type}] / [{Archetype}]. Use A03 Stakeholder Map; A18 Delivery Credibility Summary; A22 Buyer Engagement &amp; Signal Log to document the missing decision, trade-off, and implication; then test the conclusion with fresher buyer / market evidence.</t>
  </si>
  <si>
    <t>Treat this as a major weakness. Before scoring positively, rebuild the relevant artifact outcome(s) in A03 Stakeholder Map; A18 Delivery Credibility Summary; A22 Buyer Engagement &amp; Signal Log, gather direct evidence, and decide whether the pursuit should be reshaped, deferred, or stopped for [{Stage}] / [{Role}] / [{Deal Size}].</t>
  </si>
  <si>
    <t>A22 Buyer Engagement &amp; Signal Log; A03 Stakeholder Map</t>
  </si>
  <si>
    <t>Point to buyer behaviours that signal genuine interest in our thinking, not just standard supplier engagement.</t>
  </si>
  <si>
    <t>The engagement log shows the department is investing time beyond routine supplier interaction: it has shared planning assumptions, tested solution ideas with us, and asked follow-up questions that reflect active interest in our approach. The team has documented why this is a genuine buying signal rather than ordinary account management noise.</t>
  </si>
  <si>
    <t>There are signs of buyer interest such as meetings, information sharing, and follow-up queries, and these are noted in the log. The pattern is promising, but it is not yet strong enough to prove active preference.</t>
  </si>
  <si>
    <t>The team points to a few meetings and general engagement as signs of interest, but the written record does not separate routine interaction from meaningful buying signals.</t>
  </si>
  <si>
    <t>No credible evidence suggests the buyer is engaging with us in a way that indicates active interest.</t>
  </si>
  <si>
    <t>Maintain and harden the position for [{Sector}] / [{Buyer Type}] / [{Stage}] / [{Role}] / [{Deal Size}]: keep the documented conclusion current, pressure-test it against new buyer and competitor signals, and refresh the named artifact(s): A22 Buyer Engagement &amp; Signal Log; A03 Stakeholder Map.</t>
  </si>
  <si>
    <t>Close the main evidence or interpretation gaps for [{Archetype}] / [{Stage}] / [{Role}]. Update the artifact outcome(s) in A22 Buyer Engagement &amp; Signal Log; A03 Stakeholder Map so the key judgment, trade-off, and implication are explicit and better supported.</t>
  </si>
  <si>
    <t>Rework the underlying analysis for [{Sector}] / [{Buyer Type}] / [{Archetype}]. Use A22 Buyer Engagement &amp; Signal Log; A03 Stakeholder Map to document the missing decision, trade-off, and implication; then test the conclusion with fresher buyer / market evidence.</t>
  </si>
  <si>
    <t>Treat this as a major weakness. Before scoring positively, rebuild the relevant artifact outcome(s) in A22 Buyer Engagement &amp; Signal Log; A03 Stakeholder Map, gather direct evidence, and decide whether the pursuit should be reshaped, deferred, or stopped for [{Stage}] / [{Role}] / [{Deal Size}].</t>
  </si>
  <si>
    <t>Most critical in incumbent rebids, BPO / Managed Service, Facilities / Operational Service, and any pursuit with a deeply embedded supplier or concentrated field.</t>
  </si>
  <si>
    <t>A06 Competitor Field Map</t>
  </si>
  <si>
    <t>Identify the strongest rival and explain why they are the benchmark competitor on this opportunity.</t>
  </si>
  <si>
    <t>The Competitor Field Map names the incumbent and two realistic challengers, explains why one is the most likely winner, and distinguishes paper strength from likely execution strength. The team has documented why those competitors matter on this deal rather than listing a generic market set.</t>
  </si>
  <si>
    <t>The likely field has been identified and the strongest rival is tentatively named. The picture is usable, but some competitor inclusion or prioritisation is still assumption-led.</t>
  </si>
  <si>
    <t>The note lists several possible competitors but does not show that the team knows who is most likely to matter on this opportunity.</t>
  </si>
  <si>
    <t>The competitive field is not credibly defined.</t>
  </si>
  <si>
    <t>Pressure-test whether the likely strongest rival is correctly identified, whether the incumbent analysis is current, and whether our stated edge is specific enough to hold if the competitor executes well.</t>
  </si>
  <si>
    <t>What part of our comparative advantage is still generic, assumption-led, or insufficiently tied to the likely winner and buyer priorities?</t>
  </si>
  <si>
    <t>Are we describing strengths rather than a real edge over the field? Have we overestimated the weakness of the incumbent or strongest rival?</t>
  </si>
  <si>
    <t>Do we actually know who we need to beat and why we would beat them? Is there any credible comparative win logic today?</t>
  </si>
  <si>
    <t>Improve the Competitor Field Map, Incumbent Defensibility Assessment, Path-to-Win Statement, Win Themes, and Proof Map so they show exactly how and why we can beat the real field.</t>
  </si>
  <si>
    <t>Maintain and harden the position for [{Sector}] / [{Buyer Type}] / [{Stage}] / [{Role}] / [{Deal Size}]: keep the documented conclusion current, pressure-test it against new buyer and competitor signals, and refresh the named artifact(s): A06 Competitor Field Map.</t>
  </si>
  <si>
    <t>Close the main evidence or interpretation gaps for [{Archetype}] / [{Stage}] / [{Role}]. Update the artifact outcome(s) in A06 Competitor Field Map so the key judgment, trade-off, and implication are explicit and better supported.</t>
  </si>
  <si>
    <t>Rework the underlying analysis for [{Sector}] / [{Buyer Type}] / [{Archetype}]. Use A06 Competitor Field Map to document the missing decision, trade-off, and implication; then test the conclusion with fresher buyer / market evidence.</t>
  </si>
  <si>
    <t>Treat this as a major weakness. Before scoring positively, rebuild the relevant artifact outcome(s) in A06 Competitor Field Map, gather direct evidence, and decide whether the pursuit should be reshaped, deferred, or stopped for [{Stage}] / [{Role}] / [{Deal Size}].</t>
  </si>
  <si>
    <t>A07 Incumbent Defensibility Assessment; A06 Competitor Field Map</t>
  </si>
  <si>
    <t>Show the incumbent's embedded strengths, switching friction, and observable vulnerabilities.</t>
  </si>
  <si>
    <t>The Incumbent Defensibility Assessment sets out where the incumbent is genuinely strong — embedded processes, known workforce, and acceptable baseline service — and where it is exposed on cost, buyer frustration, and limited improvement narrative. The team has captured both sides rather than treating incumbency as automatically decisive.</t>
  </si>
  <si>
    <t>The team has a balanced view of the incumbent’s strengths and some likely vulnerabilities. It is directionally useful, but parts of the vulnerability case remain inferred rather than evidenced.</t>
  </si>
  <si>
    <t>The response assumes the incumbent is either unbeatable or weak without documenting the real sources of strength and exposure.</t>
  </si>
  <si>
    <t>There is no credible written understanding of the incumbent’s actual position.</t>
  </si>
  <si>
    <t>Maintain and harden the position for [{Sector}] / [{Buyer Type}] / [{Stage}] / [{Role}] / [{Deal Size}]: keep the documented conclusion current, pressure-test it against new buyer and competitor signals, and refresh the named artifact(s): A07 Incumbent Defensibility Assessment; A06 Competitor Field Map.</t>
  </si>
  <si>
    <t>Close the main evidence or interpretation gaps for [{Archetype}] / [{Stage}] / [{Role}]. Update the artifact outcome(s) in A07 Incumbent Defensibility Assessment; A06 Competitor Field Map so the key judgment, trade-off, and implication are explicit and better supported.</t>
  </si>
  <si>
    <t>Rework the underlying analysis for [{Sector}] / [{Buyer Type}] / [{Archetype}]. Use A07 Incumbent Defensibility Assessment; A06 Competitor Field Map to document the missing decision, trade-off, and implication; then test the conclusion with fresher buyer / market evidence.</t>
  </si>
  <si>
    <t>Treat this as a major weakness. Before scoring positively, rebuild the relevant artifact outcome(s) in A07 Incumbent Defensibility Assessment; A06 Competitor Field Map, gather direct evidence, and decide whether the pursuit should be reshaped, deferred, or stopped for [{Stage}] / [{Role}] / [{Deal Size}].</t>
  </si>
  <si>
    <t>Especially critical across all archetypes; most decisive in Consulting, Digital Transformation / SI, BPO / Managed Service, and Incumbent Renewal / Rebid.</t>
  </si>
  <si>
    <t>A06 Competitor Field Map; A08 Path-to-Win Statement; A09 Win Themes; A10 Proof Map</t>
  </si>
  <si>
    <t>Set out the specific buyer-relevant advantage we hold over the likely winner and the proof that supports it.</t>
  </si>
  <si>
    <t>The Path-to-Win Statement names the incumbent as the most likely winner and records that our advantage is lower-risk transition combined with stronger proof in two comparable central government service mobilisations. The note explains why those differentiators matter to this buyer and how they should influence scoring and final decision preference.</t>
  </si>
  <si>
    <t>The team has articulated a plausible advantage over the likely winner and linked it to buyer priorities. The comparative logic is credible, but one or more elements — usually competitor evidence, proof density, or scoreability — still needs strengthening.</t>
  </si>
  <si>
    <t>The response describes our strengths but does not prove they amount to a clear advantage over the likely winner on what matters most to the buyer.</t>
  </si>
  <si>
    <t>No coherent comparative advantage is documented; the pursuit relies on generic capability claims or hope.</t>
  </si>
  <si>
    <t>Maintain and harden the position for [{Sector}] / [{Buyer Type}] / [{Stage}] / [{Role}] / [{Deal Size}]: keep the documented conclusion current, pressure-test it against new buyer and competitor signals, and refresh the named artifact(s): A06 Competitor Field Map; A08 Path-to-Win Statement; A09 Win Themes; A10 Proof Map.</t>
  </si>
  <si>
    <t>Close the main evidence or interpretation gaps for [{Archetype}] / [{Stage}] / [{Role}]. Update the artifact outcome(s) in A06 Competitor Field Map; A08 Path-to-Win Statement; A09 Win Themes; A10 Proof Map so the key judgment, trade-off, and implication are explicit and better supported.</t>
  </si>
  <si>
    <t>Rework the underlying analysis for [{Sector}] / [{Buyer Type}] / [{Archetype}]. Use A06 Competitor Field Map; A08 Path-to-Win Statement; A09 Win Themes; A10 Proof Map to document the missing decision, trade-off, and implication; then test the conclusion with fresher buyer / market evidence.</t>
  </si>
  <si>
    <t>Treat this as a major weakness. Before scoring positively, rebuild the relevant artifact outcome(s) in A06 Competitor Field Map; A08 Path-to-Win Statement; A09 Win Themes; A10 Proof Map, gather direct evidence, and decide whether the pursuit should be reshaped, deferred, or stopped for [{Stage}] / [{Role}] / [{Deal Size}].</t>
  </si>
  <si>
    <t>A06 Competitor Field Map; A08 Path-to-Win Statement; A19 Gap &amp; Fix Plan</t>
  </si>
  <si>
    <t>Demonstrate that the path to win is based on our strengths and buyer fit rather than hope that others fail.</t>
  </si>
  <si>
    <t>The team has documented a path to win that stands even if competitors execute competently: our route, transition story, and proof points are strong enough to compete on their own merits. The written position does not depend on the incumbent making mistakes or another bidder failing commercially.</t>
  </si>
  <si>
    <t>The path to win looks plausible on our strengths, although some assumptions about competitor weakness are still present. The written case is mostly self-standing but not yet fully insulated from external failure assumptions.</t>
  </si>
  <si>
    <t>The note leans heavily on the belief that others will underperform, overprice, or fail to read the buyer rather than on a strong internal win case.</t>
  </si>
  <si>
    <t>The pursuit appears winnable only if competitors fail; there is no credible self-standing path to win.</t>
  </si>
  <si>
    <t>Maintain and harden the position for [{Sector}] / [{Buyer Type}] / [{Stage}] / [{Role}] / [{Deal Size}]: keep the documented conclusion current, pressure-test it against new buyer and competitor signals, and refresh the named artifact(s): A06 Competitor Field Map; A08 Path-to-Win Statement; A19 Gap &amp; Fix Plan.</t>
  </si>
  <si>
    <t>Close the main evidence or interpretation gaps for [{Archetype}] / [{Stage}] / [{Role}]. Update the artifact outcome(s) in A06 Competitor Field Map; A08 Path-to-Win Statement; A19 Gap &amp; Fix Plan so the key judgment, trade-off, and implication are explicit and better supported.</t>
  </si>
  <si>
    <t>Rework the underlying analysis for [{Sector}] / [{Buyer Type}] / [{Archetype}]. Use A06 Competitor Field Map; A08 Path-to-Win Statement; A19 Gap &amp; Fix Plan to document the missing decision, trade-off, and implication; then test the conclusion with fresher buyer / market evidence.</t>
  </si>
  <si>
    <t>Treat this as a major weakness. Before scoring positively, rebuild the relevant artifact outcome(s) in A06 Competitor Field Map; A08 Path-to-Win Statement; A19 Gap &amp; Fix Plan, gather direct evidence, and decide whether the pursuit should be reshaped, deferred, or stopped for [{Stage}] / [{Role}] / [{Deal Size}].</t>
  </si>
  <si>
    <t>A06 Competitor Field Map; A08 Path-to-Win Statement; A12 Objection Handling Map</t>
  </si>
  <si>
    <t>Describe likely competitor positioning and how we will answer or neutralise it.</t>
  </si>
  <si>
    <t>S4 — Defence | Digital transformation / SI | £75m | Capture phase | Challenger | Restricted competition</t>
  </si>
  <si>
    <t>The Competitor Field Map for the defence programme sets out how the likely prime will position on secure delivery, where a specialist rival will push partner depth, and how we will respond with our own security-cleared delivery model and integration proof. The team has documented competitor response logic, not just named rival brands.</t>
  </si>
  <si>
    <t>The team has a credible view of likely competitor positioning and some response logic. However, parts of the analysis remain generic or are not yet fully translated into deliberate counter-positioning.</t>
  </si>
  <si>
    <t>The write-up names likely competitors but does not show how they are likely to position or how we will respond in practice.</t>
  </si>
  <si>
    <t>There is no documented view of likely competitor positioning or our response.</t>
  </si>
  <si>
    <t>Maintain and harden the position for [{Sector}] / [{Buyer Type}] / [{Stage}] / [{Role}] / [{Deal Size}]: keep the documented conclusion current, pressure-test it against new buyer and competitor signals, and refresh the named artifact(s): A06 Competitor Field Map; A08 Path-to-Win Statement; A12 Objection Handling Map.</t>
  </si>
  <si>
    <t>Close the main evidence or interpretation gaps for [{Archetype}] / [{Stage}] / [{Role}]. Update the artifact outcome(s) in A06 Competitor Field Map; A08 Path-to-Win Statement; A12 Objection Handling Map so the key judgment, trade-off, and implication are explicit and better supported.</t>
  </si>
  <si>
    <t>Rework the underlying analysis for [{Sector}] / [{Buyer Type}] / [{Archetype}]. Use A06 Competitor Field Map; A08 Path-to-Win Statement; A12 Objection Handling Map to document the missing decision, trade-off, and implication; then test the conclusion with fresher buyer / market evidence.</t>
  </si>
  <si>
    <t>Treat this as a major weakness. Before scoring positively, rebuild the relevant artifact outcome(s) in A06 Competitor Field Map; A08 Path-to-Win Statement; A12 Objection Handling Map, gather direct evidence, and decide whether the pursuit should be reshaped, deferred, or stopped for [{Stage}] / [{Role}] / [{Deal Size}].</t>
  </si>
  <si>
    <t>Especially critical for Digital Product / SaaS, Digital Transformation / SI, Framework / Panel Appointment, and regulated procurements.</t>
  </si>
  <si>
    <t>A13 Route-to-Market Map; A14 Evaluation Hypothesis Map</t>
  </si>
  <si>
    <t>Explain how the procurement route, weighting, and criteria make our strengths visible and scoreable.</t>
  </si>
  <si>
    <t>S3 — NHS | Digital product / SaaS | £12m | Formal pursuit | Challenger | Framework call-off</t>
  </si>
  <si>
    <t>The Evaluation Hypothesis Map records that the NHS framework call-off will heavily reward product fit, implementation confidence, and assurance evidence, and that our strengths sit directly in those scored areas. The team has documented not only the route and rules, but why our differentiators are genuinely scoreable within them.</t>
  </si>
  <si>
    <t>The team understands the route and likely evaluation shape and has a credible view that some of our strengths will score. However, the scoring conversion logic is still incomplete or partly assumption-led.</t>
  </si>
  <si>
    <t>The response says the route broadly suits us, but does not prove that our differentiators will actually be visible and rewarded in evaluation.</t>
  </si>
  <si>
    <t>There is no credible written basis for saying the procurement structure allows our strengths to score.</t>
  </si>
  <si>
    <t>Check that the evaluation logic, route-to-market constraints, and scoreable differentiators are still valid and that the solution remains tightly linked to buyer outcomes and likely scoring.</t>
  </si>
  <si>
    <t>Which part of the scoreability logic, suitability position, or solution-to-outcome mapping is still weak, indirect, or not evidenced enough?</t>
  </si>
  <si>
    <t>Are we overestimating how visible our strengths will be in evaluation? Which mandatory, weighting, or proof issues still block a strong score?</t>
  </si>
  <si>
    <t>If the procurement ran today, what exactly would stop our strengths converting into points? Are we eligible, relevant, and scoreable at all?</t>
  </si>
  <si>
    <t>Update the Route-to-Market Map, Evaluation Hypothesis Map, Suitability / Eligibility Review, Solution Spine, and Proof Map so the pursuit is visibly compliant, aligned, and scoreable.</t>
  </si>
  <si>
    <t>Maintain and harden the position for [{Sector}] / [{Buyer Type}] / [{Stage}] / [{Role}] / [{Deal Size}]: keep the documented conclusion current, pressure-test it against new buyer and competitor signals, and refresh the named artifact(s): A13 Route-to-Market Map; A14 Evaluation Hypothesis Map.</t>
  </si>
  <si>
    <t>Close the main evidence or interpretation gaps for [{Archetype}] / [{Stage}] / [{Role}]. Update the artifact outcome(s) in A13 Route-to-Market Map; A14 Evaluation Hypothesis Map so the key judgment, trade-off, and implication are explicit and better supported.</t>
  </si>
  <si>
    <t>Rework the underlying analysis for [{Sector}] / [{Buyer Type}] / [{Archetype}]. Use A13 Route-to-Market Map; A14 Evaluation Hypothesis Map to document the missing decision, trade-off, and implication; then test the conclusion with fresher buyer / market evidence.</t>
  </si>
  <si>
    <t>Treat this as a major weakness. Before scoring positively, rebuild the relevant artifact outcome(s) in A13 Route-to-Market Map; A14 Evaluation Hypothesis Map, gather direct evidence, and decide whether the pursuit should be reshaped, deferred, or stopped for [{Stage}] / [{Role}] / [{Deal Size}].</t>
  </si>
  <si>
    <t>Especially critical for Digital Product / SaaS, BPO / Managed Service, Facilities / Operational Service, Defence / secure opportunities, and framework-led procurements.</t>
  </si>
  <si>
    <t>A13 Route-to-Market Map; A15 Suitability / Eligibility Review</t>
  </si>
  <si>
    <t>Show that mandatory requirements, route access, and suitability criteria are met or on a credible path to completion.</t>
  </si>
  <si>
    <t>The Suitability Review shows that we meet the framework access conditions, mandatory assurance requirements, and key eligibility criteria, with supporting evidence cross-referenced to the relevant product, security, and implementation materials. The implication for risk and pursuit viability is clearly documented.</t>
  </si>
  <si>
    <t>The team has checked most mandatory and suitability requirements and sees no major blocker. The position is credible, but one or more mandatory areas still needs confirmation or fuller documentation.</t>
  </si>
  <si>
    <t>The note suggests we probably meet the mandatory requirements, but the check is incomplete or too assumption-led to support a strong score.</t>
  </si>
  <si>
    <t>Suitability and mandatory access have not been credibly confirmed.</t>
  </si>
  <si>
    <t>Maintain and harden the position for [{Sector}] / [{Buyer Type}] / [{Stage}] / [{Role}] / [{Deal Size}]: keep the documented conclusion current, pressure-test it against new buyer and competitor signals, and refresh the named artifact(s): A13 Route-to-Market Map; A15 Suitability / Eligibility Review.</t>
  </si>
  <si>
    <t>Close the main evidence or interpretation gaps for [{Archetype}] / [{Stage}] / [{Role}]. Update the artifact outcome(s) in A13 Route-to-Market Map; A15 Suitability / Eligibility Review so the key judgment, trade-off, and implication are explicit and better supported.</t>
  </si>
  <si>
    <t>Rework the underlying analysis for [{Sector}] / [{Buyer Type}] / [{Archetype}]. Use A13 Route-to-Market Map; A15 Suitability / Eligibility Review to document the missing decision, trade-off, and implication; then test the conclusion with fresher buyer / market evidence.</t>
  </si>
  <si>
    <t>Treat this as a major weakness. Before scoring positively, rebuild the relevant artifact outcome(s) in A13 Route-to-Market Map; A15 Suitability / Eligibility Review, gather direct evidence, and decide whether the pursuit should be reshaped, deferred, or stopped for [{Stage}] / [{Role}] / [{Deal Size}].</t>
  </si>
  <si>
    <t>Most critical in Digital Product / SaaS, Digital Transformation / SI, Framework / Panel Appointment, and highly regulated procurements where scoreability and compliance dominate.</t>
  </si>
  <si>
    <t>A02 Buyer Decision Thesis; A09 Win Themes; A11 Solution Spine</t>
  </si>
  <si>
    <t>Explain how the proposition maps to buyer priorities, operating constraints, and success measures.</t>
  </si>
  <si>
    <t>The proposition narrative for the council directly links our advisory offer to the sponsor’s outcomes, the authority’s political and operational constraints, and the success measures documented in the Buyer Decision Thesis. The team has shown how the proposition changes because of this buyer rather than presenting a generic offer.</t>
  </si>
  <si>
    <t>The proposition is clearly relevant and broadly aligned to the buyer’s priorities and constraints. However, some parts still read as standard positioning rather than fully buyer-shaped logic.</t>
  </si>
  <si>
    <t>The proposition contains generally sensible messages, but the written evidence does not show that it is tightly aligned to this buyer’s specific priorities and constraints.</t>
  </si>
  <si>
    <t>No credible buyer-specific proposition alignment is documented.</t>
  </si>
  <si>
    <t>Maintain and harden the position for [{Sector}] / [{Buyer Type}] / [{Stage}] / [{Role}] / [{Deal Size}]: keep the documented conclusion current, pressure-test it against new buyer and competitor signals, and refresh the named artifact(s): A02 Buyer Decision Thesis; A09 Win Themes; A11 Solution Spine.</t>
  </si>
  <si>
    <t>Close the main evidence or interpretation gaps for [{Archetype}] / [{Stage}] / [{Role}]. Update the artifact outcome(s) in A02 Buyer Decision Thesis; A09 Win Themes; A11 Solution Spine so the key judgment, trade-off, and implication are explicit and better supported.</t>
  </si>
  <si>
    <t>Rework the underlying analysis for [{Sector}] / [{Buyer Type}] / [{Archetype}]. Use A02 Buyer Decision Thesis; A09 Win Themes; A11 Solution Spine to document the missing decision, trade-off, and implication; then test the conclusion with fresher buyer / market evidence.</t>
  </si>
  <si>
    <t>Treat this as a major weakness. Before scoring positively, rebuild the relevant artifact outcome(s) in A02 Buyer Decision Thesis; A09 Win Themes; A11 Solution Spine, gather direct evidence, and decide whether the pursuit should be reshaped, deferred, or stopped for [{Stage}] / [{Role}] / [{Deal Size}].</t>
  </si>
  <si>
    <t>Especially critical for Consulting / Advisory, Digital Transformation / SI, BPO / Managed Service, and high-risk operational deals where proof reduces buyer fear.</t>
  </si>
  <si>
    <t>A10 Proof Map; A18 Delivery Credibility Summary</t>
  </si>
  <si>
    <t>Name the proof points that materially reduce buyer risk and explain why they are close enough to the requirement.</t>
  </si>
  <si>
    <t>The Proof Map for the defence programme links two closely comparable secure delivery examples, named implementation leads, and partner credentials to the exact risks the client is likely to worry about. The team has documented why those proofs should materially reduce buyer concern about selecting us.</t>
  </si>
  <si>
    <t>The team has some relevant proof points and has started to connect them to buyer risk. The evidence is useful, but not yet strong enough or close enough to remove major credibility concerns.</t>
  </si>
  <si>
    <t>The response references generic credentials or distant case studies without showing why they would materially reduce buyer risk on this requirement.</t>
  </si>
  <si>
    <t>No directly relevant proof is documented that would reduce the buyer’s perceived risk.</t>
  </si>
  <si>
    <t>Maintain and harden the position for [{Sector}] / [{Buyer Type}] / [{Stage}] / [{Role}] / [{Deal Size}]: keep the documented conclusion current, pressure-test it against new buyer and competitor signals, and refresh the named artifact(s): A10 Proof Map; A18 Delivery Credibility Summary.</t>
  </si>
  <si>
    <t>Close the main evidence or interpretation gaps for [{Archetype}] / [{Stage}] / [{Role}]. Update the artifact outcome(s) in A10 Proof Map; A18 Delivery Credibility Summary so the key judgment, trade-off, and implication are explicit and better supported.</t>
  </si>
  <si>
    <t>Rework the underlying analysis for [{Sector}] / [{Buyer Type}] / [{Archetype}]. Use A10 Proof Map; A18 Delivery Credibility Summary to document the missing decision, trade-off, and implication; then test the conclusion with fresher buyer / market evidence.</t>
  </si>
  <si>
    <t>Treat this as a major weakness. Before scoring positively, rebuild the relevant artifact outcome(s) in A10 Proof Map; A18 Delivery Credibility Summary, gather direct evidence, and decide whether the pursuit should be reshaped, deferred, or stopped for [{Stage}] / [{Role}] / [{Deal Size}].</t>
  </si>
  <si>
    <t>A08 Path-to-Win Statement; A09 Win Themes; A10 Proof Map; A14 Evaluation Hypothesis Map</t>
  </si>
  <si>
    <t>Show that the differentiators are meaningful to the buyer and likely to influence scoring rather than sounding attractive only.</t>
  </si>
  <si>
    <t>The team has documented three differentiators that are specific to the NHS call-off — faster deployment from existing integration assets, stronger assurance evidence, and a lower-risk implementation model — and has tied each one to likely scoring areas. The differentiators are not just attractive messages; they are framed as scoreable advantages.</t>
  </si>
  <si>
    <t>The differentiators are relevant and useful, and the team has begun to connect them to likely scoring logic. The case is promising, but some differentiators still need sharper linkage to evaluation.</t>
  </si>
  <si>
    <t>The note lists strengths and features but does not prove they are buyer-relevant differentiators likely to influence scoring.</t>
  </si>
  <si>
    <t>No clear differentiators are documented that are likely to influence scoring.</t>
  </si>
  <si>
    <t>Maintain and harden the position for [{Sector}] / [{Buyer Type}] / [{Stage}] / [{Role}] / [{Deal Size}]: keep the documented conclusion current, pressure-test it against new buyer and competitor signals, and refresh the named artifact(s): A08 Path-to-Win Statement; A09 Win Themes; A10 Proof Map; A14 Evaluation Hypothesis Map.</t>
  </si>
  <si>
    <t>Close the main evidence or interpretation gaps for [{Archetype}] / [{Stage}] / [{Role}]. Update the artifact outcome(s) in A08 Path-to-Win Statement; A09 Win Themes; A10 Proof Map; A14 Evaluation Hypothesis Map so the key judgment, trade-off, and implication are explicit and better supported.</t>
  </si>
  <si>
    <t>Rework the underlying analysis for [{Sector}] / [{Buyer Type}] / [{Archetype}]. Use A08 Path-to-Win Statement; A09 Win Themes; A10 Proof Map; A14 Evaluation Hypothesis Map to document the missing decision, trade-off, and implication; then test the conclusion with fresher buyer / market evidence.</t>
  </si>
  <si>
    <t>Treat this as a major weakness. Before scoring positively, rebuild the relevant artifact outcome(s) in A08 Path-to-Win Statement; A09 Win Themes; A10 Proof Map; A14 Evaluation Hypothesis Map, gather direct evidence, and decide whether the pursuit should be reshaped, deferred, or stopped for [{Stage}] / [{Role}] / [{Deal Size}].</t>
  </si>
  <si>
    <t>Especially critical for BPO / Managed Service, Facilities / Operational Service, Digital Product / SaaS, and any large/strategic deal with price pressure.</t>
  </si>
  <si>
    <t>A16 Commercial Stance Note; A17 Risk / Red-Line Summary</t>
  </si>
  <si>
    <t>Explain how we can price to win while preserving acceptable economics and avoiding fragile assumptions.</t>
  </si>
  <si>
    <t>The Commercial Stance Note records a viable pricing corridor, shows how we remain credible against the department’s value-for-money pressure, and confirms that the deal can be won without breaching our economic guardrails. The team has documented the logic, assumptions, and implications rather than just asserting competitiveness.</t>
  </si>
  <si>
    <t>The team has a plausible commercial position and believes the deal can be priced credibly. However, one or more assumptions on margin, competitor pricing, or buyer affordability still needs stronger validation.</t>
  </si>
  <si>
    <t>The response suggests we can probably compete on price, but the written logic is incomplete and does not demonstrate acceptable economics with enough confidence.</t>
  </si>
  <si>
    <t>There is no credible written basis for saying we can price this competitively and still achieve acceptable economics.</t>
  </si>
  <si>
    <t>Reconfirm that pricing, delivery, partner model, and bid readiness remain credible under challenge and that no hidden contract, mobilisation, or resource issue undermines the path to win.</t>
  </si>
  <si>
    <t>Which delivery, pricing, risk, or resource assumptions are still soft? What could still break the economics or credibility of the pursuit?</t>
  </si>
  <si>
    <t>Is the team relying on an unproven delivery model, weak commercial logic, or under-resourced pursuit plan? What would the buyer or exec sponsor challenge first?</t>
  </si>
  <si>
    <t>Can we actually win and deliver this without unsafe pricing or wishful execution assumptions? What is structurally stopping us?</t>
  </si>
  <si>
    <t>Strengthen the Commercial Stance Note, Delivery Credibility Summary, Risk / Red-Line Summary, Suitability Review, Pursuit Operating Plan, and Gap &amp; Fix Plan so the pursuit is viable and executable.</t>
  </si>
  <si>
    <t>Maintain and harden the position for [{Sector}] / [{Buyer Type}] / [{Stage}] / [{Role}] / [{Deal Size}]: keep the documented conclusion current, pressure-test it against new buyer and competitor signals, and refresh the named artifact(s): A16 Commercial Stance Note; A17 Risk / Red-Line Summary.</t>
  </si>
  <si>
    <t>Close the main evidence or interpretation gaps for [{Archetype}] / [{Stage}] / [{Role}]. Update the artifact outcome(s) in A16 Commercial Stance Note; A17 Risk / Red-Line Summary so the key judgment, trade-off, and implication are explicit and better supported.</t>
  </si>
  <si>
    <t>Rework the underlying analysis for [{Sector}] / [{Buyer Type}] / [{Archetype}]. Use A16 Commercial Stance Note; A17 Risk / Red-Line Summary to document the missing decision, trade-off, and implication; then test the conclusion with fresher buyer / market evidence.</t>
  </si>
  <si>
    <t>Treat this as a major weakness. Before scoring positively, rebuild the relevant artifact outcome(s) in A16 Commercial Stance Note; A17 Risk / Red-Line Summary, gather direct evidence, and decide whether the pursuit should be reshaped, deferred, or stopped for [{Stage}] / [{Role}] / [{Deal Size}].</t>
  </si>
  <si>
    <t>Especially critical for BPO / Managed Service, Facilities / Operational Service, Digital Transformation / SI, and large/strategic mobilisations.</t>
  </si>
  <si>
    <t>A11 Solution Spine; A18 Delivery Credibility Summary; A23 Partner Strategy &amp; Coverage</t>
  </si>
  <si>
    <t>Show that the delivery model, key people, and any partners are credible for this scope and risk profile.</t>
  </si>
  <si>
    <t>The Delivery Credibility Summary for the defence programme shows that our operating model, mobilization approach, and partner structure can deliver at the required scale and security level, with named resources and proof points supporting the claim. The team has documented why the buyer should believe the delivery model is real, not aspirational.</t>
  </si>
  <si>
    <t>The team has a credible delivery model and a broadly believable partner / capacity position. The case is usable, but one or more elements — usually scale, partner certainty, or named resource depth — still needs strengthening.</t>
  </si>
  <si>
    <t>The response describes a delivery model, but the evidence is too generic or incomplete to prove that it is credible enough to win.</t>
  </si>
  <si>
    <t>No credible delivery model, capacity position, or partner readiness is documented.</t>
  </si>
  <si>
    <t>Maintain and harden the position for [{Sector}] / [{Buyer Type}] / [{Stage}] / [{Role}] / [{Deal Size}]: keep the documented conclusion current, pressure-test it against new buyer and competitor signals, and refresh the named artifact(s): A11 Solution Spine; A18 Delivery Credibility Summary; A23 Partner Strategy &amp; Coverage.</t>
  </si>
  <si>
    <t>Close the main evidence or interpretation gaps for [{Archetype}] / [{Stage}] / [{Role}]. Update the artifact outcome(s) in A11 Solution Spine; A18 Delivery Credibility Summary; A23 Partner Strategy &amp; Coverage so the key judgment, trade-off, and implication are explicit and better supported.</t>
  </si>
  <si>
    <t>Rework the underlying analysis for [{Sector}] / [{Buyer Type}] / [{Archetype}]. Use A11 Solution Spine; A18 Delivery Credibility Summary; A23 Partner Strategy &amp; Coverage to document the missing decision, trade-off, and implication; then test the conclusion with fresher buyer / market evidence.</t>
  </si>
  <si>
    <t>Treat this as a major weakness. Before scoring positively, rebuild the relevant artifact outcome(s) in A11 Solution Spine; A18 Delivery Credibility Summary; A23 Partner Strategy &amp; Coverage, gather direct evidence, and decide whether the pursuit should be reshaped, deferred, or stopped for [{Stage}] / [{Role}] / [{Deal Size}].</t>
  </si>
  <si>
    <t>Most critical in BPO / Managed Service, Facilities / Operational Service, large/strategic deals, and high-transition or high-risk delivery environments.</t>
  </si>
  <si>
    <t>A17 Risk / Red-Line Summary; A19 Gap &amp; Fix Plan</t>
  </si>
  <si>
    <t>Identify major contractual, operational, regulatory, security, or transition risks and how they are being managed.</t>
  </si>
  <si>
    <t>The Risk and Red-Line Summary identifies the key contractual, transition, and liability issues, records our position on each, and explains why none of them currently blocks a credible pursuit. The team has documented both the risks and the mitigation / decision logic behind proceeding.</t>
  </si>
  <si>
    <t>The major risk areas have been identified and appear manageable, but some red-line, liability, or transition issues still require more analysis before the position is fully robust.</t>
  </si>
  <si>
    <t>The note acknowledges that risks exist but does not show that they have been analysed well enough to conclude they are manageable.</t>
  </si>
  <si>
    <t>The pursuit has not credibly documented whether key risks are manageable.</t>
  </si>
  <si>
    <t>Maintain and harden the position for [{Sector}] / [{Buyer Type}] / [{Stage}] / [{Role}] / [{Deal Size}]: keep the documented conclusion current, pressure-test it against new buyer and competitor signals, and refresh the named artifact(s): A17 Risk / Red-Line Summary; A19 Gap &amp; Fix Plan.</t>
  </si>
  <si>
    <t>Close the main evidence or interpretation gaps for [{Archetype}] / [{Stage}] / [{Role}]. Update the artifact outcome(s) in A17 Risk / Red-Line Summary; A19 Gap &amp; Fix Plan so the key judgment, trade-off, and implication are explicit and better supported.</t>
  </si>
  <si>
    <t>Rework the underlying analysis for [{Sector}] / [{Buyer Type}] / [{Archetype}]. Use A17 Risk / Red-Line Summary; A19 Gap &amp; Fix Plan to document the missing decision, trade-off, and implication; then test the conclusion with fresher buyer / market evidence.</t>
  </si>
  <si>
    <t>Treat this as a major weakness. Before scoring positively, rebuild the relevant artifact outcome(s) in A17 Risk / Red-Line Summary; A19 Gap &amp; Fix Plan, gather direct evidence, and decide whether the pursuit should be reshaped, deferred, or stopped for [{Stage}] / [{Role}] / [{Deal Size}].</t>
  </si>
  <si>
    <t>A20 Pursuit Operating Plan; A21 Formal Gate Recommendation Pack</t>
  </si>
  <si>
    <t>Show that the pursuit has the leadership, SMEs, governance, and time required to prosecute well.</t>
  </si>
  <si>
    <t>The Pursuit Operating Plan for the consulting engagement names the capture lead, delivery lead, pricing support, and lead experts, and it documents how the team will prosecute the pursuit to the required quality level. Resourcing is not just assumed; it is written down with specific roles and implications for execution.</t>
  </si>
  <si>
    <t>The team broadly has the right people and time to prosecute the pursuit, and this is partly documented. The plan is credible, but some ownership, time, or SME commitments still need to be firmed up.</t>
  </si>
  <si>
    <t>The response says the team should be able to manage the pursuit, but there is no strong written plan showing that the right people, time, and ownership are truly in place.</t>
  </si>
  <si>
    <t>There is no credible pursuit operating plan or confirmed capability to prosecute the bid well.</t>
  </si>
  <si>
    <t>Maintain and harden the position for [{Sector}] / [{Buyer Type}] / [{Stage}] / [{Role}] / [{Deal Size}]: keep the documented conclusion current, pressure-test it against new buyer and competitor signals, and refresh the named artifact(s): A20 Pursuit Operating Plan; A21 Formal Gate Recommendation Pack.</t>
  </si>
  <si>
    <t>Close the main evidence or interpretation gaps for [{Archetype}] / [{Stage}] / [{Role}]. Update the artifact outcome(s) in A20 Pursuit Operating Plan; A21 Formal Gate Recommendation Pack so the key judgment, trade-off, and implication are explicit and better supported.</t>
  </si>
  <si>
    <t>Rework the underlying analysis for [{Sector}] / [{Buyer Type}] / [{Archetype}]. Use A20 Pursuit Operating Plan; A21 Formal Gate Recommendation Pack to document the missing decision, trade-off, and implication; then test the conclusion with fresher buyer / market evidence.</t>
  </si>
  <si>
    <t>Treat this as a major weakness. Before scoring positively, rebuild the relevant artifact outcome(s) in A20 Pursuit Operating Plan; A21 Formal Gate Recommendation Pack, gather direct evidence, and decide whether the pursuit should be reshaped, deferred, or stopped for [{Stage}] / [{Role}] / [{Deal Size}].</t>
  </si>
  <si>
    <t>Especially critical for incumbent rebids, framework call-offs, and late-stage pursuits where contestability may have narrowed.</t>
  </si>
  <si>
    <t>A22 Buyer Engagement &amp; Signal Log; A04 Decision Architecture Map; A06 Competitor Field Map; A07 Incumbent Defensibility Assessment</t>
  </si>
  <si>
    <t>Explain why the opportunity is still genuinely contestable and not effectively pre-decided.</t>
  </si>
  <si>
    <t>The engagement log and field analysis show that the department is still considering alternatives: it is testing assumptions, asking comparative questions, and has not signalled a closed outcome in the incumbent’s favour. The team has documented why the opportunity remains genuinely contestable and what that means for continued investment.</t>
  </si>
  <si>
    <t>There are good reasons to believe the opportunity is still contestable, and these are recorded in the working materials. The view is credible, but the evidence is not yet strong enough to rule out a more predetermined outcome.</t>
  </si>
  <si>
    <t>The note assumes the competition is live because the process is open, but it does not provide enough written evidence that the opportunity is genuinely contestable.</t>
  </si>
  <si>
    <t>There is no credible written basis for saying the opportunity remains genuinely contestable.</t>
  </si>
  <si>
    <t>Maintain and harden the position for [{Sector}] / [{Buyer Type}] / [{Stage}] / [{Role}] / [{Deal Size}]: keep the documented conclusion current, pressure-test it against new buyer and competitor signals, and refresh the named artifact(s): A22 Buyer Engagement &amp; Signal Log; A04 Decision Architecture Map; A06 Competitor Field Map; A07 Incumbent Defensibility Assessment.</t>
  </si>
  <si>
    <t>Close the main evidence or interpretation gaps for [{Archetype}] / [{Stage}] / [{Role}]. Update the artifact outcome(s) in A22 Buyer Engagement &amp; Signal Log; A04 Decision Architecture Map; A06 Competitor Field Map; A07 Incumbent Defensibility Assessment so the key judgment, trade-off, and implication are explicit and better supported.</t>
  </si>
  <si>
    <t>Rework the underlying analysis for [{Sector}] / [{Buyer Type}] / [{Archetype}]. Use A22 Buyer Engagement &amp; Signal Log; A04 Decision Architecture Map; A06 Competitor Field Map; A07 Incumbent Defensibility Assessment to document the missing decision, trade-off, and implication; then test the conclusion with fresher buyer / market evidence.</t>
  </si>
  <si>
    <t>Treat this as a major weakness. Before scoring positively, rebuild the relevant artifact outcome(s) in A22 Buyer Engagement &amp; Signal Log; A04 Decision Architecture Map; A06 Competitor Field Map; A07 Incumbent Defensibility Assessment, gather direct evidence, and decide whether the pursuit should be reshaped, deferred, or stopped for [{Stage}] / [{Role}] / [{Deal Size}].</t>
  </si>
  <si>
    <t>Incumbent Overlay Rubric — Contextual Benchmark Responses, Execution, Judgment &amp; Coaching (v5)</t>
  </si>
  <si>
    <t>This rubric uses one benchmark scenario per question for incumbent pursuits. The example responses show what a user might actually write in the evidence box at each hurdle level so the AI can judge strength, specificity, and documented implications.</t>
  </si>
  <si>
    <t>Overlay ID</t>
  </si>
  <si>
    <t>We have clear evidence of why the buyer would retain us beyond simple continuity bias.</t>
  </si>
  <si>
    <t>Use opportunity archetype, stage, role, and deal size to judge how heavily to weight this in context.</t>
  </si>
  <si>
    <t>Tests whether retention rests on positive value, not inertia alone.</t>
  </si>
  <si>
    <t>A07 Incumbent Defensibility Assessment; A02 Buyer Decision Thesis; A22 Buyer Engagement &amp; Signal Log</t>
  </si>
  <si>
    <t>State the positive reasons for retention and show why the buyer sees continuing with us as attractive, not merely safer.</t>
  </si>
  <si>
    <t>Evidence note states the conclusion clearly for 'We have clear evidence of why the buyer would retain us beyond simple continuity bias.', cites the decisive evidence, references the relevant artifact(s), and explains the implication for the pursuit.</t>
  </si>
  <si>
    <t>S5 — Central government | BPO / operational service | £120m | Capture phase | Incumbent | Renewal / rebid</t>
  </si>
  <si>
    <t>The Incumbent Defensibility Assessment shows that the department has explicit reasons to retain us beyond continuity: we have improved service performance, reduced operating risk, and can evidence a credible renewal-plus-improvement story. The team has documented why retention is attractive in positive terms, not just safer by default.</t>
  </si>
  <si>
    <t>The team has a credible case that the buyer may retain us for positive reasons, such as service stability and known delivery. However, the written logic still leans partly on continuity rather than fully evidenced positive value.</t>
  </si>
  <si>
    <t>The response suggests the buyer may keep us because switching is difficult, but it does not document a clear positive retention case beyond continuity bias.</t>
  </si>
  <si>
    <t>No credible written evidence explains why the buyer would retain us other than inertia or risk aversion.</t>
  </si>
  <si>
    <t>Maintain and harden the position for [{Sector}] / [{Buyer Type}] / [{Stage}] / [{Role}] / [{Deal Size}]: keep the documented conclusion current, pressure-test it against new buyer and competitor signals, and refresh the named artifact(s): A07 Incumbent Defensibility Assessment; A02 Buyer Decision Thesis; A22 Buyer Engagement &amp; Signal Log.</t>
  </si>
  <si>
    <t>Close the main evidence or interpretation gaps for [{Archetype}] / [{Stage}] / [{Role}]. Update the artifact outcome(s) in A07 Incumbent Defensibility Assessment; A02 Buyer Decision Thesis; A22 Buyer Engagement &amp; Signal Log so the key judgment, trade-off, and implication are explicit and better supported.</t>
  </si>
  <si>
    <t>Rework the underlying analysis for [{Sector}] / [{Buyer Type}] / [{Archetype}]. Use A07 Incumbent Defensibility Assessment; A02 Buyer Decision Thesis; A22 Buyer Engagement &amp; Signal Log to document the missing decision, trade-off, and implication; then test the conclusion with fresher buyer / market evidence.</t>
  </si>
  <si>
    <t>Treat this as a major weakness. Before scoring positively, rebuild the relevant artifact outcome(s) in A07 Incumbent Defensibility Assessment; A02 Buyer Decision Thesis; A22 Buyer Engagement &amp; Signal Log, gather direct evidence, and decide whether the pursuit should be reshaped, deferred, or stopped for [{Stage}] / [{Role}] / [{Deal Size}].</t>
  </si>
  <si>
    <t>We understand the buyer’s reasons to consider switching away from us.</t>
  </si>
  <si>
    <t>Forces honesty about renewal risk and dissatisfaction.</t>
  </si>
  <si>
    <t>A07 Incumbent Defensibility Assessment; A05 Buyer Anxiety &amp; Constraint Map; A22 Buyer Engagement &amp; Signal Log</t>
  </si>
  <si>
    <t>Describe the push factors that may drive change away from us and the evidence that those factors are real.</t>
  </si>
  <si>
    <t>Evidence note states the conclusion clearly for 'We understand the buyer’s reasons to consider switching away from us.', cites the decisive evidence, references the relevant artifact(s), and explains the implication for the pursuit.</t>
  </si>
  <si>
    <t>The buyer-facing issues that could prompt switching — price reset pressure, service frustration in one tower, and demand for visible improvement — are explicitly documented in the Incumbent Defensibility Assessment. The team has written down what could drive the buyer away from us and the implications for our renewal strategy.</t>
  </si>
  <si>
    <t>The team has identified likely reasons the buyer could switch and captured them in the working papers. The view is credible, but one or more push factors still needs stronger validation or prioritisation.</t>
  </si>
  <si>
    <t>The note acknowledges that the buyer could want change, but it does not clearly document the reasons or their likely weight in the decision.</t>
  </si>
  <si>
    <t>There is no credible written understanding of why the buyer might switch away from us.</t>
  </si>
  <si>
    <t>Maintain and harden the position for [{Sector}] / [{Buyer Type}] / [{Stage}] / [{Role}] / [{Deal Size}]: keep the documented conclusion current, pressure-test it against new buyer and competitor signals, and refresh the named artifact(s): A07 Incumbent Defensibility Assessment; A05 Buyer Anxiety &amp; Constraint Map; A22 Buyer Engagement &amp; Signal Log.</t>
  </si>
  <si>
    <t>Close the main evidence or interpretation gaps for [{Archetype}] / [{Stage}] / [{Role}]. Update the artifact outcome(s) in A07 Incumbent Defensibility Assessment; A05 Buyer Anxiety &amp; Constraint Map; A22 Buyer Engagement &amp; Signal Log so the key judgment, trade-off, and implication are explicit and better supported.</t>
  </si>
  <si>
    <t>Rework the underlying analysis for [{Sector}] / [{Buyer Type}] / [{Archetype}]. Use A07 Incumbent Defensibility Assessment; A05 Buyer Anxiety &amp; Constraint Map; A22 Buyer Engagement &amp; Signal Log to document the missing decision, trade-off, and implication; then test the conclusion with fresher buyer / market evidence.</t>
  </si>
  <si>
    <t>Treat this as a major weakness. Before scoring positively, rebuild the relevant artifact outcome(s) in A07 Incumbent Defensibility Assessment; A05 Buyer Anxiety &amp; Constraint Map; A22 Buyer Engagement &amp; Signal Log, gather direct evidence, and decide whether the pursuit should be reshaped, deferred, or stopped for [{Stage}] / [{Role}] / [{Deal Size}].</t>
  </si>
  <si>
    <t>Any material delivery, service, KPI, audit, or relationship issues are understood and either resolved or credibly mitigated.</t>
  </si>
  <si>
    <t>Assesses whether legacy issues are being neutralised.</t>
  </si>
  <si>
    <t>A07 Incumbent Defensibility Assessment; A17 Risk / Red-Line Summary; A18 Delivery Credibility Summary; A19 Gap &amp; Fix Plan</t>
  </si>
  <si>
    <t>Show the specific issue, current status, mitigation, and why the issue should not determine the buyer decision.</t>
  </si>
  <si>
    <t>Evidence note states the conclusion clearly for 'Any material delivery, service, KPI, audit, or relationship issues are understood and either resolved or credibly mitigated.', cites the decisive evidence, references the relevant artifact(s), and explains the implication for the pursuit.</t>
  </si>
  <si>
    <t>The team has documented the material service and relationship issues, shown which are closed, and evidenced why the remaining ones are mitigated and should not dominate the rebid. The artifacts do not hide the problem; they explain status, corrective action, and buyer implication.</t>
  </si>
  <si>
    <t>Material issues are identified and some mitigation is documented. The position is workable, but the evidence does not yet fully prove that the buyer will see the issues as contained.</t>
  </si>
  <si>
    <t>Issues are mentioned, but the written record does not show that they are understood, resolved, or credibly mitigated.</t>
  </si>
  <si>
    <t>No credible documented view exists on service, KPI, audit, or relationship issues.</t>
  </si>
  <si>
    <t>Maintain and harden the position for [{Sector}] / [{Buyer Type}] / [{Stage}] / [{Role}] / [{Deal Size}]: keep the documented conclusion current, pressure-test it against new buyer and competitor signals, and refresh the named artifact(s): A07 Incumbent Defensibility Assessment; A17 Risk / Red-Line Summary; A18 Delivery Credibility Summary; A19 Gap &amp; Fix Plan.</t>
  </si>
  <si>
    <t>Close the main evidence or interpretation gaps for [{Archetype}] / [{Stage}] / [{Role}]. Update the artifact outcome(s) in A07 Incumbent Defensibility Assessment; A17 Risk / Red-Line Summary; A18 Delivery Credibility Summary; A19 Gap &amp; Fix Plan so the key judgment, trade-off, and implication are explicit and better supported.</t>
  </si>
  <si>
    <t>Rework the underlying analysis for [{Sector}] / [{Buyer Type}] / [{Archetype}]. Use A07 Incumbent Defensibility Assessment; A17 Risk / Red-Line Summary; A18 Delivery Credibility Summary; A19 Gap &amp; Fix Plan to document the missing decision, trade-off, and implication; then test the conclusion with fresher buyer / market evidence.</t>
  </si>
  <si>
    <t>Treat this as a major weakness. Before scoring positively, rebuild the relevant artifact outcome(s) in A07 Incumbent Defensibility Assessment; A17 Risk / Red-Line Summary; A18 Delivery Credibility Summary; A19 Gap &amp; Fix Plan, gather direct evidence, and decide whether the pursuit should be reshaped, deferred, or stopped for [{Stage}] / [{Role}] / [{Deal Size}].</t>
  </si>
  <si>
    <t>We have a credible renewal-plus-improvement story, not just a continuity story.</t>
  </si>
  <si>
    <t>Tests whether the incumbent offer includes future value.</t>
  </si>
  <si>
    <t>A08 Path-to-Win Statement; A09 Win Themes; A11 Solution Spine</t>
  </si>
  <si>
    <t>Set out how renewal improves outcomes, value, or capability rather than simply extending the status quo.</t>
  </si>
  <si>
    <t>Evidence note states the conclusion clearly for 'We have a credible renewal-plus-improvement story, not just a continuity story.', cites the decisive evidence, references the relevant artifact(s), and explains the implication for the pursuit.</t>
  </si>
  <si>
    <t>The Path-to-Win Statement clearly sets out a renewal-plus-improvement story: retain the strengths of the current service, address the visible pain points, and deliver a measured uplift that meets the buyer’s reset expectations. The team has documented why this is stronger than a pure continuity defence.</t>
  </si>
  <si>
    <t>There is a credible renewal story with some improvement elements, but the written position is still weighted more toward continuity than compelling forward improvement.</t>
  </si>
  <si>
    <t>The response says we will renew and improve, but it does not document a persuasive improvement case beyond broad assertions.</t>
  </si>
  <si>
    <t>No credible renewal-plus-improvement story is documented.</t>
  </si>
  <si>
    <t>Maintain and harden the position for [{Sector}] / [{Buyer Type}] / [{Stage}] / [{Role}] / [{Deal Size}]: keep the documented conclusion current, pressure-test it against new buyer and competitor signals, and refresh the named artifact(s): A08 Path-to-Win Statement; A09 Win Themes; A11 Solution Spine.</t>
  </si>
  <si>
    <t>Close the main evidence or interpretation gaps for [{Archetype}] / [{Stage}] / [{Role}]. Update the artifact outcome(s) in A08 Path-to-Win Statement; A09 Win Themes; A11 Solution Spine so the key judgment, trade-off, and implication are explicit and better supported.</t>
  </si>
  <si>
    <t>Rework the underlying analysis for [{Sector}] / [{Buyer Type}] / [{Archetype}]. Use A08 Path-to-Win Statement; A09 Win Themes; A11 Solution Spine to document the missing decision, trade-off, and implication; then test the conclusion with fresher buyer / market evidence.</t>
  </si>
  <si>
    <t>Treat this as a major weakness. Before scoring positively, rebuild the relevant artifact outcome(s) in A08 Path-to-Win Statement; A09 Win Themes; A11 Solution Spine, gather direct evidence, and decide whether the pursuit should be reshaped, deferred, or stopped for [{Stage}] / [{Role}] / [{Deal Size}].</t>
  </si>
  <si>
    <t>We understand where challengers are likely to attack us and have a response.</t>
  </si>
  <si>
    <t>Tests readiness to defend against challenger narratives.</t>
  </si>
  <si>
    <t>A06 Competitor Field Map; A07 Incumbent Defensibility Assessment; A12 Objection Handling Map</t>
  </si>
  <si>
    <t>Name the likely challenger attack themes and explain how we will answer them.</t>
  </si>
  <si>
    <t>Evidence note states the conclusion clearly for 'We understand where challengers are likely to attack us and have a response.', cites the decisive evidence, references the relevant artifact(s), and explains the implication for the pursuit.</t>
  </si>
  <si>
    <t>The team has documented the likely challenger attack lines — price reset, service fatigue, and innovation deficit — and has written specific responses into the proof, commercial, and messaging artifacts. The response logic is explicit and linked to how challengers are likely to position themselves.</t>
  </si>
  <si>
    <t>Likely challenger attacks are identified and some responses are in place. The case is credible, but one or more attack lines is still underdeveloped or weakly evidenced in the artifacts.</t>
  </si>
  <si>
    <t>The team assumes challengers will attack on price or change, but does not document a robust response by line of attack.</t>
  </si>
  <si>
    <t>No credible view exists of how challengers will attack us or how we will respond.</t>
  </si>
  <si>
    <t>Maintain and harden the position for [{Sector}] / [{Buyer Type}] / [{Stage}] / [{Role}] / [{Deal Size}]: keep the documented conclusion current, pressure-test it against new buyer and competitor signals, and refresh the named artifact(s): A06 Competitor Field Map; A07 Incumbent Defensibility Assessment; A12 Objection Handling Map.</t>
  </si>
  <si>
    <t>Close the main evidence or interpretation gaps for [{Archetype}] / [{Stage}] / [{Role}]. Update the artifact outcome(s) in A06 Competitor Field Map; A07 Incumbent Defensibility Assessment; A12 Objection Handling Map so the key judgment, trade-off, and implication are explicit and better supported.</t>
  </si>
  <si>
    <t>Rework the underlying analysis for [{Sector}] / [{Buyer Type}] / [{Archetype}]. Use A06 Competitor Field Map; A07 Incumbent Defensibility Assessment; A12 Objection Handling Map to document the missing decision, trade-off, and implication; then test the conclusion with fresher buyer / market evidence.</t>
  </si>
  <si>
    <t>Treat this as a major weakness. Before scoring positively, rebuild the relevant artifact outcome(s) in A06 Competitor Field Map; A07 Incumbent Defensibility Assessment; A12 Objection Handling Map, gather direct evidence, and decide whether the pursuit should be reshaped, deferred, or stopped for [{Stage}] / [{Role}] / [{Deal Size}].</t>
  </si>
  <si>
    <t>The buyer recognizes the transition, operational, knowledge, or service risk of switching away from us.</t>
  </si>
  <si>
    <t>Tests whether switching risk is visible to the buyer.</t>
  </si>
  <si>
    <t>A07 Incumbent Defensibility Assessment; A18 Delivery Credibility Summary; A22 Buyer Engagement &amp; Signal Log</t>
  </si>
  <si>
    <t>Show evidence that the buyer appreciates the disruption or risk of change, rather than assuming they will infer it.</t>
  </si>
  <si>
    <t>Evidence note states the conclusion clearly for 'The buyer recognizes the transition, operational, knowledge, or service risk of switching away from us.', cites the decisive evidence, references the relevant artifact(s), and explains the implication for the pursuit.</t>
  </si>
  <si>
    <t>The Buyer Decision Thesis records that the department recognises the switching risk: operational knowledge loss, workforce disruption, and mobilisation uncertainty are seen as material in a service of this scale. The team has documented why that risk matters to the buyer and how we will reinforce it without sounding defensive.</t>
  </si>
  <si>
    <t>The team has a plausible basis to believe the buyer recognises switching risk, and this is partly documented. However, the evidence is not yet strong enough to show this is a decisive retention factor.</t>
  </si>
  <si>
    <t>The response asserts that switching risk should matter because of the service complexity, but the buyer’s recognition of that risk is not convincingly documented.</t>
  </si>
  <si>
    <t>There is no credible written evidence that the buyer recognises meaningful switching risk.</t>
  </si>
  <si>
    <t>Maintain and harden the position for [{Sector}] / [{Buyer Type}] / [{Stage}] / [{Role}] / [{Deal Size}]: keep the documented conclusion current, pressure-test it against new buyer and competitor signals, and refresh the named artifact(s): A07 Incumbent Defensibility Assessment; A18 Delivery Credibility Summary; A22 Buyer Engagement &amp; Signal Log.</t>
  </si>
  <si>
    <t>Close the main evidence or interpretation gaps for [{Archetype}] / [{Stage}] / [{Role}]. Update the artifact outcome(s) in A07 Incumbent Defensibility Assessment; A18 Delivery Credibility Summary; A22 Buyer Engagement &amp; Signal Log so the key judgment, trade-off, and implication are explicit and better supported.</t>
  </si>
  <si>
    <t>Rework the underlying analysis for [{Sector}] / [{Buyer Type}] / [{Archetype}]. Use A07 Incumbent Defensibility Assessment; A18 Delivery Credibility Summary; A22 Buyer Engagement &amp; Signal Log to document the missing decision, trade-off, and implication; then test the conclusion with fresher buyer / market evidence.</t>
  </si>
  <si>
    <t>Treat this as a major weakness. Before scoring positively, rebuild the relevant artifact outcome(s) in A07 Incumbent Defensibility Assessment; A18 Delivery Credibility Summary; A22 Buyer Engagement &amp; Signal Log, gather direct evidence, and decide whether the pursuit should be reshaped, deferred, or stopped for [{Stage}] / [{Role}] / [{Deal Size}].</t>
  </si>
  <si>
    <t>We are not overexposed on price benchmarking, complacency, or relationship fatigue.</t>
  </si>
  <si>
    <t>Checks renewal drag factors.</t>
  </si>
  <si>
    <t>A16 Commercial Stance Note; A07 Incumbent Defensibility Assessment; A22 Buyer Engagement &amp; Signal Log</t>
  </si>
  <si>
    <t>Show that price reset, complacency risk, or relationship fatigue are understood and not currently decisive.</t>
  </si>
  <si>
    <t>Evidence note states the conclusion clearly for 'We are not overexposed on price benchmarking, complacency, or relationship fatigue.', cites the decisive evidence, references the relevant artifact(s), and explains the implication for the pursuit.</t>
  </si>
  <si>
    <t>The commercial and account reviews explicitly test complacency, relationship fatigue, and price-benchmarking exposure, and they conclude these risks are understood and being actively addressed. The team has documented where it is exposed and what is being done, rather than assuming incumbency is enough.</t>
  </si>
  <si>
    <t>The team has considered complacency, fatigue, and price pressure and has started to address them. The written evidence is credible, but some exposure remains insufficiently tested or evidenced.</t>
  </si>
  <si>
    <t>The response acknowledges these risks in principle but does not show that they have been assessed rigorously or translated into corrective action.</t>
  </si>
  <si>
    <t>No credible written analysis exists of complacency, fatigue, or price-benchmarking exposure.</t>
  </si>
  <si>
    <t>Maintain and harden the position for [{Sector}] / [{Buyer Type}] / [{Stage}] / [{Role}] / [{Deal Size}]: keep the documented conclusion current, pressure-test it against new buyer and competitor signals, and refresh the named artifact(s): A16 Commercial Stance Note; A07 Incumbent Defensibility Assessment; A22 Buyer Engagement &amp; Signal Log.</t>
  </si>
  <si>
    <t>Close the main evidence or interpretation gaps for [{Archetype}] / [{Stage}] / [{Role}]. Update the artifact outcome(s) in A16 Commercial Stance Note; A07 Incumbent Defensibility Assessment; A22 Buyer Engagement &amp; Signal Log so the key judgment, trade-off, and implication are explicit and better supported.</t>
  </si>
  <si>
    <t>Rework the underlying analysis for [{Sector}] / [{Buyer Type}] / [{Archetype}]. Use A16 Commercial Stance Note; A07 Incumbent Defensibility Assessment; A22 Buyer Engagement &amp; Signal Log to document the missing decision, trade-off, and implication; then test the conclusion with fresher buyer / market evidence.</t>
  </si>
  <si>
    <t>Treat this as a major weakness. Before scoring positively, rebuild the relevant artifact outcome(s) in A16 Commercial Stance Note; A07 Incumbent Defensibility Assessment; A22 Buyer Engagement &amp; Signal Log, gather direct evidence, and decide whether the pursuit should be reshaped, deferred, or stopped for [{Stage}] / [{Role}] / [{Deal Size}].</t>
  </si>
  <si>
    <t>We have a defensible position on value-for-money, commercial reset, and future improvement.</t>
  </si>
  <si>
    <t>Tests incumbent defence on value and roadmap.</t>
  </si>
  <si>
    <t>A16 Commercial Stance Note; A17 Risk / Red-Line Summary; A08 Path-to-Win Statement; A09 Win Themes</t>
  </si>
  <si>
    <t>Explain how we defend current value, respond to reset pressure, and demonstrate future improvement.</t>
  </si>
  <si>
    <t>Evidence note states the conclusion clearly for 'We have a defensible position on value-for-money, commercial reset, and future improvement.', cites the decisive evidence, references the relevant artifact(s), and explains the implication for the pursuit.</t>
  </si>
  <si>
    <t>The Commercial Stance Note and Path-to-Win Statement together show a defensible value-for-money position: we can explain our pricing, show delivered improvements, and evidence why the next term creates better value rather than simply preserving the current model. The team has documented a positive reset story, not just resistance to change.</t>
  </si>
  <si>
    <t>There is a credible value-for-money defence and some evidence of future improvement, but the position is not yet fully robust against an aggressive buyer reset or challenger undercut.</t>
  </si>
  <si>
    <t>The note says we offer value, but it does not clearly document how that value will withstand price reset pressure or scrutiny.</t>
  </si>
  <si>
    <t>There is no credible value-for-money or improvement case documented.</t>
  </si>
  <si>
    <t>Maintain and harden the position for [{Sector}] / [{Buyer Type}] / [{Stage}] / [{Role}] / [{Deal Size}]: keep the documented conclusion current, pressure-test it against new buyer and competitor signals, and refresh the named artifact(s): A16 Commercial Stance Note; A17 Risk / Red-Line Summary; A08 Path-to-Win Statement; A09 Win Themes.</t>
  </si>
  <si>
    <t>Close the main evidence or interpretation gaps for [{Archetype}] / [{Stage}] / [{Role}]. Update the artifact outcome(s) in A16 Commercial Stance Note; A17 Risk / Red-Line Summary; A08 Path-to-Win Statement; A09 Win Themes so the key judgment, trade-off, and implication are explicit and better supported.</t>
  </si>
  <si>
    <t>Rework the underlying analysis for [{Sector}] / [{Buyer Type}] / [{Archetype}]. Use A16 Commercial Stance Note; A17 Risk / Red-Line Summary; A08 Path-to-Win Statement; A09 Win Themes to document the missing decision, trade-off, and implication; then test the conclusion with fresher buyer / market evidence.</t>
  </si>
  <si>
    <t>Treat this as a major weakness. Before scoring positively, rebuild the relevant artifact outcome(s) in A16 Commercial Stance Note; A17 Risk / Red-Line Summary; A08 Path-to-Win Statement; A09 Win Themes, gather direct evidence, and decide whether the pursuit should be reshaped, deferred, or stopped for [{Stage}] / [{Role}] / [{Deal Size}].</t>
  </si>
  <si>
    <t>Question-to-Artifact Matrix</t>
  </si>
  <si>
    <t>This sheet shows which artifacts matter for each question, what the team must actually communicate in those artifacts, and the practical score cap if the artifacts are missing or weak.</t>
  </si>
  <si>
    <t>Example of full-mark evidence note</t>
  </si>
  <si>
    <t>Cap if artifacts weak / absent</t>
  </si>
  <si>
    <t>Evidence note names the key conclusion, references the relevant artifact(s), summarises the decisive insight, cites the strongest supporting evidence, and states the implication for the pursuit.</t>
  </si>
  <si>
    <t>Max = Disagree if absent/incomplete; Max = Agree if present but not insight-rich.</t>
  </si>
  <si>
    <t>Names the likely winner, explains why they are strong, states our 2–3 buyer-relevant advantages, links each to proof and likely scoring impact, and shows why the advantage is real rather than aspirational.</t>
  </si>
  <si>
    <t>Explains the route-to-market, weighting, and evaluation logic, then shows exactly how our strengths convert into points or decision advantage.</t>
  </si>
  <si>
    <t>Shows a credible price posture, key commercial assumptions, margin logic, and why the offer is both attractive to the buyer and viable for us.</t>
  </si>
  <si>
    <t>Scoring Rules — v4</t>
  </si>
  <si>
    <t>The final score should reflect: response strength, evidence of executed thinking, artifact sufficiency, evidence quality, freshness, and judgment quality. Context-sensitive actions should be tailored using Sector, Buyer Type, Opportunity Archetype, Pursuit Stage, Pursuit Role, and Deal Size.</t>
  </si>
  <si>
    <t>Scoring components</t>
  </si>
  <si>
    <t>Component</t>
  </si>
  <si>
    <t>Response level</t>
  </si>
  <si>
    <t>Execution evidence</t>
  </si>
  <si>
    <t>Evidence quality</t>
  </si>
  <si>
    <t>Judgment quality</t>
  </si>
  <si>
    <t>Whether the interpretation is sound, balanced, and not over-optimistic</t>
  </si>
  <si>
    <t>Has the team drawn a sensible conclusion from the evidence?</t>
  </si>
  <si>
    <t>Universal hurdle logic</t>
  </si>
  <si>
    <t>The response note shows credible thinking and some supporting evidence, but there are still material assumptions, partial validation, incomplete triangulation, or unresolved caveats.</t>
  </si>
  <si>
    <t>Score caps</t>
  </si>
  <si>
    <t>Condition</t>
  </si>
  <si>
    <t>Required artifact absent or materially incomplete</t>
  </si>
  <si>
    <t>Maximum = Disagree unless the evidence note independently proves the claim from other direct sources</t>
  </si>
  <si>
    <t>Artifact exists but does not communicate the key decisions / insights</t>
  </si>
  <si>
    <t>Evidence is stale or weakly sourced</t>
  </si>
  <si>
    <t>Conclusion overreaches the evidence</t>
  </si>
  <si>
    <t>Weighting logic</t>
  </si>
  <si>
    <t>The universal question set remains fixed; category weights should change by opportunity archetype. Use the 'Archetype_Weights' sheet to apply the correct 100-mark allocation for consulting, digital, product, BPO, facilities, hybrid, framework, and incumbent rebid opportunities.</t>
  </si>
  <si>
    <t>Challenger overlay guidance</t>
  </si>
  <si>
    <t>Use the Challenger Overlay whenever the client is not the incumbent and must prove a credible switching case, neutralise transition fear, and evidence that the opportunity is genuinely contestable.</t>
  </si>
  <si>
    <t>Weak switching logic caps</t>
  </si>
  <si>
    <t>Working Scorecard — Core 25 Questions</t>
  </si>
  <si>
    <t>Complete this sheet for all pursuits. Use the rubric sheets to justify the response and complete the evidence note. Yellow / blue cells are for user input.</t>
  </si>
  <si>
    <t>Opportunity / Pursuit Name</t>
  </si>
  <si>
    <t>Client / Buyer</t>
  </si>
  <si>
    <t>Core Overall Score</t>
  </si>
  <si>
    <t>Service Line</t>
  </si>
  <si>
    <t>Critical Weak Count</t>
  </si>
  <si>
    <t>AI Coaching Context</t>
  </si>
  <si>
    <t>Tailor challenge questions and actions using Sector, Buyer Type, Archetype, Stage, Role, and Deal Size.</t>
  </si>
  <si>
    <t>Critical SD Count</t>
  </si>
  <si>
    <t>Archetype-Adjusted Score</t>
  </si>
  <si>
    <t>Use the archetype to rebalance the category weights across consulting, digital, product, BPO, and operational service opportunities.</t>
  </si>
  <si>
    <t>Decision Band</t>
  </si>
  <si>
    <t>Governance Note</t>
  </si>
  <si>
    <t>Reminder</t>
  </si>
  <si>
    <t>High scores require evidence that the team has executed the thinking and communicated the key decisions and insights clearly. Documents alone do not earn full marks.</t>
  </si>
  <si>
    <t>Question Weight %</t>
  </si>
  <si>
    <t>Artifact Sufficiency</t>
  </si>
  <si>
    <t>Evidence Quality</t>
  </si>
  <si>
    <t>Judgment Quality</t>
  </si>
  <si>
    <t>Fixability</t>
  </si>
  <si>
    <t>Evidence Note</t>
  </si>
  <si>
    <t>Response Score</t>
  </si>
  <si>
    <t>Artifact Mult</t>
  </si>
  <si>
    <t>Evidence Mult</t>
  </si>
  <si>
    <t>Freshness Mult</t>
  </si>
  <si>
    <t>Judgment Mult</t>
  </si>
  <si>
    <t>Adjusted Score</t>
  </si>
  <si>
    <t>Base Weighted Contribution</t>
  </si>
  <si>
    <t>Archetype Weighted Contribution</t>
  </si>
  <si>
    <t>AI Challenge Questions</t>
  </si>
  <si>
    <t>Context-Sensitive Next Actions</t>
  </si>
  <si>
    <t>Reviewer Override / Notes</t>
  </si>
  <si>
    <t>Working Scorecard — Incumbent Overlay</t>
  </si>
  <si>
    <t>Overlay Score</t>
  </si>
  <si>
    <t>Complete this overlay only when the client is the incumbent. Use the core context fields (Sector, Buyer Type, Archetype, Stage, Role, Deal Size) from the core sheet when tailoring challenge questions and actions.</t>
  </si>
  <si>
    <t>Dashboard</t>
  </si>
  <si>
    <t>Review the score with the context in mind. A strong score requires executed thinking, not just completed artifacts. Use the rubric sheets, context guide, and archetype guide to tailor challenge and next actions.</t>
  </si>
  <si>
    <t>Incumbent Overlay Score</t>
  </si>
  <si>
    <t>Challenger Overlay Score</t>
  </si>
  <si>
    <t>Core Critical Weak Count</t>
  </si>
  <si>
    <t>Inc Overlay Critical Weak Count</t>
  </si>
  <si>
    <t>Chal Overlay Critical Weak Count</t>
  </si>
  <si>
    <t>Core Critical SD Count</t>
  </si>
  <si>
    <t>Inc Overlay Critical SD Count</t>
  </si>
  <si>
    <t>Chal Overlay Critical SD Count</t>
  </si>
  <si>
    <t>Final Score</t>
  </si>
  <si>
    <t>Governance Recommendation</t>
  </si>
  <si>
    <t>Category Scores</t>
  </si>
  <si>
    <t>Core Category</t>
  </si>
  <si>
    <t>Score</t>
  </si>
  <si>
    <t>Challenger Overlay Rubric — Contextual Benchmark Responses, Switching Logic, Execution, Judgment &amp; Coaching (v6)</t>
  </si>
  <si>
    <t>This rubric uses one benchmark scenario per question for challenger pursuits. The example responses show what a user might actually write in the evidence box at each hurdle level so the AI can judge switching logic, specificity, documented implications, and what must improve to displace the incumbent.</t>
  </si>
  <si>
    <t>We have clear evidence of why the buyer would switch away from the incumbent.</t>
  </si>
  <si>
    <t>Especially critical for BPO / managed service, operational service, digital transformation, and any regulated or high-switching-cost pursuit where the incumbent has embedded advantage.</t>
  </si>
  <si>
    <t>Tests whether there is a real switching case rather than hopeful challenger logic.</t>
  </si>
  <si>
    <t>A02 Buyer Decision Thesis; A07 Incumbent Defensibility Assessment; A22 Buyer Engagement &amp; Signal Log; A01 Opportunity Brief</t>
  </si>
  <si>
    <t>State the specific reasons the buyer could switch, the evidence behind them, how strong each reason is, and what this means for the challenger strategy.</t>
  </si>
  <si>
    <t>The Buyer Decision Thesis and Incumbent Defensibility Assessment record three evidenced reasons the department could switch: persistent service dissatisfaction in one workstream, pressure to reset value-for-money before the next spending review, and concern that the incumbent's improvement roadmap is incremental rather than transformational. Account notes and the engagement log show these points have been discussed with operational and commercial stakeholders, and the implication documented is that this is a genuine change event rather than a routine renewal.</t>
  </si>
  <si>
    <t>S6 — Central government | BPO managed service | £100m | Capture phase | Challenger | Reprocurement from incumbent</t>
  </si>
  <si>
    <t>The team has documented credible reasons the buyer could switch, including performance pressure and price reset expectations. The logic is directionally strong, but one or more switching drivers remains partly inferred or not yet prioritised clearly in the artifacts.</t>
  </si>
  <si>
    <t>The response says the buyer may want a fresh supplier because the contract is being recompeted and cost pressure exists. It does not clearly show why the buyer would move away from the incumbent rather than simply rebid on continuity terms.</t>
  </si>
  <si>
    <t>We think the buyer may switch because they are running a competition. No specific, documented switching case is evidenced.</t>
  </si>
  <si>
    <t>Which switching driver is strongest today, which is weakening, and what new evidence could show the buyer is moving back toward continuity?</t>
  </si>
  <si>
    <t>Which switching drivers are still inferred rather than evidenced? Have we prioritised them clearly enough for the pursuit team to act on?</t>
  </si>
  <si>
    <t>Are we confusing the existence of a tender with real appetite to displace the incumbent? What direct evidence of switching intent is missing?</t>
  </si>
  <si>
    <t>What would have to be true for this to become a real switching event? Are we pursuing a continuity-biased procurement with no credible displacement case?</t>
  </si>
  <si>
    <t>Strengthen the switching case in A02 Buyer Decision Thesis, A07 Incumbent Defensibility Assessment, A22 Buyer Engagement &amp; Signal Log, and A01 Opportunity Brief.</t>
  </si>
  <si>
    <t>For [{Sector}] / [{Buyer Type}] / [{Stage}] / [{Deal Size}], keep refreshing the documented switching case, test whether the incumbent is closing the gap, and ensure the path-to-win keeps exploiting the strongest buyer motives to change.</t>
  </si>
  <si>
    <t>For [{Archetype}] / [{Stage}] / [{Role}], tighten the documented switching logic: validate the top switching trigger with fresher buyer intelligence, rank the drivers in A02 and A07, and convert them into sharper win themes and objection handling.</t>
  </si>
  <si>
    <t>Rework the pursuit around explicit displacement logic. Use A02, A07, A22, and A01 to gather direct evidence of dissatisfaction, value reset, or future-fit concerns; if that cannot be evidenced, downgrade the pursuit.</t>
  </si>
  <si>
    <t>Treat weak switching logic as a major cap. Pause optimistic scoring, rebuild A02 and A07 from direct evidence, and decide whether the opportunity is genuinely contestable or should move to Watch / Shape or No Bid.</t>
  </si>
  <si>
    <t>Move up one level by documenting specific switching drivers, ranking them by strength, and linking them to a challenger action and implication.</t>
  </si>
  <si>
    <t>Max = Disagree if there is no documented switching case; Max = Agree if the switching case exists but is not yet prioritised, evidenced, and linked to action.</t>
  </si>
  <si>
    <t>We understand the buyer’s perceived risks of switching and have a credible way to neutralise them.</t>
  </si>
  <si>
    <t>Critical for high-volume BPO, operational service, regulated environments, health, defence, and any pursuit where transition risk is naturally amplified.</t>
  </si>
  <si>
    <t>Tests whether the challenger has translated buyer switching fear into a defendable neutralisation strategy.</t>
  </si>
  <si>
    <t>A05 Buyer Anxiety &amp; Constraint Map; A11 Solution Spine; A18 Delivery Credibility Summary; A19 Gap &amp; Fix Plan</t>
  </si>
  <si>
    <t>Name the buyer's switching fears, show which are material, document how they will be neutralised, and state what still needs to be proven.</t>
  </si>
  <si>
    <t>The Buyer Anxiety Map and Solution Spine document the buyer's key switching fears: transition disruption, knowledge loss, service continuity failure, and industrial-relations risk. The team has mapped each fear to a concrete neutralisation response — phased migration, retained SMEs, dual-running controls, and named transition governance — and the Delivery Credibility Summary shows directly relevant proof from two analogous mobilisations.</t>
  </si>
  <si>
    <t>The team has identified the main switching risks and documented a credible response to most of them. However, one or two major anxieties, such as workforce transfer or data migration, are still only partly neutralised in the written logic.</t>
  </si>
  <si>
    <t>The response says transition risk will be managed through governance and careful planning, but it does not show a specific mapping between the buyer's actual fears and the proposed controls.</t>
  </si>
  <si>
    <t>We would manage transition carefully. No clear record exists of what the buyer specifically fears about switching or how we would neutralise it.</t>
  </si>
  <si>
    <t>Which switching risk remains hardest to neutralise, and what evidence would most weaken our current confidence?</t>
  </si>
  <si>
    <t>Which buyer anxiety is still under-specified or weakly evidenced? Where does the neutralisation logic rely on generic transition language rather than concrete controls?</t>
  </si>
  <si>
    <t>Have we documented real buyer fears, or are we writing a standard mobilisation paragraph? What control evidence is missing?</t>
  </si>
  <si>
    <t>If the buyer asked tomorrow why switching to us is safe, could we answer credibly? What is missing from the transition story?</t>
  </si>
  <si>
    <t>Strengthen A05 Buyer Anxiety &amp; Constraint Map, A11 Solution Spine, A18 Delivery Credibility Summary, and A19 Gap &amp; Fix Plan around buyer-specific switching risk.</t>
  </si>
  <si>
    <t>For [{Sector}] / [{Archetype}] / [{Stage}], keep the risk-neutralisation logic current, pressure-test it against late buyer questions, and ensure the proof remains directly relevant to switching risk.</t>
  </si>
  <si>
    <t>Close the biggest neutralisation gap for [{Buyer Type}] / [{Role}] / [{Deal Size}] by updating A05 and A11 with buyer-specific controls and using A18 to add more direct mobilisation proof.</t>
  </si>
  <si>
    <t>Rebuild the switching-risk logic from the buyer backwards. Use A05 to isolate the top 3 fears, redesign the relevant parts of A11 and A18, and capture residual issues in A19 with owners and dates.</t>
  </si>
  <si>
    <t>Do not rate the pursuit strongly until a credible neutralisation story exists. Build A05, A11, A18, and A19 properly and test whether the buyer would still see switching as prohibitively risky.</t>
  </si>
  <si>
    <t>Move up one level by documenting specific buyer fears, mapping each to controls, and evidencing why those controls are credible in this context.</t>
  </si>
  <si>
    <t>Max = Disagree if switching fears are not documented or no challenger neutralisation logic exists; Max = Agree if the logic is generic rather than buyer-specific.</t>
  </si>
  <si>
    <t>We can explain why choosing us is lower risk than the buyer may initially assume.</t>
  </si>
  <si>
    <t>Especially important for challenger pursuits where the incumbent's familiarity creates a default risk premium against change.</t>
  </si>
  <si>
    <t>Tests whether the team has a credible reframing of challenger risk, not just a defensive answer.</t>
  </si>
  <si>
    <t>A02 Buyer Decision Thesis; A11 Solution Spine; A18 Delivery Credibility Summary; A09 Path-to-Win Statement</t>
  </si>
  <si>
    <t>Show how the team reframes challenger risk, why the buyer's initial assumption is incomplete, and what proof supports the reframing.</t>
  </si>
  <si>
    <t>The Path-to-Win Statement documents that the council may initially see us as higher risk because we are not the incumbent adviser. The team has reframed that risk in the Buyer Decision Thesis: our named delivery team has executed two comparable local authority transformations, we are less constrained by legacy recommendations, and our mobilisation is lighter than a major outsourcing transition. The Delivery Credibility Summary links this directly to referenceable case studies and named people.</t>
  </si>
  <si>
    <t>S7 — Local government | Consulting / advisory | £3m | Pre-gate | Challenger | Open competition</t>
  </si>
  <si>
    <t>The team has a credible argument that the perceived risk of choosing us is lower than it first appears, supported by relevant people and case studies. However, the written logic does not yet fully close the gap between perceived and actual risk for all key stakeholders.</t>
  </si>
  <si>
    <t>The response says we are lower risk because we have good people and relevant experience, but it does not clearly explain why the buyer's initial concern would be misplaced or how that conclusion has been documented.</t>
  </si>
  <si>
    <t>We are not high risk because we are good. No specific reasoning or documented proof explains why the buyer's perception of challenger risk should change.</t>
  </si>
  <si>
    <t>Which stakeholder is most likely to retain the original 'challenger = higher risk' assumption, and how are we actively correcting that?</t>
  </si>
  <si>
    <t>Is our reframing specific enough for this buyer, or are we relying on generic claims about expertise and quality?</t>
  </si>
  <si>
    <t>Have we actually reframed buyer risk, or simply asserted competence? What evidence would convince a skeptical evaluator?</t>
  </si>
  <si>
    <t>Why should the buyer revise its instinctive risk view at all? Are we hoping credentials alone will do the work?</t>
  </si>
  <si>
    <t>Strengthen A02 Buyer Decision Thesis, A11 Solution Spine, A18 Delivery Credibility Summary, and A09 Path-to-Win Statement to reframe challenger risk.</t>
  </si>
  <si>
    <t>For [{Buyer Type}] / [{Archetype}] / [{Stage}], continue hardening the reframing message, validate that it lands with the most risk-sensitive stakeholders, and keep linking it to named proof and delivery people.</t>
  </si>
  <si>
    <t>Sharpen the 'lower than assumed risk' argument for [{Sector}] / [{Role}] / [{Deal Size}] by making the risk comparison explicit in A02 and A09 and grounding it in stronger proof in A18.</t>
  </si>
  <si>
    <t>Rebuild the risk-reframing logic. Use A02 and A09 to identify the buyer's likely default concern, then show in A11 and A18 why that concern overstates the real implementation risk.</t>
  </si>
  <si>
    <t>Pause optimistic scoring until a credible challenger-risk reframing exists. Without this, the buyer will likely default to familiarity or larger-brand assurance.</t>
  </si>
  <si>
    <t>Move up one level by explicitly naming the buyer's assumed risk, rebutting it with evidence, and documenting why the revised interpretation should matter.</t>
  </si>
  <si>
    <t>Max = Disagree if the team has not documented the buyer's assumed challenger risk and a rebuttal; Max = Agree if the rebuttal is present but generic.</t>
  </si>
  <si>
    <t>We have a believable transition and mobilisation story that materially reduces incumbent advantage.</t>
  </si>
  <si>
    <t>Critical for BPO, facilities, digital transformation, and any service with complex migration, TUPE, data, operational continuity, or assurance demands.</t>
  </si>
  <si>
    <t>Tests whether the challenger can neutralise one of the incumbent's biggest practical advantages.</t>
  </si>
  <si>
    <t>A11 Solution Spine; A18 Delivery Credibility Summary; A17 Risk / Red-Line Summary; A20 Pursuit Operating Plan</t>
  </si>
  <si>
    <t>Document the transition story, show why it is believable in this context, and explain how it narrows the incumbent's structural advantage.</t>
  </si>
  <si>
    <t>The Solution Spine includes a staged mobilisation model, secure onboarding plan, retained-cleared leadership, and detailed service cutover approach. The Delivery Credibility Summary ties this to two secure-environment transitions of similar scale, and the Risk Summary explains why the proposed sequencing reduces mission disruption and narrows the incumbent's knowledge advantage. The artifacts clearly document why the buyer should view our transition as believable, not aspirational.</t>
  </si>
  <si>
    <t>S9 — Defence | Digital transformation / SI | £75m | Capture phase | Challenger | Restricted competition</t>
  </si>
  <si>
    <t>A credible mobilisation and transition story exists and is partly evidenced. The team has shown how it reduces incumbent advantage, but some important elements — such as secure resource availability or detailed cutover proof — are still not fully documented.</t>
  </si>
  <si>
    <t>The response says we will mobilise carefully and manage risk, but it does not provide a context-specific story showing why our transition would materially reduce incumbent advantage.</t>
  </si>
  <si>
    <t>We will manage transition well. No believable, context-specific mobilisation logic is documented.</t>
  </si>
  <si>
    <t>Which part of the mobilisation story is most vulnerable to challenge — clearance, staffing, sequencing, governance, or cutover proof?</t>
  </si>
  <si>
    <t>What part of the transition story still feels generic or under-evidenced, and what would the buyer most likely challenge first?</t>
  </si>
  <si>
    <t>Have we translated mobilisation into a believable buyer story, or have we just listed delivery activities?</t>
  </si>
  <si>
    <t>If asked to prove we can transition without mission or service risk, what would we show today?</t>
  </si>
  <si>
    <t>Strengthen A11 Solution Spine, A18 Delivery Credibility Summary, A17 Risk / Red-Line Summary, and A20 Pursuit Operating Plan around challenger transition credibility.</t>
  </si>
  <si>
    <t>For [{Sector}] / [{Archetype}] / [{Deal Size}], keep pressure-testing the mobilisation logic, add late-stage proof where needed, and ensure the incumbent-disadvantage narrative is explicit in A11 and A18.</t>
  </si>
  <si>
    <t>Close the biggest transition-proof gap for [{Stage}] / [{Role}] by adding context-specific cutover evidence, secure staffing proof, or mobilisation sequencing into A11 and A18.</t>
  </si>
  <si>
    <t>Rebuild the mobilisation story from the buyer's risk perspective. Use A11, A18, A17, and A20 to show who does what, when, with what controls, and why that reduces incumbent advantage in practice.</t>
  </si>
  <si>
    <t>Treat weak mobilisation logic as a major stop signal in transition-heavy pursuits. Until A11, A18, A17, and A20 show a believable path, do not assume the buyer will discount incumbent advantage.</t>
  </si>
  <si>
    <t>Move up one level by turning generic mobilisation language into a context-specific, proof-backed story that explicitly reduces incumbent advantage.</t>
  </si>
  <si>
    <t>Max = Disagree if there is no context-specific transition story; Max = Agree if the transition story exists but is thinly evidenced.</t>
  </si>
  <si>
    <t>Our path to win does not depend mainly on incumbent failure, weak competitor execution, or buyer frustration alone.</t>
  </si>
  <si>
    <t>Important across all challenger pursuits; especially where teams are tempted to over-index on competitor weakness rather than their own differentiated path.</t>
  </si>
  <si>
    <t>Tests whether the challenger case is positively constructed rather than opportunistic and fragile.</t>
  </si>
  <si>
    <t>A09 Path-to-Win Statement; A10 Win Themes; A06 Competitor Field Map; A07 Incumbent Defensibility Assessment</t>
  </si>
  <si>
    <t>Show that the challenger win path is based on positive buyer value and differentiators, not just the incumbent stumbling.</t>
  </si>
  <si>
    <t>The Path-to-Win Statement makes clear that we are not relying on incumbent underperformance alone. Our win themes are built around lower-risk process redesign, a more credible cost model, and stronger service analytics. The Competitor Field Map documents where the incumbent is vulnerable, but the pursuit case is still positive and scoreable even if the incumbent performs a competent defence.</t>
  </si>
  <si>
    <t>S10 — Central government | BPO / managed service | £50m | Formal pursuit | Challenger | Price-sensitive recompetition</t>
  </si>
  <si>
    <t>The team has a positive challenger story and does not rely solely on incumbent failure, but parts of the written logic still lean too heavily on assumed buyer frustration or competitor weakness.</t>
  </si>
  <si>
    <t>The response suggests we can win because the incumbent is expensive and disliked, but it does not demonstrate a strong enough positive reason for the buyer to choose us.</t>
  </si>
  <si>
    <t>We think we win because the incumbent has had problems. No coherent positive challenger case is documented.</t>
  </si>
  <si>
    <t>If the incumbent executes well from here, does our positive case still stand strongly enough to win?</t>
  </si>
  <si>
    <t>Where does our logic still lean too heavily on competitor weakness rather than our own scoreable advantage?</t>
  </si>
  <si>
    <t>Are we describing why the incumbent could lose rather than why we should win?</t>
  </si>
  <si>
    <t>If the incumbent unexpectedly improves, what is left of our path to win?</t>
  </si>
  <si>
    <t>Strengthen A09 Path-to-Win Statement, A10 Win Themes, A06 Competitor Field Map, and A07 Incumbent Defensibility Assessment so the win path is positive and resilient.</t>
  </si>
  <si>
    <t>For [{Archetype}] / [{Stage}] / [{Role}], keep testing whether the positive challenger case holds even under a stronger incumbent defence and update A09 / A10 accordingly.</t>
  </si>
  <si>
    <t>Rebalance the written case by making the positive buyer value clearer in A09 and A10 and reducing reliance on assumed competitor weakness in A06 and A07.</t>
  </si>
  <si>
    <t>Rebuild the path-to-win around what the buyer positively gains from choosing us. Use A09 and A10 to define scoreable value and keep A06 / A07 as supporting context rather than the core case.</t>
  </si>
  <si>
    <t>Do not proceed on a challenger strategy that depends mainly on incumbent failure. Rework A09 and A10 until the buyer has a positive reason to select us.</t>
  </si>
  <si>
    <t>Move up one level by showing that the buyer would still have a reason to choose us even if the incumbent runs a competent defence.</t>
  </si>
  <si>
    <t>Max = Agree if the path-to-win is still mainly negative / anti-incumbent; Max = Disagree if no positive challenger case is documented.</t>
  </si>
  <si>
    <t>Our proof, credentials, and named team are close enough to overcome lack of incumbency.</t>
  </si>
  <si>
    <t>Especially critical in consulting, digital transformation, SaaS, and any pursuit where credibility is heavily proxied through people, references, and adjacent proof.</t>
  </si>
  <si>
    <t>Tests whether the challenger has enough credibility density to offset the incumbent's familiarity advantage.</t>
  </si>
  <si>
    <t>A10 Win Themes; A12 Proof Map; A18 Delivery Credibility Summary; A15 Suitability / Eligibility Review</t>
  </si>
  <si>
    <t>Show that the proof is adjacent enough, the team is credible enough, and the written case clearly explains why this offsets lack of incumbency.</t>
  </si>
  <si>
    <t>The Proof Map and Delivery Credibility Summary show three NHS or closely adjacent implementations, named product and implementation leads, and clear evidence of integration, assurance, and adoption outcomes. The team has documented why this body of proof is strong enough to offset the incumbent's familiarity, and the Suitability Review confirms there are no qualification gaps that would undermine credibility.</t>
  </si>
  <si>
    <t>S8 — NHS | Digital product / SaaS | £12m | Formal pursuit | Challenger | Framework call-off</t>
  </si>
  <si>
    <t>The team has relevant proof and credible named people, and the artifacts make a plausible case that this is sufficient to overcome lack of incumbency. However, one or more pieces of proof are only partly adjacent or not yet strong enough for the buyer's likely risk threshold.</t>
  </si>
  <si>
    <t>The response points to general product references and strong people, but it does not show enough directly relevant proof to offset the buyer's likely comfort with the incumbent.</t>
  </si>
  <si>
    <t>We have good people and some references. No convincing documented case shows why this would overcome lack of incumbency.</t>
  </si>
  <si>
    <t>Which part of our proof would a skeptical evaluator still challenge on adjacency, scale, assurance, or named-team credibility?</t>
  </si>
  <si>
    <t>Where is the proof still too generic, too old, or not close enough to this requirement?</t>
  </si>
  <si>
    <t>Are we relying on broad credentials instead of buyer-relevant proof? What would the buyer see as the credibility gap?</t>
  </si>
  <si>
    <t>If the buyer asked today why our references should outweigh incumbent familiarity, what would we show?</t>
  </si>
  <si>
    <t>Strengthen A10 Win Themes, A12 Proof Map, A18 Delivery Credibility Summary, and A15 Suitability / Eligibility Review around challenger credibility density.</t>
  </si>
  <si>
    <t>For [{Buyer Type}] / [{Archetype}] / [{Deal Size}], keep the proof current, tighten named-team relevance, and ensure the anti-incumbency case is grounded in directly comparable evidence.</t>
  </si>
  <si>
    <t>Close the biggest credibility gap by improving A12 and A18 with more adjacent references, named team evidence, or assurance proof, and reflect the implication in A10.</t>
  </si>
  <si>
    <t>Rebuild the proof package around buyer-risk reduction. Use A12, A18, and A15 to replace generic credentials with directly relevant implementation, assurance, or service evidence.</t>
  </si>
  <si>
    <t>Treat weak challenger proof as a major barrier. Until A12, A18, and A15 show credible adjacency and named-team strength, assume incumbency remains a major advantage.</t>
  </si>
  <si>
    <t>Move up one level by adding more adjacent proof, stronger named-team evidence, and a clearer written link between that proof and buyer confidence.</t>
  </si>
  <si>
    <t>Max = Disagree if proof is generic or weakly adjacent; Max = Agree if proof exists but does not fully offset likely incumbency comfort.</t>
  </si>
  <si>
    <t>We understand the incumbent’s strongest defences and have documented how we will counter them.</t>
  </si>
  <si>
    <t>Important in all challenger pursuits; especially where the incumbent has route-to-market strength, service continuity advantage, or deep stakeholder familiarity.</t>
  </si>
  <si>
    <t>Tests whether the team is ready for the incumbent's best defence, not just their visible weaknesses.</t>
  </si>
  <si>
    <t>A06 Competitor Field Map; A07 Incumbent Defensibility Assessment; A09 Path-to-Win Statement; A13 Objection Handling Map</t>
  </si>
  <si>
    <t>Document the incumbent's strongest defence lines and the challenger counter for each, including where the counter is still weak.</t>
  </si>
  <si>
    <t>The Competitor Field Map and Incumbent Defensibility Assessment document the incumbent's strongest defences: local relationships, operational continuity, and a low-disruption message. The Path-to-Win Statement and Objection Handling Map then show the counters: stronger service redesign, better local mobilisation proof, and a clearer cost-to-outcome case. The written record makes clear how we answer the incumbent's best argument, not just where they are weak.</t>
  </si>
  <si>
    <t>S11 — Local government | Operational service | £25m | Capture phase | Challenger | Incumbent with long local presence</t>
  </si>
  <si>
    <t>The team has identified the incumbent's main defences and has developed credible counters to most of them. However, one or two counters still need stronger proof or sharper articulation in the artifacts.</t>
  </si>
  <si>
    <t>The response notes that the incumbent is strong on continuity and local familiarity, but it does not show a well-documented counterstrategy for those advantages.</t>
  </si>
  <si>
    <t>We know the incumbent is strong. No documented response explains how we will counter their best defence lines.</t>
  </si>
  <si>
    <t>If the incumbent emphasises its strongest defence tomorrow, is our counter already strong enough in proof and message to neutralise it?</t>
  </si>
  <si>
    <t>Which incumbent defence still lacks a convincing counter, and where in the artifacts is that visible?</t>
  </si>
  <si>
    <t>Have we documented counters to the incumbent's strengths, or just described those strengths?</t>
  </si>
  <si>
    <t>What happens if the incumbent runs a disciplined defence around continuity, local trust, or price? Do we have an answer at all?</t>
  </si>
  <si>
    <t>Strengthen A06 Competitor Field Map, A07 Incumbent Defensibility Assessment, A09 Path-to-Win Statement, and A13 Objection Handling Map around incumbent defence lines and counters.</t>
  </si>
  <si>
    <t>For [{Sector}] / [{Stage}] / [{Role}], keep pressure-testing the incumbent defence map and update the counters as the pursuit evolves or new intelligence appears.</t>
  </si>
  <si>
    <t>Close the weakest counter by sharpening A09 and A13 and adding stronger support from A06 / A07 so the team can answer the incumbent's best line, not just its weak points.</t>
  </si>
  <si>
    <t>Rebuild the incumbent-response logic. Use A06 and A07 to identify the top 3 defence lines, then document in A09 and A13 how each will be countered in the bid and buyer conversations.</t>
  </si>
  <si>
    <t>Do not assume the incumbent will under-defend. Until A06, A07, A09, and A13 show a credible response to the strongest defence lines, maintain a cautious challenger score.</t>
  </si>
  <si>
    <t>Move up one level by naming the incumbent's strongest defence lines and writing down how each will be countered with evidence.</t>
  </si>
  <si>
    <t>Max = Agree if counters exist but remain thin; Max = Disagree if incumbent defence lines are described without documented counterstrategy.</t>
  </si>
  <si>
    <t>There is evidence that the opportunity is genuinely contestable rather than effectively set up for incumbent retention.</t>
  </si>
  <si>
    <t>Critical in any reprocurement, especially large BPO, operational, framework call-off, and highly relationship-led opportunities.</t>
  </si>
  <si>
    <t>Tests whether the team is challenging optimism and proving the opportunity is open enough to justify serious investment.</t>
  </si>
  <si>
    <t>A01 Opportunity Brief; A07 Incumbent Defensibility Assessment; A14 Evaluation Hypothesis Map; A22 Buyer Engagement &amp; Signal Log</t>
  </si>
  <si>
    <t>Document why the opportunity is genuinely contestable, what evidence supports that, and what signs would imply the field is actually closed or strongly biased to the incumbent.</t>
  </si>
  <si>
    <t>The Opportunity Brief and Engagement Log document why the opportunity is genuinely contestable: the buyer is signaling a desire to widen the field, the evaluation approach leaves room for differentiation, and the Incumbent Defensibility Assessment shows the current supplier is respected but not untouchable. The team has explicitly written down the signals that support contestability and the red flags that would change that judgment.</t>
  </si>
  <si>
    <t>S13 — Central government | Framework / panel style route | £20m indicative | Pre-gate | Challenger | Recompetition with incumbent well known</t>
  </si>
  <si>
    <t>There is a credible case that the opportunity is contestable, and the team has documented several positive signals. However, one or more important signs still suggest possible incumbent bias or route-to-market advantage that needs closer testing.</t>
  </si>
  <si>
    <t>The response assumes the opportunity is open because there is a competition, but it does not document clear evidence that the buyer is genuinely willing to move away from the incumbent.</t>
  </si>
  <si>
    <t>We believe the opportunity is contestable because it is being tendered. No documented evidence tests whether the field is actually open.</t>
  </si>
  <si>
    <t>What is the strongest signal that the opportunity could still harden back toward incumbent retention, and how are we monitoring it?</t>
  </si>
  <si>
    <t>Which signs of contestability are strongest, and which signs still suggest hidden incumbent bias or route advantage?</t>
  </si>
  <si>
    <t>Have we tested real contestability, or simply assumed competition equals openness? What evidence is missing?</t>
  </si>
  <si>
    <t>If this is effectively an incumbent-retention event, what are we seeing today that would tell us so? Are we ignoring it?</t>
  </si>
  <si>
    <t>Strengthen A01 Opportunity Brief, A07 Incumbent Defensibility Assessment, A14 Evaluation Hypothesis Map, and A22 Buyer Engagement &amp; Signal Log around contestability and switching openness.</t>
  </si>
  <si>
    <t>For [{Archetype}] / [{Stage}] / [{Deal Size}], keep monitoring contestability signals and red flags so the team does not over-commit if the opportunity closes down around the incumbent.</t>
  </si>
  <si>
    <t>Tighten the contestability test for [{Sector}] / [{Buyer Type}] / [{Role}] by updating A01, A07, A14, and A22 with clearer evidence of openness or bias and what that means for investment level.</t>
  </si>
  <si>
    <t>Do a hard contestability review. Use A01, A07, A14, and A22 to identify whether the route, buyer behaviour, or incumbent advantage makes this functionally closed; if yes, reshape or deprioritise.</t>
  </si>
  <si>
    <t>Treat weak contestability evidence as a major stop signal. Without documented reasons to believe the buyer is genuinely open to change, assume the pursuit is structurally fragile.</t>
  </si>
  <si>
    <t>Move up one level by documenting concrete signals of openness, plus the counter-signals that could still indicate incumbent bias.</t>
  </si>
  <si>
    <t>Max = Disagree if contestability is assumed rather than evidenced; Max = Strongly Disagree if switching logic and openness are both weak.</t>
  </si>
  <si>
    <t>Working Scorecard — Challenger Overlay</t>
  </si>
  <si>
    <t>Complete this overlay only when the client is the challenger. Use the core context fields (Sector, Buyer Type, Archetype, Stage, Role, Deal Size) from the core sheet when tailoring challenge questions and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</si>
</sst>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1"/>
      <color rgb="FFFFFFFF"/>
      <name val="Cambria"/>
      <charset val="1"/>
    </font>
    <font>
      <b/>
      <sz val="16"/>
      <color rgb="FF17365D"/>
      <name val="Cambria"/>
      <charset val="1"/>
    </font>
    <font>
      <i/>
      <sz val="10"/>
      <color rgb="FF555555"/>
      <name val="Cambria"/>
      <charset val="1"/>
    </font>
    <font>
      <b/>
      <sz val="12"/>
      <color rgb="FF17365D"/>
      <name val="Cambria"/>
      <charset val="1"/>
    </font>
    <font>
      <b/>
      <sz val="11"/>
      <color rgb="FF7030A0"/>
      <name val="Cambria"/>
      <charset val="1"/>
    </font>
    <font>
      <b/>
      <sz val="11"/>
      <color rgb="FF17365D"/>
      <name val="Cambria"/>
      <charset val="1"/>
    </font>
    <font>
      <sz val="11"/>
      <color rgb="FF0000FF"/>
      <name val="Cambria"/>
      <charset val="1"/>
    </font>
    <font>
      <b/>
      <sz val="11"/>
      <color rgb="FFC65D00"/>
      <name val="Cambria"/>
      <charset val="1"/>
    </font>
    <font>
      <sz val="11"/>
      <color rgb="FF000000"/>
      <name val="Cambria"/>
      <charset val="1"/>
    </font>
    <font>
      <b/>
      <sz val="11"/>
      <name val="Cambria"/>
      <charset val="1"/>
    </font>
    <font>
      <b/>
      <sz val="11"/>
      <color rgb="FFFFFFFF"/>
      <name val="Calibri"/>
    </font>
    <font>
      <b/>
      <sz val="11"/>
      <name val="Calibri"/>
    </font>
    <font>
      <b/>
      <sz val="14"/>
      <name val="Calibri"/>
    </font>
    <font>
      <b/>
      <sz val="14"/>
      <color rgb="FF021744"/>
      <name val="Calibri"/>
    </font>
    <font>
      <b/>
      <sz val="16"/>
      <color rgb="FF021744"/>
      <name val="Calibri"/>
    </font>
    <font>
      <b/>
      <sz val="14"/>
      <color rgb="FFFFFFFF"/>
      <name val="Calibri"/>
    </font>
  </fonts>
  <fills count="17">
    <fill>
      <patternFill patternType="none"/>
    </fill>
    <fill>
      <patternFill patternType="gray125"/>
    </fill>
    <fill>
      <patternFill patternType="solid">
        <fgColor rgb="FF7030A0"/>
        <bgColor rgb="FF993366"/>
      </patternFill>
    </fill>
    <fill>
      <patternFill patternType="solid">
        <fgColor rgb="FFD9F0F2"/>
        <bgColor rgb="FFD9EAF7"/>
      </patternFill>
    </fill>
    <fill>
      <patternFill patternType="solid">
        <fgColor rgb="FF1F4E78"/>
        <bgColor rgb="FF17365D"/>
      </patternFill>
    </fill>
    <fill>
      <patternFill patternType="solid">
        <fgColor rgb="FFFCE4D6"/>
        <bgColor rgb="FFFDE9E7"/>
      </patternFill>
    </fill>
    <fill>
      <patternFill patternType="solid">
        <fgColor rgb="FFD9EAF7"/>
        <bgColor rgb="FFD9F0F2"/>
      </patternFill>
    </fill>
    <fill>
      <patternFill patternType="solid">
        <fgColor rgb="FFE2F0D9"/>
        <bgColor rgb="FFD9F0F2"/>
      </patternFill>
    </fill>
    <fill>
      <patternFill patternType="solid">
        <fgColor rgb="FFFFF2CC"/>
        <bgColor rgb="FFFDE9E7"/>
      </patternFill>
    </fill>
    <fill>
      <patternFill patternType="solid">
        <fgColor rgb="FFF3F4F6"/>
        <bgColor rgb="FFFFFFFF"/>
      </patternFill>
    </fill>
    <fill>
      <patternFill patternType="solid">
        <fgColor rgb="FF1F4E78"/>
      </patternFill>
    </fill>
    <fill>
      <patternFill patternType="solid">
        <fgColor rgb="FFFFF2CC"/>
      </patternFill>
    </fill>
    <fill>
      <patternFill patternType="solid">
        <fgColor rgb="FFDDEBF7"/>
      </patternFill>
    </fill>
    <fill>
      <patternFill patternType="solid">
        <fgColor rgb="FF021744"/>
      </patternFill>
    </fill>
    <fill>
      <patternFill patternType="solid">
        <fgColor rgb="FFD9E2F3"/>
      </patternFill>
    </fill>
    <fill>
      <patternFill patternType="solid">
        <fgColor rgb="FFE7E6E6"/>
      </patternFill>
    </fill>
    <fill>
      <patternFill patternType="solid">
        <fgColor rgb="FF4F81BD"/>
      </patternFill>
    </fill>
  </fills>
  <borders count="9">
    <border>
      <left/>
      <right/>
      <top/>
      <bottom/>
      <diagonal/>
    </border>
    <border>
      <left style="thin">
        <color rgb="FFD0D7DE"/>
      </left>
      <right style="thin">
        <color rgb="FFD0D7DE"/>
      </right>
      <top style="medium">
        <color rgb="FF1F4E78"/>
      </top>
      <bottom style="medium">
        <color rgb="FF1F4E78"/>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bottom style="thin">
        <color rgb="FFD0D7DE"/>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right/>
      <top/>
      <bottom style="thin">
        <color rgb="FFD9D9D9"/>
      </bottom>
      <diagonal/>
    </border>
    <border>
      <left/>
      <right/>
      <top/>
      <bottom style="thin">
        <color rgb="FFD9D9D9"/>
      </bottom>
      <diagonal/>
    </border>
    <border>
      <left/>
      <right/>
      <top/>
      <bottom style="thin">
        <color rgb="FFD9D9D9"/>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0" borderId="0" xfId="0" applyFont="1" applyAlignment="1">
      <alignment wrapText="1"/>
    </xf>
    <xf numFmtId="0" fontId="0" fillId="0" borderId="0" xfId="0" applyAlignment="1">
      <alignment vertical="top" wrapText="1"/>
    </xf>
    <xf numFmtId="0" fontId="1" fillId="4" borderId="1" xfId="0" applyFont="1" applyFill="1" applyBorder="1" applyAlignment="1">
      <alignment horizontal="center" vertical="center" wrapText="1"/>
    </xf>
    <xf numFmtId="0" fontId="5" fillId="0" borderId="3" xfId="0" applyFont="1" applyBorder="1" applyAlignment="1">
      <alignment vertical="top" wrapText="1"/>
    </xf>
    <xf numFmtId="0" fontId="6" fillId="0" borderId="3" xfId="0" applyFont="1" applyBorder="1" applyAlignment="1">
      <alignment vertical="top" wrapText="1"/>
    </xf>
    <xf numFmtId="0" fontId="0" fillId="0" borderId="3" xfId="0" applyBorder="1" applyAlignment="1">
      <alignment vertical="top" wrapText="1"/>
    </xf>
    <xf numFmtId="0" fontId="0" fillId="0" borderId="0" xfId="0" applyAlignment="1">
      <alignment wrapText="1"/>
    </xf>
    <xf numFmtId="0" fontId="6" fillId="0" borderId="0" xfId="0" applyFont="1"/>
    <xf numFmtId="0" fontId="7" fillId="6" borderId="2" xfId="0" applyFont="1" applyFill="1" applyBorder="1"/>
    <xf numFmtId="0" fontId="6" fillId="3" borderId="0" xfId="0" applyFont="1" applyFill="1"/>
    <xf numFmtId="0" fontId="6" fillId="7" borderId="0" xfId="0" applyFont="1" applyFill="1" applyAlignment="1">
      <alignment wrapText="1"/>
    </xf>
    <xf numFmtId="0" fontId="8" fillId="5" borderId="0" xfId="0" applyFont="1" applyFill="1" applyAlignment="1">
      <alignment wrapText="1"/>
    </xf>
    <xf numFmtId="0" fontId="7" fillId="6" borderId="3" xfId="0" applyFont="1" applyFill="1" applyBorder="1" applyAlignment="1">
      <alignment vertical="top" wrapText="1"/>
    </xf>
    <xf numFmtId="0" fontId="7" fillId="8" borderId="3" xfId="0" applyFont="1" applyFill="1" applyBorder="1" applyAlignment="1">
      <alignment vertical="top" wrapText="1"/>
    </xf>
    <xf numFmtId="0" fontId="0" fillId="6" borderId="3" xfId="0" applyFill="1" applyBorder="1" applyAlignment="1">
      <alignment vertical="top" wrapText="1"/>
    </xf>
    <xf numFmtId="0" fontId="9" fillId="9" borderId="3" xfId="0" applyFont="1" applyFill="1" applyBorder="1" applyAlignment="1">
      <alignment vertical="top" wrapText="1"/>
    </xf>
    <xf numFmtId="0" fontId="10" fillId="7" borderId="0" xfId="0" applyFont="1" applyFill="1"/>
    <xf numFmtId="0" fontId="10" fillId="5" borderId="0" xfId="0" applyFont="1" applyFill="1"/>
    <xf numFmtId="0" fontId="0" fillId="9" borderId="3" xfId="0" applyFill="1" applyBorder="1" applyAlignment="1">
      <alignment vertical="top" wrapText="1"/>
    </xf>
    <xf numFmtId="0" fontId="0" fillId="5" borderId="2" xfId="0" applyFill="1" applyBorder="1" applyAlignment="1">
      <alignment wrapText="1"/>
    </xf>
    <xf numFmtId="0" fontId="0" fillId="7" borderId="2" xfId="0" applyFill="1" applyBorder="1" applyAlignment="1">
      <alignment wrapText="1"/>
    </xf>
    <xf numFmtId="0" fontId="4" fillId="0" borderId="0" xfId="0" applyFont="1"/>
    <xf numFmtId="0" fontId="11" fillId="10" borderId="6" xfId="0" applyFont="1" applyFill="1" applyBorder="1" applyAlignment="1">
      <alignment vertical="top" wrapText="1"/>
    </xf>
    <xf numFmtId="0" fontId="0" fillId="0" borderId="6" xfId="0" applyBorder="1" applyAlignment="1">
      <alignment vertical="top" wrapText="1"/>
    </xf>
    <xf numFmtId="0" fontId="13" fillId="0" borderId="0" xfId="0" applyFont="1"/>
    <xf numFmtId="0" fontId="11" fillId="10" borderId="0" xfId="0" applyFont="1" applyFill="1" applyAlignment="1">
      <alignment vertical="center" wrapText="1"/>
    </xf>
    <xf numFmtId="0" fontId="11" fillId="10" borderId="0" xfId="0" applyFont="1" applyFill="1"/>
    <xf numFmtId="0" fontId="12" fillId="3" borderId="0" xfId="0" applyFont="1" applyFill="1"/>
    <xf numFmtId="0" fontId="12" fillId="0" borderId="0" xfId="0" applyFont="1"/>
    <xf numFmtId="0" fontId="0" fillId="11" borderId="0" xfId="0" applyFill="1" applyAlignment="1">
      <alignment vertical="center" wrapText="1"/>
    </xf>
    <xf numFmtId="0" fontId="0" fillId="12" borderId="0" xfId="0" applyFill="1"/>
    <xf numFmtId="0" fontId="11" fillId="10" borderId="1" xfId="0" applyFont="1" applyFill="1" applyBorder="1" applyAlignment="1">
      <alignment vertical="center" wrapText="1"/>
    </xf>
    <xf numFmtId="0" fontId="14" fillId="0" borderId="0" xfId="0" applyFont="1"/>
    <xf numFmtId="0" fontId="11" fillId="13" borderId="6" xfId="0" applyFont="1" applyFill="1" applyBorder="1" applyAlignment="1">
      <alignment vertical="top" wrapText="1"/>
    </xf>
    <xf numFmtId="0" fontId="11" fillId="13" borderId="0" xfId="0" applyFont="1" applyFill="1" applyAlignment="1">
      <alignment vertical="top" wrapText="1"/>
    </xf>
    <xf numFmtId="0" fontId="3" fillId="0" borderId="0" xfId="0" applyFont="1" applyAlignment="1">
      <alignment vertical="top" wrapText="1"/>
    </xf>
    <xf numFmtId="0" fontId="0" fillId="14" borderId="6" xfId="0" applyFill="1" applyBorder="1" applyAlignment="1">
      <alignment vertical="top" wrapText="1"/>
    </xf>
    <xf numFmtId="0" fontId="0" fillId="15" borderId="6" xfId="0" applyFill="1" applyBorder="1" applyAlignment="1">
      <alignment vertical="top" wrapText="1"/>
    </xf>
    <xf numFmtId="0" fontId="14" fillId="10" borderId="0" xfId="0" applyFont="1" applyFill="1"/>
    <xf numFmtId="0" fontId="7" fillId="11" borderId="2" xfId="0" applyFont="1" applyFill="1" applyBorder="1"/>
    <xf numFmtId="0" fontId="0" fillId="11" borderId="0" xfId="0" applyFill="1"/>
    <xf numFmtId="0" fontId="0" fillId="11" borderId="0" xfId="0" applyFill="1" applyAlignment="1">
      <alignment vertical="top" wrapText="1"/>
    </xf>
    <xf numFmtId="0" fontId="11" fillId="16" borderId="0" xfId="0" applyFont="1" applyFill="1" applyAlignment="1">
      <alignment vertical="top" wrapText="1"/>
    </xf>
    <xf numFmtId="0" fontId="16" fillId="10" borderId="0" xfId="0" applyFont="1" applyFill="1"/>
    <xf numFmtId="0" fontId="0" fillId="0" borderId="0" xfId="0"/>
    <xf numFmtId="0" fontId="0" fillId="0" borderId="0" xfId="0" applyAlignment="1">
      <alignment vertical="top" wrapText="1"/>
    </xf>
    <xf numFmtId="0" fontId="4" fillId="3" borderId="2" xfId="0" applyFont="1" applyFill="1" applyBorder="1"/>
    <xf numFmtId="0" fontId="0" fillId="0" borderId="4" xfId="0" applyBorder="1"/>
    <xf numFmtId="0" fontId="0" fillId="0" borderId="5" xfId="0" applyBorder="1"/>
    <xf numFmtId="0" fontId="15" fillId="0" borderId="0" xfId="0" applyFont="1"/>
    <xf numFmtId="0" fontId="3" fillId="0" borderId="0" xfId="0" applyFont="1" applyAlignment="1">
      <alignment vertical="top" wrapText="1"/>
    </xf>
    <xf numFmtId="0" fontId="0" fillId="0" borderId="8" xfId="0" applyBorder="1" applyAlignment="1">
      <alignment vertical="top" wrapText="1"/>
    </xf>
    <xf numFmtId="0" fontId="0" fillId="0" borderId="7" xfId="0" applyBorder="1"/>
    <xf numFmtId="0" fontId="11" fillId="10" borderId="0" xfId="0" applyFont="1" applyFill="1"/>
    <xf numFmtId="0" fontId="11" fillId="10" borderId="8" xfId="0" applyFont="1" applyFill="1" applyBorder="1" applyAlignment="1">
      <alignment vertical="top" wrapText="1"/>
    </xf>
  </cellXfs>
  <cellStyles count="1">
    <cellStyle name="Normal" xfId="0" builtinId="0"/>
  </cellStyles>
  <dxfs count="6">
    <dxf>
      <fill>
        <patternFill>
          <bgColor rgb="FFE2F0D9"/>
        </patternFill>
      </fill>
    </dxf>
    <dxf>
      <fill>
        <patternFill>
          <bgColor rgb="FFFFF2CC"/>
        </patternFill>
      </fill>
    </dxf>
    <dxf>
      <fill>
        <patternFill>
          <bgColor rgb="FFFDE9E7"/>
        </patternFill>
      </fill>
    </dxf>
    <dxf>
      <fill>
        <patternFill>
          <bgColor rgb="FFE2F0D9"/>
        </patternFill>
      </fill>
    </dxf>
    <dxf>
      <fill>
        <patternFill>
          <bgColor rgb="FFFFF2CC"/>
        </patternFill>
      </fill>
    </dxf>
    <dxf>
      <fill>
        <patternFill>
          <bgColor rgb="FFFDE9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3F4F6"/>
      <rgbColor rgb="FF808080"/>
      <rgbColor rgb="FF9999FF"/>
      <rgbColor rgb="FF7030A0"/>
      <rgbColor rgb="FFFFF2CC"/>
      <rgbColor rgb="FFD9F0F2"/>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D9EAF7"/>
      <rgbColor rgb="FFE2F0D9"/>
      <rgbColor rgb="FFFDE9E7"/>
      <rgbColor rgb="FF99CCFF"/>
      <rgbColor rgb="FFFF99CC"/>
      <rgbColor rgb="FFCC99FF"/>
      <rgbColor rgb="FFFCE4D6"/>
      <rgbColor rgb="FF3366FF"/>
      <rgbColor rgb="FF33CCCC"/>
      <rgbColor rgb="FF99CC00"/>
      <rgbColor rgb="FFFFCC00"/>
      <rgbColor rgb="FFFF9900"/>
      <rgbColor rgb="FFC65D00"/>
      <rgbColor rgb="FF555555"/>
      <rgbColor rgb="FF969696"/>
      <rgbColor rgb="FF17365D"/>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
  <sheetViews>
    <sheetView showGridLines="0" zoomScaleNormal="100" workbookViewId="0"/>
  </sheetViews>
  <sheetFormatPr defaultColWidth="8.6328125" defaultRowHeight="15" customHeight="1" x14ac:dyDescent="0.35"/>
  <cols>
    <col min="1" max="1" width="22" customWidth="1"/>
    <col min="4" max="4" width="22" customWidth="1"/>
    <col min="7" max="7" width="22" customWidth="1"/>
    <col min="10" max="10" width="22" customWidth="1"/>
    <col min="13" max="13" width="22" customWidth="1"/>
    <col min="16" max="16" width="22" customWidth="1"/>
    <col min="19" max="19" width="22" customWidth="1"/>
  </cols>
  <sheetData>
    <row r="1" spans="1:25" ht="27.75" customHeight="1" x14ac:dyDescent="0.35">
      <c r="A1" s="1" t="s">
        <v>51</v>
      </c>
      <c r="B1" s="1" t="s">
        <v>52</v>
      </c>
      <c r="C1" s="1"/>
      <c r="D1" s="1" t="s">
        <v>53</v>
      </c>
      <c r="E1" s="1" t="s">
        <v>54</v>
      </c>
      <c r="F1" s="1"/>
      <c r="G1" s="1" t="s">
        <v>55</v>
      </c>
      <c r="H1" s="1" t="s">
        <v>54</v>
      </c>
      <c r="I1" s="1"/>
      <c r="J1" s="1" t="s">
        <v>56</v>
      </c>
      <c r="K1" s="1" t="s">
        <v>54</v>
      </c>
      <c r="L1" s="1"/>
      <c r="M1" s="1" t="s">
        <v>57</v>
      </c>
      <c r="N1" s="1" t="s">
        <v>54</v>
      </c>
      <c r="O1" s="1"/>
      <c r="P1" s="1" t="s">
        <v>58</v>
      </c>
      <c r="Q1" s="1" t="s">
        <v>59</v>
      </c>
      <c r="R1" s="1"/>
      <c r="S1" s="1" t="s">
        <v>60</v>
      </c>
      <c r="T1" s="1" t="s">
        <v>59</v>
      </c>
      <c r="V1" t="s">
        <v>61</v>
      </c>
      <c r="Y1" t="s">
        <v>62</v>
      </c>
    </row>
    <row r="2" spans="1:25" ht="15" customHeight="1" x14ac:dyDescent="0.35">
      <c r="A2" t="s">
        <v>63</v>
      </c>
      <c r="B2">
        <v>100</v>
      </c>
      <c r="D2" t="s">
        <v>64</v>
      </c>
      <c r="E2">
        <v>1</v>
      </c>
      <c r="G2" t="s">
        <v>65</v>
      </c>
      <c r="H2">
        <v>1</v>
      </c>
      <c r="J2" t="s">
        <v>66</v>
      </c>
      <c r="K2">
        <v>1</v>
      </c>
      <c r="M2" t="s">
        <v>67</v>
      </c>
      <c r="N2">
        <v>1</v>
      </c>
      <c r="P2" t="s">
        <v>68</v>
      </c>
      <c r="Q2">
        <v>1</v>
      </c>
      <c r="S2" t="s">
        <v>69</v>
      </c>
      <c r="T2">
        <v>1</v>
      </c>
      <c r="V2" t="s">
        <v>70</v>
      </c>
      <c r="Y2" t="s">
        <v>71</v>
      </c>
    </row>
    <row r="3" spans="1:25" ht="15" customHeight="1" x14ac:dyDescent="0.35">
      <c r="A3" t="s">
        <v>72</v>
      </c>
      <c r="B3">
        <v>67</v>
      </c>
      <c r="D3" t="s">
        <v>73</v>
      </c>
      <c r="E3">
        <v>0.8</v>
      </c>
      <c r="G3" t="s">
        <v>74</v>
      </c>
      <c r="H3">
        <v>0.85</v>
      </c>
      <c r="J3" t="s">
        <v>75</v>
      </c>
      <c r="K3">
        <v>0.9</v>
      </c>
      <c r="M3" t="s">
        <v>76</v>
      </c>
      <c r="N3">
        <v>0.85</v>
      </c>
      <c r="P3" t="s">
        <v>77</v>
      </c>
      <c r="Q3">
        <v>2</v>
      </c>
      <c r="S3" t="s">
        <v>78</v>
      </c>
      <c r="T3">
        <v>2</v>
      </c>
      <c r="V3" t="s">
        <v>79</v>
      </c>
      <c r="Y3" t="s">
        <v>80</v>
      </c>
    </row>
    <row r="4" spans="1:25" ht="15" customHeight="1" x14ac:dyDescent="0.35">
      <c r="A4" t="s">
        <v>81</v>
      </c>
      <c r="B4">
        <v>33</v>
      </c>
      <c r="D4" t="s">
        <v>82</v>
      </c>
      <c r="E4">
        <v>0.55000000000000004</v>
      </c>
      <c r="G4" t="s">
        <v>83</v>
      </c>
      <c r="H4">
        <v>0.65</v>
      </c>
      <c r="J4" t="s">
        <v>84</v>
      </c>
      <c r="K4">
        <v>0.75</v>
      </c>
      <c r="M4" t="s">
        <v>85</v>
      </c>
      <c r="N4">
        <v>0.65</v>
      </c>
      <c r="P4" t="s">
        <v>86</v>
      </c>
      <c r="Q4">
        <v>3</v>
      </c>
      <c r="S4" t="s">
        <v>87</v>
      </c>
      <c r="V4" t="s">
        <v>88</v>
      </c>
      <c r="Y4" t="s">
        <v>89</v>
      </c>
    </row>
    <row r="5" spans="1:25" ht="15" customHeight="1" x14ac:dyDescent="0.35">
      <c r="A5" t="s">
        <v>90</v>
      </c>
      <c r="B5">
        <v>0</v>
      </c>
      <c r="D5" t="s">
        <v>91</v>
      </c>
      <c r="E5">
        <v>0.25</v>
      </c>
      <c r="G5" t="s">
        <v>92</v>
      </c>
      <c r="H5">
        <v>0.4</v>
      </c>
      <c r="J5" t="s">
        <v>93</v>
      </c>
      <c r="K5">
        <v>0.6</v>
      </c>
      <c r="P5" t="s">
        <v>94</v>
      </c>
      <c r="Q5">
        <v>4</v>
      </c>
      <c r="S5" t="s">
        <v>95</v>
      </c>
      <c r="V5" t="s">
        <v>96</v>
      </c>
      <c r="Y5" t="s">
        <v>97</v>
      </c>
    </row>
    <row r="6" spans="1:25" ht="14.5" x14ac:dyDescent="0.35">
      <c r="P6" t="s">
        <v>98</v>
      </c>
      <c r="S6" t="s">
        <v>99</v>
      </c>
      <c r="Y6" t="s">
        <v>100</v>
      </c>
    </row>
    <row r="7" spans="1:25" ht="14.5" x14ac:dyDescent="0.35">
      <c r="P7" t="s">
        <v>101</v>
      </c>
      <c r="Y7" t="s">
        <v>102</v>
      </c>
    </row>
    <row r="8" spans="1:25" ht="14.5" x14ac:dyDescent="0.35">
      <c r="P8" t="s">
        <v>102</v>
      </c>
      <c r="Y8" t="s">
        <v>103</v>
      </c>
    </row>
    <row r="9" spans="1:25" ht="14.5" x14ac:dyDescent="0.35">
      <c r="P9" t="s">
        <v>103</v>
      </c>
      <c r="Y9" t="s">
        <v>104</v>
      </c>
    </row>
    <row r="10" spans="1:25" ht="14.5" x14ac:dyDescent="0.35">
      <c r="P10" t="s">
        <v>105</v>
      </c>
      <c r="Y10" t="s">
        <v>105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pane ySplit="3" topLeftCell="A9" activePane="bottomLeft" state="frozen"/>
      <selection pane="bottomLeft" activeCell="A15" sqref="A15"/>
    </sheetView>
  </sheetViews>
  <sheetFormatPr defaultRowHeight="14.5" x14ac:dyDescent="0.35"/>
  <cols>
    <col min="1" max="1" width="12" customWidth="1"/>
    <col min="2" max="2" width="55" customWidth="1"/>
    <col min="3" max="3" width="32" customWidth="1"/>
    <col min="4" max="4" width="80" customWidth="1"/>
  </cols>
  <sheetData>
    <row r="1" spans="1:4" ht="18.5" x14ac:dyDescent="0.45">
      <c r="A1" s="46" t="s">
        <v>0</v>
      </c>
      <c r="B1" s="47"/>
      <c r="C1" s="47"/>
      <c r="D1" s="47"/>
    </row>
    <row r="3" spans="1:4" x14ac:dyDescent="0.35">
      <c r="A3" s="45" t="s">
        <v>1</v>
      </c>
      <c r="B3" s="45" t="s">
        <v>2</v>
      </c>
      <c r="C3" s="45" t="s">
        <v>3</v>
      </c>
      <c r="D3" s="45" t="s">
        <v>4</v>
      </c>
    </row>
    <row r="4" spans="1:4" ht="43.5" x14ac:dyDescent="0.35">
      <c r="A4" s="4" t="s">
        <v>5</v>
      </c>
      <c r="B4" s="4" t="s">
        <v>6</v>
      </c>
      <c r="C4" s="4" t="s">
        <v>7</v>
      </c>
      <c r="D4" s="4" t="s">
        <v>8</v>
      </c>
    </row>
    <row r="5" spans="1:4" ht="43.5" x14ac:dyDescent="0.35">
      <c r="A5" s="4" t="s">
        <v>9</v>
      </c>
      <c r="B5" s="4" t="s">
        <v>10</v>
      </c>
      <c r="C5" s="4" t="s">
        <v>11</v>
      </c>
      <c r="D5" s="4" t="s">
        <v>12</v>
      </c>
    </row>
    <row r="6" spans="1:4" ht="43.5" x14ac:dyDescent="0.35">
      <c r="A6" s="4" t="s">
        <v>13</v>
      </c>
      <c r="B6" s="4" t="s">
        <v>14</v>
      </c>
      <c r="C6" s="4" t="s">
        <v>15</v>
      </c>
      <c r="D6" s="4" t="s">
        <v>16</v>
      </c>
    </row>
    <row r="7" spans="1:4" ht="43.5" x14ac:dyDescent="0.35">
      <c r="A7" s="4" t="s">
        <v>17</v>
      </c>
      <c r="B7" s="4" t="s">
        <v>18</v>
      </c>
      <c r="C7" s="4" t="s">
        <v>19</v>
      </c>
      <c r="D7" s="4" t="s">
        <v>20</v>
      </c>
    </row>
    <row r="8" spans="1:4" ht="43.5" x14ac:dyDescent="0.35">
      <c r="A8" s="4" t="s">
        <v>21</v>
      </c>
      <c r="B8" s="4" t="s">
        <v>22</v>
      </c>
      <c r="C8" s="4" t="s">
        <v>23</v>
      </c>
      <c r="D8" s="4" t="s">
        <v>24</v>
      </c>
    </row>
    <row r="9" spans="1:4" ht="43.5" x14ac:dyDescent="0.35">
      <c r="A9" s="4" t="s">
        <v>25</v>
      </c>
      <c r="B9" s="4" t="s">
        <v>26</v>
      </c>
      <c r="C9" s="4" t="s">
        <v>27</v>
      </c>
      <c r="D9" s="4" t="s">
        <v>28</v>
      </c>
    </row>
    <row r="10" spans="1:4" x14ac:dyDescent="0.35">
      <c r="A10" t="s">
        <v>29</v>
      </c>
      <c r="B10" t="s">
        <v>10</v>
      </c>
      <c r="C10" t="s">
        <v>11</v>
      </c>
      <c r="D10" t="s">
        <v>30</v>
      </c>
    </row>
    <row r="11" spans="1:4" x14ac:dyDescent="0.35">
      <c r="A11" t="s">
        <v>31</v>
      </c>
      <c r="B11" t="s">
        <v>14</v>
      </c>
      <c r="C11" t="s">
        <v>15</v>
      </c>
      <c r="D11" t="s">
        <v>32</v>
      </c>
    </row>
    <row r="12" spans="1:4" x14ac:dyDescent="0.35">
      <c r="A12" t="s">
        <v>33</v>
      </c>
      <c r="B12" t="s">
        <v>18</v>
      </c>
      <c r="C12" t="s">
        <v>19</v>
      </c>
      <c r="D12" t="s">
        <v>34</v>
      </c>
    </row>
    <row r="13" spans="1:4" x14ac:dyDescent="0.35">
      <c r="A13" t="s">
        <v>35</v>
      </c>
      <c r="B13" t="s">
        <v>36</v>
      </c>
      <c r="C13" t="s">
        <v>37</v>
      </c>
      <c r="D13" t="s">
        <v>38</v>
      </c>
    </row>
    <row r="14" spans="1:4" x14ac:dyDescent="0.35">
      <c r="A14" t="s">
        <v>39</v>
      </c>
      <c r="B14" t="s">
        <v>40</v>
      </c>
      <c r="C14" t="s">
        <v>41</v>
      </c>
      <c r="D14" t="s">
        <v>42</v>
      </c>
    </row>
    <row r="15" spans="1:4" x14ac:dyDescent="0.35">
      <c r="A15" t="s">
        <v>43</v>
      </c>
      <c r="B15" t="s">
        <v>44</v>
      </c>
      <c r="C15" t="s">
        <v>45</v>
      </c>
      <c r="D15" t="s">
        <v>46</v>
      </c>
    </row>
    <row r="16" spans="1:4" x14ac:dyDescent="0.35">
      <c r="A16" t="s">
        <v>47</v>
      </c>
      <c r="B16" t="s">
        <v>48</v>
      </c>
      <c r="C16" t="s">
        <v>49</v>
      </c>
      <c r="D16" t="s">
        <v>50</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4"/>
  <sheetViews>
    <sheetView workbookViewId="0">
      <pane ySplit="3" topLeftCell="A4" activePane="bottomLeft" state="frozen"/>
      <selection pane="bottomLeft"/>
    </sheetView>
  </sheetViews>
  <sheetFormatPr defaultRowHeight="14.5" x14ac:dyDescent="0.35"/>
  <cols>
    <col min="1" max="1" width="12" customWidth="1"/>
    <col min="2" max="2" width="14" customWidth="1"/>
    <col min="3" max="4" width="60" customWidth="1"/>
    <col min="5" max="5" width="48" customWidth="1"/>
  </cols>
  <sheetData>
    <row r="1" spans="1:5" ht="18.5" x14ac:dyDescent="0.45">
      <c r="A1" s="46" t="s">
        <v>106</v>
      </c>
      <c r="B1" s="47"/>
      <c r="C1" s="47"/>
      <c r="D1" s="47"/>
      <c r="E1" s="47"/>
    </row>
    <row r="3" spans="1:5" ht="29" x14ac:dyDescent="0.35">
      <c r="A3" s="45" t="s">
        <v>107</v>
      </c>
      <c r="B3" s="45" t="s">
        <v>108</v>
      </c>
      <c r="C3" s="45" t="s">
        <v>109</v>
      </c>
      <c r="D3" s="45" t="s">
        <v>110</v>
      </c>
      <c r="E3" s="45" t="s">
        <v>111</v>
      </c>
    </row>
    <row r="4" spans="1:5" ht="43.5" x14ac:dyDescent="0.35">
      <c r="A4" s="4" t="s">
        <v>112</v>
      </c>
      <c r="B4" s="4" t="s">
        <v>5</v>
      </c>
      <c r="C4" s="4" t="s">
        <v>113</v>
      </c>
      <c r="D4" s="4" t="s">
        <v>114</v>
      </c>
      <c r="E4" s="4" t="s">
        <v>115</v>
      </c>
    </row>
    <row r="5" spans="1:5" ht="43.5" x14ac:dyDescent="0.35">
      <c r="A5" s="4" t="s">
        <v>116</v>
      </c>
      <c r="B5" s="4" t="s">
        <v>5</v>
      </c>
      <c r="C5" s="4" t="s">
        <v>113</v>
      </c>
      <c r="D5" s="4" t="s">
        <v>114</v>
      </c>
      <c r="E5" s="4" t="s">
        <v>115</v>
      </c>
    </row>
    <row r="6" spans="1:5" ht="43.5" x14ac:dyDescent="0.35">
      <c r="A6" s="4" t="s">
        <v>117</v>
      </c>
      <c r="B6" s="4" t="s">
        <v>9</v>
      </c>
      <c r="C6" s="4" t="s">
        <v>113</v>
      </c>
      <c r="D6" s="4" t="s">
        <v>114</v>
      </c>
      <c r="E6" s="4" t="s">
        <v>115</v>
      </c>
    </row>
    <row r="7" spans="1:5" ht="43.5" x14ac:dyDescent="0.35">
      <c r="A7" s="4" t="s">
        <v>118</v>
      </c>
      <c r="B7" s="4" t="s">
        <v>5</v>
      </c>
      <c r="C7" s="4" t="s">
        <v>113</v>
      </c>
      <c r="D7" s="4" t="s">
        <v>114</v>
      </c>
      <c r="E7" s="4" t="s">
        <v>115</v>
      </c>
    </row>
    <row r="8" spans="1:5" ht="43.5" x14ac:dyDescent="0.35">
      <c r="A8" s="4" t="s">
        <v>119</v>
      </c>
      <c r="B8" s="4" t="s">
        <v>5</v>
      </c>
      <c r="C8" s="4" t="s">
        <v>113</v>
      </c>
      <c r="D8" s="4" t="s">
        <v>114</v>
      </c>
      <c r="E8" s="4" t="s">
        <v>115</v>
      </c>
    </row>
    <row r="9" spans="1:5" ht="43.5" x14ac:dyDescent="0.35">
      <c r="A9" s="4" t="s">
        <v>120</v>
      </c>
      <c r="B9" s="4" t="s">
        <v>9</v>
      </c>
      <c r="C9" s="4" t="s">
        <v>113</v>
      </c>
      <c r="D9" s="4" t="s">
        <v>114</v>
      </c>
      <c r="E9" s="4" t="s">
        <v>115</v>
      </c>
    </row>
    <row r="10" spans="1:5" ht="43.5" x14ac:dyDescent="0.35">
      <c r="A10" s="4" t="s">
        <v>121</v>
      </c>
      <c r="B10" s="4" t="s">
        <v>9</v>
      </c>
      <c r="C10" s="4" t="s">
        <v>113</v>
      </c>
      <c r="D10" s="4" t="s">
        <v>114</v>
      </c>
      <c r="E10" s="4" t="s">
        <v>115</v>
      </c>
    </row>
    <row r="11" spans="1:5" ht="43.5" x14ac:dyDescent="0.35">
      <c r="A11" s="4" t="s">
        <v>122</v>
      </c>
      <c r="B11" s="4" t="s">
        <v>5</v>
      </c>
      <c r="C11" s="4" t="s">
        <v>113</v>
      </c>
      <c r="D11" s="4" t="s">
        <v>114</v>
      </c>
      <c r="E11" s="4" t="s">
        <v>115</v>
      </c>
    </row>
    <row r="12" spans="1:5" ht="43.5" x14ac:dyDescent="0.35">
      <c r="A12" s="4" t="s">
        <v>123</v>
      </c>
      <c r="B12" s="4" t="s">
        <v>9</v>
      </c>
      <c r="C12" s="4" t="s">
        <v>113</v>
      </c>
      <c r="D12" s="4" t="s">
        <v>114</v>
      </c>
      <c r="E12" s="4" t="s">
        <v>115</v>
      </c>
    </row>
    <row r="13" spans="1:5" ht="43.5" x14ac:dyDescent="0.35">
      <c r="A13" s="4" t="s">
        <v>124</v>
      </c>
      <c r="B13" s="4" t="s">
        <v>5</v>
      </c>
      <c r="C13" s="4" t="s">
        <v>113</v>
      </c>
      <c r="D13" s="4" t="s">
        <v>114</v>
      </c>
      <c r="E13" s="4" t="s">
        <v>115</v>
      </c>
    </row>
    <row r="14" spans="1:5" ht="43.5" x14ac:dyDescent="0.35">
      <c r="A14" s="4" t="s">
        <v>125</v>
      </c>
      <c r="B14" s="4" t="s">
        <v>5</v>
      </c>
      <c r="C14" s="4" t="s">
        <v>113</v>
      </c>
      <c r="D14" s="4" t="s">
        <v>114</v>
      </c>
      <c r="E14" s="4" t="s">
        <v>115</v>
      </c>
    </row>
    <row r="15" spans="1:5" ht="43.5" x14ac:dyDescent="0.35">
      <c r="A15" s="4" t="s">
        <v>126</v>
      </c>
      <c r="B15" s="4" t="s">
        <v>5</v>
      </c>
      <c r="C15" s="4" t="s">
        <v>113</v>
      </c>
      <c r="D15" s="4" t="s">
        <v>114</v>
      </c>
      <c r="E15" s="4" t="s">
        <v>115</v>
      </c>
    </row>
    <row r="16" spans="1:5" ht="43.5" x14ac:dyDescent="0.35">
      <c r="A16" s="4" t="s">
        <v>127</v>
      </c>
      <c r="B16" s="4" t="s">
        <v>5</v>
      </c>
      <c r="C16" s="4" t="s">
        <v>128</v>
      </c>
      <c r="D16" s="4" t="s">
        <v>114</v>
      </c>
      <c r="E16" s="4" t="s">
        <v>115</v>
      </c>
    </row>
    <row r="17" spans="1:5" ht="43.5" x14ac:dyDescent="0.35">
      <c r="A17" s="4" t="s">
        <v>129</v>
      </c>
      <c r="B17" s="4" t="s">
        <v>5</v>
      </c>
      <c r="C17" s="4" t="s">
        <v>113</v>
      </c>
      <c r="D17" s="4" t="s">
        <v>114</v>
      </c>
      <c r="E17" s="4" t="s">
        <v>115</v>
      </c>
    </row>
    <row r="18" spans="1:5" ht="43.5" x14ac:dyDescent="0.35">
      <c r="A18" s="4" t="s">
        <v>130</v>
      </c>
      <c r="B18" s="4" t="s">
        <v>17</v>
      </c>
      <c r="C18" s="4" t="s">
        <v>128</v>
      </c>
      <c r="D18" s="4" t="s">
        <v>114</v>
      </c>
      <c r="E18" s="4" t="s">
        <v>115</v>
      </c>
    </row>
    <row r="19" spans="1:5" ht="43.5" x14ac:dyDescent="0.35">
      <c r="A19" s="4" t="s">
        <v>131</v>
      </c>
      <c r="B19" s="4" t="s">
        <v>13</v>
      </c>
      <c r="C19" s="4" t="s">
        <v>132</v>
      </c>
      <c r="D19" s="4" t="s">
        <v>114</v>
      </c>
      <c r="E19" s="4" t="s">
        <v>115</v>
      </c>
    </row>
    <row r="20" spans="1:5" ht="43.5" x14ac:dyDescent="0.35">
      <c r="A20" s="4" t="s">
        <v>133</v>
      </c>
      <c r="B20" s="4" t="s">
        <v>13</v>
      </c>
      <c r="C20" s="4" t="s">
        <v>132</v>
      </c>
      <c r="D20" s="4" t="s">
        <v>114</v>
      </c>
      <c r="E20" s="4" t="s">
        <v>115</v>
      </c>
    </row>
    <row r="21" spans="1:5" ht="43.5" x14ac:dyDescent="0.35">
      <c r="A21" s="4" t="s">
        <v>134</v>
      </c>
      <c r="B21" s="4" t="s">
        <v>9</v>
      </c>
      <c r="C21" s="4" t="s">
        <v>113</v>
      </c>
      <c r="D21" s="4" t="s">
        <v>114</v>
      </c>
      <c r="E21" s="4" t="s">
        <v>115</v>
      </c>
    </row>
    <row r="22" spans="1:5" ht="43.5" x14ac:dyDescent="0.35">
      <c r="A22" s="4" t="s">
        <v>135</v>
      </c>
      <c r="B22" s="4" t="s">
        <v>17</v>
      </c>
      <c r="C22" s="4" t="s">
        <v>113</v>
      </c>
      <c r="D22" s="4" t="s">
        <v>114</v>
      </c>
      <c r="E22" s="4" t="s">
        <v>115</v>
      </c>
    </row>
    <row r="23" spans="1:5" ht="43.5" x14ac:dyDescent="0.35">
      <c r="A23" s="4" t="s">
        <v>136</v>
      </c>
      <c r="B23" s="4" t="s">
        <v>13</v>
      </c>
      <c r="C23" s="4" t="s">
        <v>128</v>
      </c>
      <c r="D23" s="4" t="s">
        <v>114</v>
      </c>
      <c r="E23" s="4" t="s">
        <v>115</v>
      </c>
    </row>
    <row r="24" spans="1:5" ht="43.5" x14ac:dyDescent="0.35">
      <c r="A24" s="4" t="s">
        <v>137</v>
      </c>
      <c r="B24" s="4" t="s">
        <v>5</v>
      </c>
      <c r="C24" s="4" t="s">
        <v>138</v>
      </c>
      <c r="D24" s="4" t="s">
        <v>114</v>
      </c>
      <c r="E24" s="4" t="s">
        <v>115</v>
      </c>
    </row>
    <row r="25" spans="1:5" ht="43.5" x14ac:dyDescent="0.35">
      <c r="A25" s="4" t="s">
        <v>139</v>
      </c>
      <c r="B25" s="4" t="s">
        <v>17</v>
      </c>
      <c r="C25" s="4" t="s">
        <v>138</v>
      </c>
      <c r="D25" s="4" t="s">
        <v>114</v>
      </c>
      <c r="E25" s="4" t="s">
        <v>115</v>
      </c>
    </row>
    <row r="26" spans="1:5" ht="43.5" x14ac:dyDescent="0.35">
      <c r="A26" s="4" t="s">
        <v>140</v>
      </c>
      <c r="B26" s="4" t="s">
        <v>5</v>
      </c>
      <c r="C26" s="4" t="s">
        <v>138</v>
      </c>
      <c r="D26" s="4" t="s">
        <v>114</v>
      </c>
      <c r="E26" s="4" t="s">
        <v>115</v>
      </c>
    </row>
    <row r="27" spans="1:5" ht="43.5" x14ac:dyDescent="0.35">
      <c r="A27" s="4" t="s">
        <v>141</v>
      </c>
      <c r="B27" s="4" t="s">
        <v>9</v>
      </c>
      <c r="C27" s="4" t="s">
        <v>113</v>
      </c>
      <c r="D27" s="4" t="s">
        <v>114</v>
      </c>
      <c r="E27" s="4" t="s">
        <v>115</v>
      </c>
    </row>
    <row r="28" spans="1:5" ht="43.5" x14ac:dyDescent="0.35">
      <c r="A28" s="4" t="s">
        <v>142</v>
      </c>
      <c r="B28" s="4" t="s">
        <v>5</v>
      </c>
      <c r="C28" s="4" t="s">
        <v>113</v>
      </c>
      <c r="D28" s="4" t="s">
        <v>114</v>
      </c>
      <c r="E28" s="4" t="s">
        <v>115</v>
      </c>
    </row>
    <row r="29" spans="1:5" ht="43.5" x14ac:dyDescent="0.35">
      <c r="A29" s="4" t="s">
        <v>143</v>
      </c>
      <c r="B29" s="4" t="s">
        <v>21</v>
      </c>
      <c r="C29" s="4" t="s">
        <v>144</v>
      </c>
      <c r="D29" s="4" t="s">
        <v>145</v>
      </c>
      <c r="E29" s="4" t="s">
        <v>146</v>
      </c>
    </row>
    <row r="30" spans="1:5" ht="43.5" x14ac:dyDescent="0.35">
      <c r="A30" s="4" t="s">
        <v>147</v>
      </c>
      <c r="B30" s="4" t="s">
        <v>21</v>
      </c>
      <c r="C30" s="4" t="s">
        <v>144</v>
      </c>
      <c r="D30" s="4" t="s">
        <v>145</v>
      </c>
      <c r="E30" s="4" t="s">
        <v>146</v>
      </c>
    </row>
    <row r="31" spans="1:5" ht="43.5" x14ac:dyDescent="0.35">
      <c r="A31" s="4" t="s">
        <v>148</v>
      </c>
      <c r="B31" s="4" t="s">
        <v>21</v>
      </c>
      <c r="C31" s="4" t="s">
        <v>144</v>
      </c>
      <c r="D31" s="4" t="s">
        <v>145</v>
      </c>
      <c r="E31" s="4" t="s">
        <v>146</v>
      </c>
    </row>
    <row r="32" spans="1:5" ht="43.5" x14ac:dyDescent="0.35">
      <c r="A32" s="4" t="s">
        <v>149</v>
      </c>
      <c r="B32" s="4" t="s">
        <v>21</v>
      </c>
      <c r="C32" s="4" t="s">
        <v>144</v>
      </c>
      <c r="D32" s="4" t="s">
        <v>145</v>
      </c>
      <c r="E32" s="4" t="s">
        <v>146</v>
      </c>
    </row>
    <row r="33" spans="1:5" ht="43.5" x14ac:dyDescent="0.35">
      <c r="A33" s="4" t="s">
        <v>150</v>
      </c>
      <c r="B33" s="4" t="s">
        <v>21</v>
      </c>
      <c r="C33" s="4" t="s">
        <v>144</v>
      </c>
      <c r="D33" s="4" t="s">
        <v>145</v>
      </c>
      <c r="E33" s="4" t="s">
        <v>146</v>
      </c>
    </row>
    <row r="34" spans="1:5" ht="43.5" x14ac:dyDescent="0.35">
      <c r="A34" s="4" t="s">
        <v>151</v>
      </c>
      <c r="B34" s="4" t="s">
        <v>21</v>
      </c>
      <c r="C34" s="4" t="s">
        <v>144</v>
      </c>
      <c r="D34" s="4" t="s">
        <v>145</v>
      </c>
      <c r="E34" s="4" t="s">
        <v>146</v>
      </c>
    </row>
    <row r="35" spans="1:5" ht="43.5" x14ac:dyDescent="0.35">
      <c r="A35" s="4" t="s">
        <v>152</v>
      </c>
      <c r="B35" s="4" t="s">
        <v>21</v>
      </c>
      <c r="C35" s="4" t="s">
        <v>144</v>
      </c>
      <c r="D35" s="4" t="s">
        <v>145</v>
      </c>
      <c r="E35" s="4" t="s">
        <v>146</v>
      </c>
    </row>
    <row r="36" spans="1:5" ht="43.5" x14ac:dyDescent="0.35">
      <c r="A36" s="4" t="s">
        <v>153</v>
      </c>
      <c r="B36" s="4" t="s">
        <v>21</v>
      </c>
      <c r="C36" s="4" t="s">
        <v>144</v>
      </c>
      <c r="D36" s="4" t="s">
        <v>145</v>
      </c>
      <c r="E36" s="4" t="s">
        <v>146</v>
      </c>
    </row>
    <row r="37" spans="1:5" x14ac:dyDescent="0.35">
      <c r="A37" t="s">
        <v>154</v>
      </c>
      <c r="B37" t="s">
        <v>25</v>
      </c>
      <c r="C37" t="s">
        <v>155</v>
      </c>
      <c r="D37" t="s">
        <v>156</v>
      </c>
      <c r="E37" t="s">
        <v>157</v>
      </c>
    </row>
    <row r="38" spans="1:5" x14ac:dyDescent="0.35">
      <c r="A38" t="s">
        <v>158</v>
      </c>
      <c r="B38" t="s">
        <v>25</v>
      </c>
      <c r="C38" t="s">
        <v>155</v>
      </c>
      <c r="D38" t="s">
        <v>156</v>
      </c>
      <c r="E38" t="s">
        <v>157</v>
      </c>
    </row>
    <row r="39" spans="1:5" x14ac:dyDescent="0.35">
      <c r="A39" t="s">
        <v>159</v>
      </c>
      <c r="B39" t="s">
        <v>29</v>
      </c>
      <c r="C39" t="s">
        <v>155</v>
      </c>
      <c r="D39" t="s">
        <v>156</v>
      </c>
      <c r="E39" t="s">
        <v>157</v>
      </c>
    </row>
    <row r="40" spans="1:5" x14ac:dyDescent="0.35">
      <c r="A40" t="s">
        <v>160</v>
      </c>
      <c r="B40" t="s">
        <v>33</v>
      </c>
      <c r="C40" t="s">
        <v>155</v>
      </c>
      <c r="D40" t="s">
        <v>156</v>
      </c>
      <c r="E40" t="s">
        <v>157</v>
      </c>
    </row>
    <row r="41" spans="1:5" x14ac:dyDescent="0.35">
      <c r="A41" t="s">
        <v>161</v>
      </c>
      <c r="B41" t="s">
        <v>35</v>
      </c>
      <c r="C41" t="s">
        <v>155</v>
      </c>
      <c r="D41" t="s">
        <v>156</v>
      </c>
      <c r="E41" t="s">
        <v>157</v>
      </c>
    </row>
    <row r="42" spans="1:5" x14ac:dyDescent="0.35">
      <c r="A42" t="s">
        <v>162</v>
      </c>
      <c r="B42" t="s">
        <v>31</v>
      </c>
      <c r="C42" t="s">
        <v>155</v>
      </c>
      <c r="D42" t="s">
        <v>156</v>
      </c>
      <c r="E42" t="s">
        <v>157</v>
      </c>
    </row>
    <row r="43" spans="1:5" x14ac:dyDescent="0.35">
      <c r="A43" t="s">
        <v>163</v>
      </c>
      <c r="B43" t="s">
        <v>39</v>
      </c>
      <c r="C43" t="s">
        <v>155</v>
      </c>
      <c r="D43" t="s">
        <v>156</v>
      </c>
      <c r="E43" t="s">
        <v>157</v>
      </c>
    </row>
    <row r="44" spans="1:5" x14ac:dyDescent="0.35">
      <c r="A44" t="s">
        <v>164</v>
      </c>
      <c r="B44" t="s">
        <v>47</v>
      </c>
      <c r="C44" t="s">
        <v>155</v>
      </c>
      <c r="D44" t="s">
        <v>156</v>
      </c>
      <c r="E44" t="s">
        <v>157</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pane ySplit="1" topLeftCell="A2" activePane="bottomLeft" state="frozen"/>
      <selection pane="bottomLeft"/>
    </sheetView>
  </sheetViews>
  <sheetFormatPr defaultRowHeight="14.5" x14ac:dyDescent="0.35"/>
  <cols>
    <col min="1" max="1" width="32" customWidth="1"/>
    <col min="2" max="3" width="16" customWidth="1"/>
    <col min="4" max="4" width="18" customWidth="1"/>
    <col min="5" max="5" width="16" customWidth="1"/>
    <col min="6" max="6" width="18" customWidth="1"/>
    <col min="7" max="7" width="54" customWidth="1"/>
  </cols>
  <sheetData>
    <row r="1" spans="1:7" ht="58" x14ac:dyDescent="0.35">
      <c r="A1" s="25" t="s">
        <v>165</v>
      </c>
      <c r="B1" s="25" t="s">
        <v>166</v>
      </c>
      <c r="C1" s="25" t="s">
        <v>167</v>
      </c>
      <c r="D1" s="25" t="s">
        <v>168</v>
      </c>
      <c r="E1" s="25" t="s">
        <v>169</v>
      </c>
      <c r="F1" s="25" t="s">
        <v>170</v>
      </c>
      <c r="G1" s="25" t="s">
        <v>171</v>
      </c>
    </row>
    <row r="2" spans="1:7" ht="29" x14ac:dyDescent="0.35">
      <c r="A2" s="26" t="s">
        <v>172</v>
      </c>
      <c r="B2" s="26">
        <v>25</v>
      </c>
      <c r="C2" s="26">
        <v>25</v>
      </c>
      <c r="D2" s="26">
        <v>20</v>
      </c>
      <c r="E2" s="26">
        <v>20</v>
      </c>
      <c r="F2" s="26">
        <v>10</v>
      </c>
      <c r="G2" s="26" t="s">
        <v>173</v>
      </c>
    </row>
    <row r="3" spans="1:7" ht="29" x14ac:dyDescent="0.35">
      <c r="A3" s="26" t="s">
        <v>174</v>
      </c>
      <c r="B3" s="26">
        <v>20</v>
      </c>
      <c r="C3" s="26">
        <v>15</v>
      </c>
      <c r="D3" s="26">
        <v>20</v>
      </c>
      <c r="E3" s="26">
        <v>25</v>
      </c>
      <c r="F3" s="26">
        <v>20</v>
      </c>
      <c r="G3" s="26" t="s">
        <v>175</v>
      </c>
    </row>
    <row r="4" spans="1:7" ht="29" x14ac:dyDescent="0.35">
      <c r="A4" s="26" t="s">
        <v>176</v>
      </c>
      <c r="B4" s="26">
        <v>15</v>
      </c>
      <c r="C4" s="26">
        <v>10</v>
      </c>
      <c r="D4" s="26">
        <v>15</v>
      </c>
      <c r="E4" s="26">
        <v>35</v>
      </c>
      <c r="F4" s="26">
        <v>25</v>
      </c>
      <c r="G4" s="26" t="s">
        <v>177</v>
      </c>
    </row>
    <row r="5" spans="1:7" ht="29" x14ac:dyDescent="0.35">
      <c r="A5" s="26" t="s">
        <v>178</v>
      </c>
      <c r="B5" s="26">
        <v>15</v>
      </c>
      <c r="C5" s="26">
        <v>15</v>
      </c>
      <c r="D5" s="26">
        <v>20</v>
      </c>
      <c r="E5" s="26">
        <v>20</v>
      </c>
      <c r="F5" s="26">
        <v>30</v>
      </c>
      <c r="G5" s="26" t="s">
        <v>179</v>
      </c>
    </row>
    <row r="6" spans="1:7" ht="29" x14ac:dyDescent="0.35">
      <c r="A6" s="26" t="s">
        <v>180</v>
      </c>
      <c r="B6" s="26">
        <v>15</v>
      </c>
      <c r="C6" s="26">
        <v>10</v>
      </c>
      <c r="D6" s="26">
        <v>20</v>
      </c>
      <c r="E6" s="26">
        <v>20</v>
      </c>
      <c r="F6" s="26">
        <v>35</v>
      </c>
      <c r="G6" s="26" t="s">
        <v>181</v>
      </c>
    </row>
    <row r="7" spans="1:7" ht="29" x14ac:dyDescent="0.35">
      <c r="A7" s="26" t="s">
        <v>182</v>
      </c>
      <c r="B7" s="26">
        <v>20</v>
      </c>
      <c r="C7" s="26">
        <v>15</v>
      </c>
      <c r="D7" s="26">
        <v>20</v>
      </c>
      <c r="E7" s="26">
        <v>25</v>
      </c>
      <c r="F7" s="26">
        <v>20</v>
      </c>
      <c r="G7" s="26" t="s">
        <v>183</v>
      </c>
    </row>
    <row r="8" spans="1:7" ht="29" x14ac:dyDescent="0.35">
      <c r="A8" s="26" t="s">
        <v>184</v>
      </c>
      <c r="B8" s="26">
        <v>10</v>
      </c>
      <c r="C8" s="26">
        <v>10</v>
      </c>
      <c r="D8" s="26">
        <v>15</v>
      </c>
      <c r="E8" s="26">
        <v>35</v>
      </c>
      <c r="F8" s="26">
        <v>30</v>
      </c>
      <c r="G8" s="26" t="s">
        <v>185</v>
      </c>
    </row>
    <row r="9" spans="1:7" ht="29" x14ac:dyDescent="0.35">
      <c r="A9" s="26" t="s">
        <v>186</v>
      </c>
      <c r="B9" s="26">
        <v>15</v>
      </c>
      <c r="C9" s="26">
        <v>15</v>
      </c>
      <c r="D9" s="26">
        <v>25</v>
      </c>
      <c r="E9" s="26">
        <v>20</v>
      </c>
      <c r="F9" s="26">
        <v>25</v>
      </c>
      <c r="G9" s="26" t="s">
        <v>187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6"/>
  <sheetViews>
    <sheetView workbookViewId="0">
      <pane ySplit="4" topLeftCell="A5" activePane="bottomLeft" state="frozen"/>
      <selection pane="bottomLeft"/>
    </sheetView>
  </sheetViews>
  <sheetFormatPr defaultRowHeight="14.5" x14ac:dyDescent="0.35"/>
  <cols>
    <col min="1" max="1" width="20" customWidth="1"/>
    <col min="2" max="2" width="30" customWidth="1"/>
    <col min="3" max="3" width="46" customWidth="1"/>
    <col min="4" max="4" width="38" customWidth="1"/>
    <col min="5" max="5" width="42" customWidth="1"/>
  </cols>
  <sheetData>
    <row r="1" spans="1:5" ht="18.5" x14ac:dyDescent="0.45">
      <c r="A1" s="35" t="s">
        <v>188</v>
      </c>
    </row>
    <row r="2" spans="1:5" ht="203" x14ac:dyDescent="0.35">
      <c r="A2" s="4" t="s">
        <v>189</v>
      </c>
    </row>
    <row r="4" spans="1:5" x14ac:dyDescent="0.35">
      <c r="A4" s="36" t="s">
        <v>190</v>
      </c>
      <c r="B4" s="36" t="s">
        <v>191</v>
      </c>
      <c r="C4" s="36" t="s">
        <v>192</v>
      </c>
      <c r="D4" s="36" t="s">
        <v>193</v>
      </c>
      <c r="E4" s="36" t="s">
        <v>194</v>
      </c>
    </row>
    <row r="5" spans="1:5" ht="43.5" x14ac:dyDescent="0.35">
      <c r="A5" s="26" t="s">
        <v>195</v>
      </c>
      <c r="B5" s="26" t="s">
        <v>71</v>
      </c>
      <c r="C5" s="26" t="s">
        <v>196</v>
      </c>
      <c r="D5" s="26" t="s">
        <v>197</v>
      </c>
      <c r="E5" s="26" t="s">
        <v>198</v>
      </c>
    </row>
    <row r="6" spans="1:5" ht="43.5" x14ac:dyDescent="0.35">
      <c r="A6" s="26" t="s">
        <v>195</v>
      </c>
      <c r="B6" s="26" t="s">
        <v>80</v>
      </c>
      <c r="C6" s="26" t="s">
        <v>199</v>
      </c>
      <c r="D6" s="26" t="s">
        <v>200</v>
      </c>
      <c r="E6" s="26" t="s">
        <v>201</v>
      </c>
    </row>
    <row r="7" spans="1:5" ht="43.5" x14ac:dyDescent="0.35">
      <c r="A7" s="26" t="s">
        <v>195</v>
      </c>
      <c r="B7" s="26" t="s">
        <v>89</v>
      </c>
      <c r="C7" s="26" t="s">
        <v>202</v>
      </c>
      <c r="D7" s="26" t="s">
        <v>203</v>
      </c>
      <c r="E7" s="26" t="s">
        <v>204</v>
      </c>
    </row>
    <row r="8" spans="1:5" ht="43.5" x14ac:dyDescent="0.35">
      <c r="A8" s="26" t="s">
        <v>195</v>
      </c>
      <c r="B8" s="26" t="s">
        <v>97</v>
      </c>
      <c r="C8" s="26" t="s">
        <v>205</v>
      </c>
      <c r="D8" s="26" t="s">
        <v>206</v>
      </c>
      <c r="E8" s="26" t="s">
        <v>207</v>
      </c>
    </row>
    <row r="9" spans="1:5" ht="29" x14ac:dyDescent="0.35">
      <c r="A9" s="26" t="s">
        <v>208</v>
      </c>
      <c r="B9" s="26" t="s">
        <v>209</v>
      </c>
      <c r="C9" s="26" t="s">
        <v>210</v>
      </c>
      <c r="D9" s="26" t="s">
        <v>211</v>
      </c>
      <c r="E9" s="26" t="s">
        <v>212</v>
      </c>
    </row>
    <row r="10" spans="1:5" ht="29" x14ac:dyDescent="0.35">
      <c r="A10" s="26" t="s">
        <v>208</v>
      </c>
      <c r="B10" s="26" t="s">
        <v>86</v>
      </c>
      <c r="C10" s="26" t="s">
        <v>213</v>
      </c>
      <c r="D10" s="26" t="s">
        <v>214</v>
      </c>
      <c r="E10" s="26" t="s">
        <v>215</v>
      </c>
    </row>
    <row r="11" spans="1:5" ht="29" x14ac:dyDescent="0.35">
      <c r="A11" s="26" t="s">
        <v>208</v>
      </c>
      <c r="B11" s="26" t="s">
        <v>94</v>
      </c>
      <c r="C11" s="26" t="s">
        <v>216</v>
      </c>
      <c r="D11" s="26" t="s">
        <v>217</v>
      </c>
      <c r="E11" s="26" t="s">
        <v>218</v>
      </c>
    </row>
    <row r="12" spans="1:5" ht="43.5" x14ac:dyDescent="0.35">
      <c r="A12" s="26" t="s">
        <v>165</v>
      </c>
      <c r="B12" s="26" t="s">
        <v>172</v>
      </c>
      <c r="C12" s="26" t="s">
        <v>219</v>
      </c>
      <c r="D12" s="26" t="s">
        <v>220</v>
      </c>
      <c r="E12" s="26" t="s">
        <v>221</v>
      </c>
    </row>
    <row r="13" spans="1:5" ht="29" x14ac:dyDescent="0.35">
      <c r="A13" s="26" t="s">
        <v>165</v>
      </c>
      <c r="B13" s="26" t="s">
        <v>174</v>
      </c>
      <c r="C13" s="26" t="s">
        <v>222</v>
      </c>
      <c r="D13" s="26" t="s">
        <v>223</v>
      </c>
      <c r="E13" s="26" t="s">
        <v>224</v>
      </c>
    </row>
    <row r="14" spans="1:5" ht="43.5" x14ac:dyDescent="0.35">
      <c r="A14" s="26" t="s">
        <v>165</v>
      </c>
      <c r="B14" s="26" t="s">
        <v>176</v>
      </c>
      <c r="C14" s="26" t="s">
        <v>225</v>
      </c>
      <c r="D14" s="26" t="s">
        <v>226</v>
      </c>
      <c r="E14" s="26" t="s">
        <v>227</v>
      </c>
    </row>
    <row r="15" spans="1:5" ht="43.5" x14ac:dyDescent="0.35">
      <c r="A15" s="26" t="s">
        <v>165</v>
      </c>
      <c r="B15" s="26" t="s">
        <v>178</v>
      </c>
      <c r="C15" s="26" t="s">
        <v>228</v>
      </c>
      <c r="D15" s="26" t="s">
        <v>229</v>
      </c>
      <c r="E15" s="26" t="s">
        <v>230</v>
      </c>
    </row>
    <row r="16" spans="1:5" ht="29" x14ac:dyDescent="0.35">
      <c r="A16" s="26" t="s">
        <v>231</v>
      </c>
      <c r="B16" s="26" t="s">
        <v>69</v>
      </c>
      <c r="C16" s="26" t="s">
        <v>232</v>
      </c>
      <c r="D16" s="26" t="s">
        <v>233</v>
      </c>
      <c r="E16" s="26" t="s">
        <v>234</v>
      </c>
    </row>
    <row r="17" spans="1:5" ht="43.5" x14ac:dyDescent="0.35">
      <c r="A17" s="26" t="s">
        <v>231</v>
      </c>
      <c r="B17" s="26" t="s">
        <v>78</v>
      </c>
      <c r="C17" s="26" t="s">
        <v>235</v>
      </c>
      <c r="D17" s="26" t="s">
        <v>236</v>
      </c>
      <c r="E17" s="26" t="s">
        <v>237</v>
      </c>
    </row>
    <row r="18" spans="1:5" ht="29" x14ac:dyDescent="0.35">
      <c r="A18" s="26" t="s">
        <v>231</v>
      </c>
      <c r="B18" s="26" t="s">
        <v>87</v>
      </c>
      <c r="C18" s="26" t="s">
        <v>238</v>
      </c>
      <c r="D18" s="26" t="s">
        <v>239</v>
      </c>
      <c r="E18" s="26" t="s">
        <v>240</v>
      </c>
    </row>
    <row r="19" spans="1:5" ht="29" x14ac:dyDescent="0.35">
      <c r="A19" s="26" t="s">
        <v>231</v>
      </c>
      <c r="B19" s="26" t="s">
        <v>95</v>
      </c>
      <c r="C19" s="26" t="s">
        <v>241</v>
      </c>
      <c r="D19" s="26" t="s">
        <v>242</v>
      </c>
      <c r="E19" s="26" t="s">
        <v>243</v>
      </c>
    </row>
    <row r="20" spans="1:5" ht="29" x14ac:dyDescent="0.35">
      <c r="A20" s="26" t="s">
        <v>231</v>
      </c>
      <c r="B20" s="26" t="s">
        <v>99</v>
      </c>
      <c r="C20" s="26" t="s">
        <v>244</v>
      </c>
      <c r="D20" s="26" t="s">
        <v>245</v>
      </c>
      <c r="E20" s="26" t="s">
        <v>246</v>
      </c>
    </row>
    <row r="21" spans="1:5" ht="43.5" x14ac:dyDescent="0.35">
      <c r="A21" s="26" t="s">
        <v>247</v>
      </c>
      <c r="B21" s="26" t="s">
        <v>248</v>
      </c>
      <c r="C21" s="26" t="s">
        <v>249</v>
      </c>
      <c r="D21" s="26" t="s">
        <v>229</v>
      </c>
      <c r="E21" s="26" t="s">
        <v>250</v>
      </c>
    </row>
    <row r="22" spans="1:5" ht="43.5" x14ac:dyDescent="0.35">
      <c r="A22" s="26" t="s">
        <v>247</v>
      </c>
      <c r="B22" s="26" t="s">
        <v>251</v>
      </c>
      <c r="C22" s="26" t="s">
        <v>252</v>
      </c>
      <c r="D22" s="26" t="s">
        <v>253</v>
      </c>
      <c r="E22" s="26" t="s">
        <v>254</v>
      </c>
    </row>
    <row r="23" spans="1:5" ht="29" x14ac:dyDescent="0.35">
      <c r="A23" s="26" t="s">
        <v>255</v>
      </c>
      <c r="B23" s="26" t="s">
        <v>70</v>
      </c>
      <c r="C23" s="26" t="s">
        <v>256</v>
      </c>
      <c r="D23" s="26" t="s">
        <v>257</v>
      </c>
      <c r="E23" s="26" t="s">
        <v>258</v>
      </c>
    </row>
    <row r="24" spans="1:5" ht="29" x14ac:dyDescent="0.35">
      <c r="A24" s="26" t="s">
        <v>255</v>
      </c>
      <c r="B24" s="26" t="s">
        <v>79</v>
      </c>
      <c r="C24" s="26" t="s">
        <v>259</v>
      </c>
      <c r="D24" s="26" t="s">
        <v>260</v>
      </c>
      <c r="E24" s="26" t="s">
        <v>261</v>
      </c>
    </row>
    <row r="25" spans="1:5" ht="43.5" x14ac:dyDescent="0.35">
      <c r="A25" s="26" t="s">
        <v>255</v>
      </c>
      <c r="B25" s="26" t="s">
        <v>88</v>
      </c>
      <c r="C25" s="26" t="s">
        <v>262</v>
      </c>
      <c r="D25" s="26" t="s">
        <v>263</v>
      </c>
      <c r="E25" s="26" t="s">
        <v>264</v>
      </c>
    </row>
    <row r="26" spans="1:5" ht="29" x14ac:dyDescent="0.35">
      <c r="A26" s="26" t="s">
        <v>255</v>
      </c>
      <c r="B26" s="26" t="s">
        <v>96</v>
      </c>
      <c r="C26" s="26" t="s">
        <v>265</v>
      </c>
      <c r="D26" s="26" t="s">
        <v>266</v>
      </c>
      <c r="E26" s="26" t="s">
        <v>267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
  <sheetViews>
    <sheetView workbookViewId="0"/>
  </sheetViews>
  <sheetFormatPr defaultRowHeight="14.5" x14ac:dyDescent="0.35"/>
  <cols>
    <col min="1" max="1" width="32" customWidth="1"/>
    <col min="2" max="3" width="18" customWidth="1"/>
    <col min="4" max="4" width="22" customWidth="1"/>
    <col min="5" max="6" width="24" customWidth="1"/>
    <col min="7" max="7" width="44" customWidth="1"/>
  </cols>
  <sheetData>
    <row r="1" spans="1:7" ht="18.5" x14ac:dyDescent="0.45">
      <c r="A1" s="35" t="s">
        <v>268</v>
      </c>
    </row>
    <row r="2" spans="1:7" ht="87" x14ac:dyDescent="0.35">
      <c r="A2" s="4" t="s">
        <v>269</v>
      </c>
    </row>
    <row r="4" spans="1:7" ht="29" x14ac:dyDescent="0.35">
      <c r="A4" s="37" t="s">
        <v>165</v>
      </c>
      <c r="B4" s="37" t="s">
        <v>166</v>
      </c>
      <c r="C4" s="37" t="s">
        <v>167</v>
      </c>
      <c r="D4" s="37" t="s">
        <v>168</v>
      </c>
      <c r="E4" s="37" t="s">
        <v>169</v>
      </c>
      <c r="F4" s="37" t="s">
        <v>170</v>
      </c>
      <c r="G4" s="37" t="s">
        <v>270</v>
      </c>
    </row>
    <row r="5" spans="1:7" ht="29" x14ac:dyDescent="0.35">
      <c r="A5" s="26" t="s">
        <v>172</v>
      </c>
      <c r="B5" s="26" t="s">
        <v>271</v>
      </c>
      <c r="C5" s="26" t="s">
        <v>271</v>
      </c>
      <c r="D5" s="26" t="s">
        <v>271</v>
      </c>
      <c r="E5" s="26" t="s">
        <v>272</v>
      </c>
      <c r="F5" s="26" t="s">
        <v>273</v>
      </c>
      <c r="G5" s="26" t="s">
        <v>274</v>
      </c>
    </row>
    <row r="6" spans="1:7" ht="29" x14ac:dyDescent="0.35">
      <c r="A6" s="26" t="s">
        <v>174</v>
      </c>
      <c r="B6" s="26" t="s">
        <v>272</v>
      </c>
      <c r="C6" s="26" t="s">
        <v>273</v>
      </c>
      <c r="D6" s="26" t="s">
        <v>271</v>
      </c>
      <c r="E6" s="26" t="s">
        <v>271</v>
      </c>
      <c r="F6" s="26" t="s">
        <v>271</v>
      </c>
      <c r="G6" s="26" t="s">
        <v>275</v>
      </c>
    </row>
    <row r="7" spans="1:7" ht="29" x14ac:dyDescent="0.35">
      <c r="A7" s="26" t="s">
        <v>176</v>
      </c>
      <c r="B7" s="26" t="s">
        <v>273</v>
      </c>
      <c r="C7" s="26" t="s">
        <v>276</v>
      </c>
      <c r="D7" s="26" t="s">
        <v>273</v>
      </c>
      <c r="E7" s="26" t="s">
        <v>277</v>
      </c>
      <c r="F7" s="26" t="s">
        <v>271</v>
      </c>
      <c r="G7" s="26" t="s">
        <v>278</v>
      </c>
    </row>
    <row r="8" spans="1:7" ht="29" x14ac:dyDescent="0.35">
      <c r="A8" s="26" t="s">
        <v>178</v>
      </c>
      <c r="B8" s="26" t="s">
        <v>273</v>
      </c>
      <c r="C8" s="26" t="s">
        <v>273</v>
      </c>
      <c r="D8" s="26" t="s">
        <v>271</v>
      </c>
      <c r="E8" s="26" t="s">
        <v>271</v>
      </c>
      <c r="F8" s="26" t="s">
        <v>277</v>
      </c>
      <c r="G8" s="26" t="s">
        <v>279</v>
      </c>
    </row>
    <row r="9" spans="1:7" ht="29" x14ac:dyDescent="0.35">
      <c r="A9" s="26" t="s">
        <v>280</v>
      </c>
      <c r="B9" s="26" t="s">
        <v>273</v>
      </c>
      <c r="C9" s="26" t="s">
        <v>276</v>
      </c>
      <c r="D9" s="26" t="s">
        <v>271</v>
      </c>
      <c r="E9" s="26" t="s">
        <v>271</v>
      </c>
      <c r="F9" s="26" t="s">
        <v>277</v>
      </c>
      <c r="G9" s="26" t="s">
        <v>281</v>
      </c>
    </row>
    <row r="10" spans="1:7" ht="29" x14ac:dyDescent="0.35">
      <c r="A10" s="26" t="s">
        <v>182</v>
      </c>
      <c r="B10" s="26" t="s">
        <v>271</v>
      </c>
      <c r="C10" s="26" t="s">
        <v>273</v>
      </c>
      <c r="D10" s="26" t="s">
        <v>271</v>
      </c>
      <c r="E10" s="26" t="s">
        <v>271</v>
      </c>
      <c r="F10" s="26" t="s">
        <v>271</v>
      </c>
      <c r="G10" s="26" t="s">
        <v>282</v>
      </c>
    </row>
    <row r="11" spans="1:7" ht="29" x14ac:dyDescent="0.35">
      <c r="A11" s="26" t="s">
        <v>184</v>
      </c>
      <c r="B11" s="26" t="s">
        <v>283</v>
      </c>
      <c r="C11" s="26" t="s">
        <v>273</v>
      </c>
      <c r="D11" s="26" t="s">
        <v>273</v>
      </c>
      <c r="E11" s="26" t="s">
        <v>277</v>
      </c>
      <c r="F11" s="26" t="s">
        <v>271</v>
      </c>
      <c r="G11" s="26" t="s">
        <v>284</v>
      </c>
    </row>
    <row r="12" spans="1:7" ht="29" x14ac:dyDescent="0.35">
      <c r="A12" s="26" t="s">
        <v>186</v>
      </c>
      <c r="B12" s="26" t="s">
        <v>273</v>
      </c>
      <c r="C12" s="26" t="s">
        <v>271</v>
      </c>
      <c r="D12" s="26" t="s">
        <v>277</v>
      </c>
      <c r="E12" s="26" t="s">
        <v>271</v>
      </c>
      <c r="F12" s="26" t="s">
        <v>271</v>
      </c>
      <c r="G12" s="26" t="s">
        <v>285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9"/>
  <sheetViews>
    <sheetView showGridLines="0" zoomScaleNormal="100" workbookViewId="0">
      <selection activeCell="A15" sqref="A15"/>
    </sheetView>
  </sheetViews>
  <sheetFormatPr defaultColWidth="8.6328125" defaultRowHeight="15" customHeight="1" x14ac:dyDescent="0.35"/>
  <cols>
    <col min="1" max="12" width="18" customWidth="1"/>
  </cols>
  <sheetData>
    <row r="1" spans="1:12" ht="21.75" customHeight="1" x14ac:dyDescent="0.5">
      <c r="A1" s="52" t="s">
        <v>286</v>
      </c>
      <c r="B1" s="47"/>
      <c r="C1" s="47"/>
      <c r="D1" s="47"/>
      <c r="E1" s="47"/>
      <c r="F1" s="47"/>
      <c r="G1" s="47"/>
      <c r="H1" s="47"/>
    </row>
    <row r="2" spans="1:12" ht="21.75" customHeight="1" x14ac:dyDescent="0.35">
      <c r="A2" s="53" t="s">
        <v>287</v>
      </c>
      <c r="B2" s="47"/>
      <c r="C2" s="47"/>
      <c r="D2" s="47"/>
      <c r="E2" s="47"/>
      <c r="F2" s="47"/>
      <c r="G2" s="47"/>
      <c r="H2" s="47"/>
      <c r="I2" s="47"/>
      <c r="J2" s="47"/>
      <c r="K2" s="47"/>
      <c r="L2" s="47"/>
    </row>
    <row r="3" spans="1:12" ht="21.75" customHeight="1" x14ac:dyDescent="0.35"/>
    <row r="4" spans="1:12" ht="21.75" customHeight="1" x14ac:dyDescent="0.35">
      <c r="A4" s="49" t="s">
        <v>288</v>
      </c>
      <c r="B4" s="50"/>
      <c r="C4" s="50"/>
      <c r="D4" s="50"/>
      <c r="E4" s="50"/>
      <c r="F4" s="50"/>
      <c r="G4" s="50"/>
      <c r="H4" s="51"/>
    </row>
    <row r="5" spans="1:12" ht="21.75" customHeight="1" x14ac:dyDescent="0.35">
      <c r="A5" s="48" t="s">
        <v>289</v>
      </c>
      <c r="B5" s="47"/>
      <c r="C5" s="47"/>
      <c r="D5" s="47"/>
      <c r="E5" s="47"/>
      <c r="F5" s="47"/>
      <c r="G5" s="47"/>
      <c r="H5" s="47"/>
      <c r="I5" s="47"/>
      <c r="J5" s="47"/>
      <c r="K5" s="47"/>
      <c r="L5" s="47"/>
    </row>
    <row r="6" spans="1:12" ht="21.75" customHeight="1" x14ac:dyDescent="0.35">
      <c r="A6" s="48" t="s">
        <v>290</v>
      </c>
      <c r="B6" s="47"/>
      <c r="C6" s="47"/>
      <c r="D6" s="47"/>
      <c r="E6" s="47"/>
      <c r="F6" s="47"/>
      <c r="G6" s="47"/>
      <c r="H6" s="47"/>
      <c r="I6" s="47"/>
      <c r="J6" s="47"/>
      <c r="K6" s="47"/>
      <c r="L6" s="47"/>
    </row>
    <row r="7" spans="1:12" ht="21.75" customHeight="1" x14ac:dyDescent="0.35">
      <c r="A7" s="48" t="s">
        <v>291</v>
      </c>
      <c r="B7" s="47"/>
      <c r="C7" s="47"/>
      <c r="D7" s="47"/>
      <c r="E7" s="47"/>
      <c r="F7" s="47"/>
      <c r="G7" s="47"/>
      <c r="H7" s="47"/>
      <c r="I7" s="47"/>
      <c r="J7" s="47"/>
      <c r="K7" s="47"/>
      <c r="L7" s="47"/>
    </row>
    <row r="8" spans="1:12" ht="21.75" customHeight="1" x14ac:dyDescent="0.35">
      <c r="A8" s="48" t="s">
        <v>292</v>
      </c>
      <c r="B8" s="47"/>
      <c r="C8" s="47"/>
      <c r="D8" s="47"/>
      <c r="E8" s="47"/>
      <c r="F8" s="47"/>
      <c r="G8" s="47"/>
      <c r="H8" s="47"/>
      <c r="I8" s="47"/>
      <c r="J8" s="47"/>
      <c r="K8" s="47"/>
      <c r="L8" s="47"/>
    </row>
    <row r="9" spans="1:12" ht="21.75" customHeight="1" x14ac:dyDescent="0.35">
      <c r="A9" s="48" t="s">
        <v>293</v>
      </c>
      <c r="B9" s="47"/>
      <c r="C9" s="47"/>
      <c r="D9" s="47"/>
      <c r="E9" s="47"/>
      <c r="F9" s="47"/>
      <c r="G9" s="47"/>
      <c r="H9" s="47"/>
      <c r="I9" s="47"/>
      <c r="J9" s="47"/>
      <c r="K9" s="47"/>
      <c r="L9" s="47"/>
    </row>
    <row r="10" spans="1:12" ht="21.75" customHeight="1" x14ac:dyDescent="0.35"/>
    <row r="11" spans="1:12" ht="21.75" customHeight="1" x14ac:dyDescent="0.35">
      <c r="A11" s="49" t="s">
        <v>294</v>
      </c>
      <c r="B11" s="50"/>
      <c r="C11" s="50"/>
      <c r="D11" s="50"/>
      <c r="E11" s="50"/>
      <c r="F11" s="50"/>
      <c r="G11" s="50"/>
      <c r="H11" s="51"/>
    </row>
    <row r="12" spans="1:12" ht="21.75" customHeight="1" x14ac:dyDescent="0.35">
      <c r="A12" s="48" t="s">
        <v>295</v>
      </c>
      <c r="B12" s="47"/>
      <c r="C12" s="47"/>
      <c r="D12" s="47"/>
      <c r="E12" s="47"/>
      <c r="F12" s="47"/>
      <c r="G12" s="47"/>
      <c r="H12" s="47"/>
      <c r="I12" s="47"/>
      <c r="J12" s="47"/>
      <c r="K12" s="47"/>
      <c r="L12" s="47"/>
    </row>
    <row r="13" spans="1:12" ht="21.75" customHeight="1" x14ac:dyDescent="0.35"/>
    <row r="14" spans="1:12" ht="21.75" customHeight="1" x14ac:dyDescent="0.35">
      <c r="A14" s="49" t="s">
        <v>296</v>
      </c>
      <c r="B14" s="50"/>
      <c r="C14" s="50"/>
      <c r="D14" s="50"/>
      <c r="E14" s="50"/>
      <c r="F14" s="50"/>
      <c r="G14" s="50"/>
      <c r="H14" s="51"/>
    </row>
    <row r="15" spans="1:12" ht="21.75" customHeight="1" x14ac:dyDescent="0.35">
      <c r="A15" s="48" t="s">
        <v>297</v>
      </c>
      <c r="B15" s="47"/>
      <c r="C15" s="47"/>
      <c r="D15" s="47"/>
      <c r="E15" s="47"/>
      <c r="F15" s="47"/>
      <c r="G15" s="47"/>
      <c r="H15" s="47"/>
      <c r="I15" s="47"/>
      <c r="J15" s="47"/>
      <c r="K15" s="47"/>
      <c r="L15" s="47"/>
    </row>
    <row r="16" spans="1:12" ht="21.75" customHeight="1" x14ac:dyDescent="0.35">
      <c r="A16" s="48" t="s">
        <v>298</v>
      </c>
      <c r="B16" s="47"/>
      <c r="C16" s="47"/>
      <c r="D16" s="47"/>
      <c r="E16" s="47"/>
      <c r="F16" s="47"/>
      <c r="G16" s="47"/>
      <c r="H16" s="47"/>
      <c r="I16" s="47"/>
      <c r="J16" s="47"/>
      <c r="K16" s="47"/>
      <c r="L16" s="47"/>
    </row>
    <row r="17" spans="1:12" ht="21.75" customHeight="1" x14ac:dyDescent="0.35">
      <c r="A17" s="48" t="s">
        <v>299</v>
      </c>
      <c r="B17" s="47"/>
      <c r="C17" s="47"/>
      <c r="D17" s="47"/>
      <c r="E17" s="47"/>
      <c r="F17" s="47"/>
      <c r="G17" s="47"/>
      <c r="H17" s="47"/>
      <c r="I17" s="47"/>
      <c r="J17" s="47"/>
      <c r="K17" s="47"/>
      <c r="L17" s="47"/>
    </row>
    <row r="18" spans="1:12" ht="21.75" customHeight="1" x14ac:dyDescent="0.35">
      <c r="A18" s="48" t="s">
        <v>300</v>
      </c>
      <c r="B18" s="47"/>
      <c r="C18" s="47"/>
      <c r="D18" s="47"/>
      <c r="E18" s="47"/>
      <c r="F18" s="47"/>
      <c r="G18" s="47"/>
      <c r="H18" s="47"/>
      <c r="I18" s="47"/>
      <c r="J18" s="47"/>
      <c r="K18" s="47"/>
      <c r="L18" s="47"/>
    </row>
    <row r="19" spans="1:12" ht="21.75" customHeight="1" x14ac:dyDescent="0.35">
      <c r="A19" s="48" t="s">
        <v>301</v>
      </c>
      <c r="B19" s="47"/>
      <c r="C19" s="47"/>
      <c r="D19" s="47"/>
      <c r="E19" s="47"/>
      <c r="F19" s="47"/>
      <c r="G19" s="47"/>
      <c r="H19" s="47"/>
      <c r="I19" s="47"/>
      <c r="J19" s="47"/>
      <c r="K19" s="47"/>
      <c r="L19" s="47"/>
    </row>
    <row r="20" spans="1:12" ht="21.75" customHeight="1" x14ac:dyDescent="0.35"/>
    <row r="21" spans="1:12" ht="21.75" customHeight="1" x14ac:dyDescent="0.35">
      <c r="A21" s="49" t="s">
        <v>302</v>
      </c>
      <c r="B21" s="50"/>
      <c r="C21" s="50"/>
      <c r="D21" s="50"/>
      <c r="E21" s="50"/>
      <c r="F21" s="50"/>
      <c r="G21" s="50"/>
      <c r="H21" s="51"/>
    </row>
    <row r="22" spans="1:12" ht="21.75" customHeight="1" x14ac:dyDescent="0.35">
      <c r="A22" s="48" t="s">
        <v>303</v>
      </c>
      <c r="B22" s="47"/>
      <c r="C22" s="47"/>
      <c r="D22" s="47"/>
      <c r="E22" s="47"/>
      <c r="F22" s="47"/>
      <c r="G22" s="47"/>
      <c r="H22" s="47"/>
      <c r="I22" s="47"/>
      <c r="J22" s="47"/>
      <c r="K22" s="47"/>
      <c r="L22" s="47"/>
    </row>
    <row r="23" spans="1:12" ht="21.75" customHeight="1" x14ac:dyDescent="0.35">
      <c r="A23" s="48" t="s">
        <v>304</v>
      </c>
      <c r="B23" s="47"/>
      <c r="C23" s="47"/>
      <c r="D23" s="47"/>
      <c r="E23" s="47"/>
      <c r="F23" s="47"/>
      <c r="G23" s="47"/>
      <c r="H23" s="47"/>
      <c r="I23" s="47"/>
      <c r="J23" s="47"/>
      <c r="K23" s="47"/>
      <c r="L23" s="47"/>
    </row>
    <row r="24" spans="1:12" ht="21.75" customHeight="1" x14ac:dyDescent="0.35">
      <c r="A24" s="48" t="s">
        <v>305</v>
      </c>
      <c r="B24" s="47"/>
      <c r="C24" s="47"/>
      <c r="D24" s="47"/>
      <c r="E24" s="47"/>
      <c r="F24" s="47"/>
      <c r="G24" s="47"/>
      <c r="H24" s="47"/>
      <c r="I24" s="47"/>
      <c r="J24" s="47"/>
      <c r="K24" s="47"/>
      <c r="L24" s="47"/>
    </row>
    <row r="25" spans="1:12" ht="21.75" customHeight="1" x14ac:dyDescent="0.35">
      <c r="A25" s="48" t="s">
        <v>306</v>
      </c>
      <c r="B25" s="47"/>
      <c r="C25" s="47"/>
      <c r="D25" s="47"/>
      <c r="E25" s="47"/>
      <c r="F25" s="47"/>
      <c r="G25" s="47"/>
      <c r="H25" s="47"/>
      <c r="I25" s="47"/>
      <c r="J25" s="47"/>
      <c r="K25" s="47"/>
      <c r="L25" s="47"/>
    </row>
    <row r="26" spans="1:12" ht="21.75" customHeight="1" x14ac:dyDescent="0.35">
      <c r="A26" s="48" t="s">
        <v>307</v>
      </c>
      <c r="B26" s="47"/>
      <c r="C26" s="47"/>
      <c r="D26" s="47"/>
      <c r="E26" s="47"/>
      <c r="F26" s="47"/>
      <c r="G26" s="47"/>
      <c r="H26" s="47"/>
      <c r="I26" s="47"/>
      <c r="J26" s="47"/>
      <c r="K26" s="47"/>
      <c r="L26" s="47"/>
    </row>
    <row r="27" spans="1:12" ht="21.75" customHeight="1" x14ac:dyDescent="0.35"/>
    <row r="28" spans="1:12" ht="21.75" customHeight="1" x14ac:dyDescent="0.35">
      <c r="A28" t="s">
        <v>308</v>
      </c>
    </row>
    <row r="29" spans="1:12" ht="14.5" x14ac:dyDescent="0.35">
      <c r="A29" t="s">
        <v>309</v>
      </c>
    </row>
  </sheetData>
  <mergeCells count="22">
    <mergeCell ref="A6:L6"/>
    <mergeCell ref="A1:H1"/>
    <mergeCell ref="A12:L12"/>
    <mergeCell ref="A26:L26"/>
    <mergeCell ref="A2:L2"/>
    <mergeCell ref="A5:L5"/>
    <mergeCell ref="A23:L23"/>
    <mergeCell ref="A8:L8"/>
    <mergeCell ref="A22:L22"/>
    <mergeCell ref="A17:L17"/>
    <mergeCell ref="A21:H21"/>
    <mergeCell ref="A19:L19"/>
    <mergeCell ref="A14:H14"/>
    <mergeCell ref="A9:L9"/>
    <mergeCell ref="A4:H4"/>
    <mergeCell ref="A24:L24"/>
    <mergeCell ref="A15:L15"/>
    <mergeCell ref="A16:L16"/>
    <mergeCell ref="A7:L7"/>
    <mergeCell ref="A25:L25"/>
    <mergeCell ref="A11:H11"/>
    <mergeCell ref="A18:L1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7"/>
  <sheetViews>
    <sheetView showGridLines="0" zoomScaleNormal="100" workbookViewId="0"/>
  </sheetViews>
  <sheetFormatPr defaultColWidth="8.6328125" defaultRowHeight="15" customHeight="1" x14ac:dyDescent="0.35"/>
  <cols>
    <col min="1" max="1" width="12" customWidth="1"/>
    <col min="2" max="2" width="28" customWidth="1"/>
    <col min="3" max="3" width="42" customWidth="1"/>
    <col min="4" max="4" width="58" customWidth="1"/>
  </cols>
  <sheetData>
    <row r="1" spans="1:4" ht="19.5" customHeight="1" x14ac:dyDescent="0.4">
      <c r="A1" s="2" t="s">
        <v>310</v>
      </c>
    </row>
    <row r="2" spans="1:4" ht="168.75" customHeight="1" x14ac:dyDescent="0.35">
      <c r="A2" s="3" t="s">
        <v>311</v>
      </c>
    </row>
    <row r="4" spans="1:4" ht="15" customHeight="1" x14ac:dyDescent="0.35">
      <c r="A4" s="5" t="s">
        <v>312</v>
      </c>
      <c r="B4" s="5" t="s">
        <v>313</v>
      </c>
      <c r="C4" s="5" t="s">
        <v>314</v>
      </c>
      <c r="D4" s="5" t="s">
        <v>315</v>
      </c>
    </row>
    <row r="5" spans="1:4" ht="41.25" customHeight="1" x14ac:dyDescent="0.35">
      <c r="A5" s="6" t="s">
        <v>316</v>
      </c>
      <c r="B5" s="7" t="s">
        <v>317</v>
      </c>
      <c r="C5" s="8" t="s">
        <v>318</v>
      </c>
      <c r="D5" s="8" t="s">
        <v>319</v>
      </c>
    </row>
    <row r="6" spans="1:4" ht="41.25" customHeight="1" x14ac:dyDescent="0.35">
      <c r="A6" s="6" t="s">
        <v>320</v>
      </c>
      <c r="B6" s="7" t="s">
        <v>321</v>
      </c>
      <c r="C6" s="8" t="s">
        <v>322</v>
      </c>
      <c r="D6" s="8" t="s">
        <v>323</v>
      </c>
    </row>
    <row r="7" spans="1:4" ht="27.75" customHeight="1" x14ac:dyDescent="0.35">
      <c r="A7" s="6" t="s">
        <v>324</v>
      </c>
      <c r="B7" s="7" t="s">
        <v>325</v>
      </c>
      <c r="C7" s="8" t="s">
        <v>326</v>
      </c>
      <c r="D7" s="8" t="s">
        <v>327</v>
      </c>
    </row>
    <row r="8" spans="1:4" ht="27.75" customHeight="1" x14ac:dyDescent="0.35">
      <c r="A8" s="6" t="s">
        <v>328</v>
      </c>
      <c r="B8" s="7" t="s">
        <v>329</v>
      </c>
      <c r="C8" s="8" t="s">
        <v>330</v>
      </c>
      <c r="D8" s="8" t="s">
        <v>331</v>
      </c>
    </row>
    <row r="9" spans="1:4" ht="27.75" customHeight="1" x14ac:dyDescent="0.35">
      <c r="A9" s="6" t="s">
        <v>332</v>
      </c>
      <c r="B9" s="7" t="s">
        <v>333</v>
      </c>
      <c r="C9" s="8" t="s">
        <v>334</v>
      </c>
      <c r="D9" s="8" t="s">
        <v>335</v>
      </c>
    </row>
    <row r="10" spans="1:4" ht="27.75" customHeight="1" x14ac:dyDescent="0.35">
      <c r="A10" s="6" t="s">
        <v>336</v>
      </c>
      <c r="B10" s="7" t="s">
        <v>337</v>
      </c>
      <c r="C10" s="8" t="s">
        <v>338</v>
      </c>
      <c r="D10" s="8" t="s">
        <v>339</v>
      </c>
    </row>
    <row r="11" spans="1:4" ht="27.75" customHeight="1" x14ac:dyDescent="0.35">
      <c r="A11" s="6" t="s">
        <v>340</v>
      </c>
      <c r="B11" s="7" t="s">
        <v>341</v>
      </c>
      <c r="C11" s="8" t="s">
        <v>342</v>
      </c>
      <c r="D11" s="8" t="s">
        <v>343</v>
      </c>
    </row>
    <row r="12" spans="1:4" ht="27.75" customHeight="1" x14ac:dyDescent="0.35">
      <c r="A12" s="6" t="s">
        <v>344</v>
      </c>
      <c r="B12" s="7" t="s">
        <v>345</v>
      </c>
      <c r="C12" s="8" t="s">
        <v>346</v>
      </c>
      <c r="D12" s="8" t="s">
        <v>347</v>
      </c>
    </row>
    <row r="13" spans="1:4" ht="27.75" customHeight="1" x14ac:dyDescent="0.35">
      <c r="A13" s="6" t="s">
        <v>348</v>
      </c>
      <c r="B13" s="7" t="s">
        <v>349</v>
      </c>
      <c r="C13" s="8" t="s">
        <v>350</v>
      </c>
      <c r="D13" s="8" t="s">
        <v>351</v>
      </c>
    </row>
    <row r="14" spans="1:4" ht="27.75" customHeight="1" x14ac:dyDescent="0.35">
      <c r="A14" s="6" t="s">
        <v>352</v>
      </c>
      <c r="B14" s="7" t="s">
        <v>353</v>
      </c>
      <c r="C14" s="8" t="s">
        <v>354</v>
      </c>
      <c r="D14" s="8" t="s">
        <v>355</v>
      </c>
    </row>
    <row r="15" spans="1:4" ht="27.75" customHeight="1" x14ac:dyDescent="0.35">
      <c r="A15" s="6" t="s">
        <v>356</v>
      </c>
      <c r="B15" s="7" t="s">
        <v>357</v>
      </c>
      <c r="C15" s="8" t="s">
        <v>358</v>
      </c>
      <c r="D15" s="8" t="s">
        <v>359</v>
      </c>
    </row>
    <row r="16" spans="1:4" ht="27.75" customHeight="1" x14ac:dyDescent="0.35">
      <c r="A16" s="6" t="s">
        <v>360</v>
      </c>
      <c r="B16" s="7" t="s">
        <v>361</v>
      </c>
      <c r="C16" s="8" t="s">
        <v>362</v>
      </c>
      <c r="D16" s="8" t="s">
        <v>363</v>
      </c>
    </row>
    <row r="17" spans="1:4" ht="27.75" customHeight="1" x14ac:dyDescent="0.35">
      <c r="A17" s="6" t="s">
        <v>364</v>
      </c>
      <c r="B17" s="7" t="s">
        <v>365</v>
      </c>
      <c r="C17" s="8" t="s">
        <v>366</v>
      </c>
      <c r="D17" s="8" t="s">
        <v>367</v>
      </c>
    </row>
    <row r="18" spans="1:4" ht="27.75" customHeight="1" x14ac:dyDescent="0.35">
      <c r="A18" s="6" t="s">
        <v>368</v>
      </c>
      <c r="B18" s="7" t="s">
        <v>369</v>
      </c>
      <c r="C18" s="8" t="s">
        <v>370</v>
      </c>
      <c r="D18" s="8" t="s">
        <v>371</v>
      </c>
    </row>
    <row r="19" spans="1:4" ht="27.75" customHeight="1" x14ac:dyDescent="0.35">
      <c r="A19" s="6" t="s">
        <v>372</v>
      </c>
      <c r="B19" s="7" t="s">
        <v>373</v>
      </c>
      <c r="C19" s="8" t="s">
        <v>374</v>
      </c>
      <c r="D19" s="8" t="s">
        <v>375</v>
      </c>
    </row>
    <row r="20" spans="1:4" ht="27.75" customHeight="1" x14ac:dyDescent="0.35">
      <c r="A20" s="6" t="s">
        <v>376</v>
      </c>
      <c r="B20" s="7" t="s">
        <v>377</v>
      </c>
      <c r="C20" s="8" t="s">
        <v>378</v>
      </c>
      <c r="D20" s="8" t="s">
        <v>379</v>
      </c>
    </row>
    <row r="21" spans="1:4" ht="27.75" customHeight="1" x14ac:dyDescent="0.35">
      <c r="A21" s="6" t="s">
        <v>380</v>
      </c>
      <c r="B21" s="7" t="s">
        <v>381</v>
      </c>
      <c r="C21" s="8" t="s">
        <v>382</v>
      </c>
      <c r="D21" s="8" t="s">
        <v>383</v>
      </c>
    </row>
    <row r="22" spans="1:4" ht="27.75" customHeight="1" x14ac:dyDescent="0.35">
      <c r="A22" s="6" t="s">
        <v>384</v>
      </c>
      <c r="B22" s="7" t="s">
        <v>385</v>
      </c>
      <c r="C22" s="8" t="s">
        <v>386</v>
      </c>
      <c r="D22" s="8" t="s">
        <v>387</v>
      </c>
    </row>
    <row r="23" spans="1:4" ht="27.75" customHeight="1" x14ac:dyDescent="0.35">
      <c r="A23" s="6" t="s">
        <v>388</v>
      </c>
      <c r="B23" s="7" t="s">
        <v>389</v>
      </c>
      <c r="C23" s="8" t="s">
        <v>390</v>
      </c>
      <c r="D23" s="8" t="s">
        <v>391</v>
      </c>
    </row>
    <row r="24" spans="1:4" ht="27.75" customHeight="1" x14ac:dyDescent="0.35">
      <c r="A24" s="6" t="s">
        <v>392</v>
      </c>
      <c r="B24" s="7" t="s">
        <v>393</v>
      </c>
      <c r="C24" s="8" t="s">
        <v>394</v>
      </c>
      <c r="D24" s="8" t="s">
        <v>395</v>
      </c>
    </row>
    <row r="25" spans="1:4" ht="27.75" customHeight="1" x14ac:dyDescent="0.35">
      <c r="A25" s="6" t="s">
        <v>396</v>
      </c>
      <c r="B25" s="7" t="s">
        <v>397</v>
      </c>
      <c r="C25" s="8" t="s">
        <v>398</v>
      </c>
      <c r="D25" s="8" t="s">
        <v>399</v>
      </c>
    </row>
    <row r="26" spans="1:4" ht="27.75" customHeight="1" x14ac:dyDescent="0.35">
      <c r="A26" s="6" t="s">
        <v>400</v>
      </c>
      <c r="B26" s="7" t="s">
        <v>401</v>
      </c>
      <c r="C26" s="8" t="s">
        <v>402</v>
      </c>
      <c r="D26" s="8" t="s">
        <v>403</v>
      </c>
    </row>
    <row r="27" spans="1:4" ht="27.75" customHeight="1" x14ac:dyDescent="0.35">
      <c r="A27" s="6" t="s">
        <v>404</v>
      </c>
      <c r="B27" s="7" t="s">
        <v>405</v>
      </c>
      <c r="C27" s="8" t="s">
        <v>406</v>
      </c>
      <c r="D27" s="8" t="s">
        <v>407</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8"/>
  <sheetViews>
    <sheetView showGridLines="0" zoomScaleNormal="100" workbookViewId="0"/>
  </sheetViews>
  <sheetFormatPr defaultColWidth="8.6328125" defaultRowHeight="15" customHeight="1" x14ac:dyDescent="0.35"/>
  <cols>
    <col min="1" max="1" width="10" customWidth="1"/>
    <col min="2" max="2" width="24" customWidth="1"/>
    <col min="3" max="3" width="22" customWidth="1"/>
    <col min="4" max="4" width="100" customWidth="1"/>
    <col min="5" max="5" width="12" customWidth="1"/>
    <col min="6" max="6" width="28" customWidth="1"/>
  </cols>
  <sheetData>
    <row r="1" spans="1:6" ht="19.5" customHeight="1" x14ac:dyDescent="0.4">
      <c r="A1" s="2" t="s">
        <v>408</v>
      </c>
    </row>
    <row r="2" spans="1:6" ht="113.25" customHeight="1" x14ac:dyDescent="0.35">
      <c r="A2" s="3" t="s">
        <v>409</v>
      </c>
    </row>
    <row r="4" spans="1:6" ht="27.75" customHeight="1" x14ac:dyDescent="0.35">
      <c r="A4" s="5" t="s">
        <v>410</v>
      </c>
      <c r="B4" s="5" t="s">
        <v>411</v>
      </c>
      <c r="C4" s="5" t="s">
        <v>412</v>
      </c>
      <c r="D4" s="5" t="s">
        <v>413</v>
      </c>
      <c r="E4" s="5" t="s">
        <v>414</v>
      </c>
      <c r="F4" s="5" t="s">
        <v>415</v>
      </c>
    </row>
    <row r="5" spans="1:6" ht="27.75" customHeight="1" x14ac:dyDescent="0.35">
      <c r="A5" s="8">
        <v>1</v>
      </c>
      <c r="B5" s="8" t="s">
        <v>416</v>
      </c>
      <c r="C5" s="8" t="s">
        <v>417</v>
      </c>
      <c r="D5" s="8" t="s">
        <v>418</v>
      </c>
      <c r="E5" s="8">
        <v>3</v>
      </c>
      <c r="F5" s="8"/>
    </row>
    <row r="6" spans="1:6" ht="27.75" customHeight="1" x14ac:dyDescent="0.35">
      <c r="A6" s="8">
        <v>2</v>
      </c>
      <c r="B6" s="8" t="s">
        <v>416</v>
      </c>
      <c r="C6" s="8" t="s">
        <v>419</v>
      </c>
      <c r="D6" s="8" t="s">
        <v>420</v>
      </c>
      <c r="E6" s="8">
        <v>3</v>
      </c>
      <c r="F6" s="8"/>
    </row>
    <row r="7" spans="1:6" ht="27.75" customHeight="1" x14ac:dyDescent="0.35">
      <c r="A7" s="8">
        <v>3</v>
      </c>
      <c r="B7" s="8" t="s">
        <v>416</v>
      </c>
      <c r="C7" s="8" t="s">
        <v>421</v>
      </c>
      <c r="D7" s="8" t="s">
        <v>422</v>
      </c>
      <c r="E7" s="8">
        <v>3</v>
      </c>
      <c r="F7" s="8"/>
    </row>
    <row r="8" spans="1:6" ht="27.75" customHeight="1" x14ac:dyDescent="0.35">
      <c r="A8" s="8">
        <v>4</v>
      </c>
      <c r="B8" s="8" t="s">
        <v>416</v>
      </c>
      <c r="C8" s="8" t="s">
        <v>423</v>
      </c>
      <c r="D8" s="8" t="s">
        <v>424</v>
      </c>
      <c r="E8" s="8">
        <v>3</v>
      </c>
      <c r="F8" s="8"/>
    </row>
    <row r="9" spans="1:6" ht="27.75" customHeight="1" x14ac:dyDescent="0.35">
      <c r="A9" s="8">
        <v>5</v>
      </c>
      <c r="B9" s="8" t="s">
        <v>425</v>
      </c>
      <c r="C9" s="8" t="s">
        <v>426</v>
      </c>
      <c r="D9" s="8" t="s">
        <v>427</v>
      </c>
      <c r="E9" s="8">
        <v>3</v>
      </c>
      <c r="F9" s="8"/>
    </row>
    <row r="10" spans="1:6" ht="27.75" customHeight="1" x14ac:dyDescent="0.35">
      <c r="A10" s="8">
        <v>6</v>
      </c>
      <c r="B10" s="8" t="s">
        <v>425</v>
      </c>
      <c r="C10" s="8" t="s">
        <v>428</v>
      </c>
      <c r="D10" s="8" t="s">
        <v>429</v>
      </c>
      <c r="E10" s="8">
        <v>3</v>
      </c>
      <c r="F10" s="8"/>
    </row>
    <row r="11" spans="1:6" ht="27.75" customHeight="1" x14ac:dyDescent="0.35">
      <c r="A11" s="8">
        <v>7</v>
      </c>
      <c r="B11" s="8" t="s">
        <v>425</v>
      </c>
      <c r="C11" s="8" t="s">
        <v>430</v>
      </c>
      <c r="D11" s="8" t="s">
        <v>431</v>
      </c>
      <c r="E11" s="8">
        <v>3</v>
      </c>
      <c r="F11" s="8"/>
    </row>
    <row r="12" spans="1:6" ht="27.75" customHeight="1" x14ac:dyDescent="0.35">
      <c r="A12" s="8">
        <v>8</v>
      </c>
      <c r="B12" s="8" t="s">
        <v>425</v>
      </c>
      <c r="C12" s="8" t="s">
        <v>432</v>
      </c>
      <c r="D12" s="8" t="s">
        <v>433</v>
      </c>
      <c r="E12" s="8">
        <v>3</v>
      </c>
      <c r="F12" s="8"/>
    </row>
    <row r="13" spans="1:6" ht="27.75" customHeight="1" x14ac:dyDescent="0.35">
      <c r="A13" s="8">
        <v>9</v>
      </c>
      <c r="B13" s="8" t="s">
        <v>434</v>
      </c>
      <c r="C13" s="8" t="s">
        <v>435</v>
      </c>
      <c r="D13" s="8" t="s">
        <v>436</v>
      </c>
      <c r="E13" s="8">
        <v>3</v>
      </c>
      <c r="F13" s="8"/>
    </row>
    <row r="14" spans="1:6" ht="27.75" customHeight="1" x14ac:dyDescent="0.35">
      <c r="A14" s="8">
        <v>10</v>
      </c>
      <c r="B14" s="8" t="s">
        <v>434</v>
      </c>
      <c r="C14" s="8" t="s">
        <v>437</v>
      </c>
      <c r="D14" s="8" t="s">
        <v>438</v>
      </c>
      <c r="E14" s="8">
        <v>3</v>
      </c>
      <c r="F14" s="8"/>
    </row>
    <row r="15" spans="1:6" ht="27.75" customHeight="1" x14ac:dyDescent="0.35">
      <c r="A15" s="8">
        <v>11</v>
      </c>
      <c r="B15" s="8" t="s">
        <v>434</v>
      </c>
      <c r="C15" s="8" t="s">
        <v>439</v>
      </c>
      <c r="D15" s="8" t="s">
        <v>440</v>
      </c>
      <c r="E15" s="8">
        <v>3</v>
      </c>
      <c r="F15" s="8"/>
    </row>
    <row r="16" spans="1:6" ht="27.75" customHeight="1" x14ac:dyDescent="0.35">
      <c r="A16" s="8">
        <v>12</v>
      </c>
      <c r="B16" s="8" t="s">
        <v>434</v>
      </c>
      <c r="C16" s="8" t="s">
        <v>441</v>
      </c>
      <c r="D16" s="8" t="s">
        <v>442</v>
      </c>
      <c r="E16" s="8">
        <v>3</v>
      </c>
      <c r="F16" s="8"/>
    </row>
    <row r="17" spans="1:6" ht="27.75" customHeight="1" x14ac:dyDescent="0.35">
      <c r="A17" s="8">
        <v>13</v>
      </c>
      <c r="B17" s="8" t="s">
        <v>443</v>
      </c>
      <c r="C17" s="8" t="s">
        <v>444</v>
      </c>
      <c r="D17" s="8" t="s">
        <v>445</v>
      </c>
      <c r="E17" s="8">
        <v>3</v>
      </c>
      <c r="F17" s="8"/>
    </row>
    <row r="18" spans="1:6" ht="27.75" customHeight="1" x14ac:dyDescent="0.35">
      <c r="A18" s="8">
        <v>14</v>
      </c>
      <c r="B18" s="8" t="s">
        <v>443</v>
      </c>
      <c r="C18" s="8" t="s">
        <v>446</v>
      </c>
      <c r="D18" s="8" t="s">
        <v>447</v>
      </c>
      <c r="E18" s="8">
        <v>3</v>
      </c>
      <c r="F18" s="8"/>
    </row>
    <row r="19" spans="1:6" ht="27.75" customHeight="1" x14ac:dyDescent="0.35">
      <c r="A19" s="8">
        <v>15</v>
      </c>
      <c r="B19" s="8" t="s">
        <v>443</v>
      </c>
      <c r="C19" s="8" t="s">
        <v>448</v>
      </c>
      <c r="D19" s="8" t="s">
        <v>449</v>
      </c>
      <c r="E19" s="8">
        <v>3</v>
      </c>
      <c r="F19" s="8"/>
    </row>
    <row r="20" spans="1:6" ht="27.75" customHeight="1" x14ac:dyDescent="0.35">
      <c r="A20" s="8">
        <v>16</v>
      </c>
      <c r="B20" s="8" t="s">
        <v>443</v>
      </c>
      <c r="C20" s="8" t="s">
        <v>450</v>
      </c>
      <c r="D20" s="8" t="s">
        <v>451</v>
      </c>
      <c r="E20" s="8">
        <v>3</v>
      </c>
      <c r="F20" s="8"/>
    </row>
    <row r="21" spans="1:6" ht="27.75" customHeight="1" x14ac:dyDescent="0.35">
      <c r="A21" s="8">
        <v>17</v>
      </c>
      <c r="B21" s="8" t="s">
        <v>452</v>
      </c>
      <c r="C21" s="8" t="s">
        <v>453</v>
      </c>
      <c r="D21" s="8" t="s">
        <v>454</v>
      </c>
      <c r="E21" s="8">
        <v>3</v>
      </c>
      <c r="F21" s="8"/>
    </row>
    <row r="22" spans="1:6" ht="27.75" customHeight="1" x14ac:dyDescent="0.35">
      <c r="A22" s="8">
        <v>18</v>
      </c>
      <c r="B22" s="8" t="s">
        <v>452</v>
      </c>
      <c r="C22" s="8" t="s">
        <v>455</v>
      </c>
      <c r="D22" s="8" t="s">
        <v>456</v>
      </c>
      <c r="E22" s="8">
        <v>3</v>
      </c>
      <c r="F22" s="8"/>
    </row>
    <row r="23" spans="1:6" ht="27.75" customHeight="1" x14ac:dyDescent="0.35">
      <c r="A23" s="8">
        <v>19</v>
      </c>
      <c r="B23" s="8" t="s">
        <v>452</v>
      </c>
      <c r="C23" s="8" t="s">
        <v>457</v>
      </c>
      <c r="D23" s="8" t="s">
        <v>458</v>
      </c>
      <c r="E23" s="8">
        <v>3</v>
      </c>
      <c r="F23" s="8"/>
    </row>
    <row r="24" spans="1:6" ht="27.75" customHeight="1" x14ac:dyDescent="0.35">
      <c r="A24" s="8">
        <v>20</v>
      </c>
      <c r="B24" s="8" t="s">
        <v>452</v>
      </c>
      <c r="C24" s="8" t="s">
        <v>459</v>
      </c>
      <c r="D24" s="8" t="s">
        <v>460</v>
      </c>
      <c r="E24" s="8">
        <v>3</v>
      </c>
      <c r="F24" s="8"/>
    </row>
    <row r="25" spans="1:6" ht="27.75" customHeight="1" x14ac:dyDescent="0.35">
      <c r="A25" s="8">
        <v>21</v>
      </c>
      <c r="B25" s="8" t="s">
        <v>461</v>
      </c>
      <c r="C25" s="8" t="s">
        <v>462</v>
      </c>
      <c r="D25" s="8" t="s">
        <v>463</v>
      </c>
      <c r="E25" s="8">
        <v>3</v>
      </c>
      <c r="F25" s="8"/>
    </row>
    <row r="26" spans="1:6" ht="27.75" customHeight="1" x14ac:dyDescent="0.35">
      <c r="A26" s="8">
        <v>22</v>
      </c>
      <c r="B26" s="8" t="s">
        <v>461</v>
      </c>
      <c r="C26" s="8" t="s">
        <v>464</v>
      </c>
      <c r="D26" s="8" t="s">
        <v>465</v>
      </c>
      <c r="E26" s="8">
        <v>3</v>
      </c>
      <c r="F26" s="8"/>
    </row>
    <row r="27" spans="1:6" ht="27.75" customHeight="1" x14ac:dyDescent="0.35">
      <c r="A27" s="8">
        <v>23</v>
      </c>
      <c r="B27" s="8" t="s">
        <v>461</v>
      </c>
      <c r="C27" s="8" t="s">
        <v>466</v>
      </c>
      <c r="D27" s="8" t="s">
        <v>467</v>
      </c>
      <c r="E27" s="8">
        <v>3</v>
      </c>
      <c r="F27" s="8"/>
    </row>
    <row r="28" spans="1:6" ht="27.75" customHeight="1" x14ac:dyDescent="0.35">
      <c r="A28" s="8">
        <v>24</v>
      </c>
      <c r="B28" s="8" t="s">
        <v>461</v>
      </c>
      <c r="C28" s="8" t="s">
        <v>468</v>
      </c>
      <c r="D28" s="8" t="s">
        <v>469</v>
      </c>
      <c r="E28" s="8">
        <v>3</v>
      </c>
      <c r="F28" s="8"/>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9"/>
  <sheetViews>
    <sheetView showGridLines="0" topLeftCell="B4" zoomScaleNormal="100" workbookViewId="0">
      <selection activeCell="G6" sqref="G6"/>
    </sheetView>
  </sheetViews>
  <sheetFormatPr defaultColWidth="8.6328125" defaultRowHeight="15" customHeight="1" x14ac:dyDescent="0.35"/>
  <cols>
    <col min="1" max="1" width="10" customWidth="1"/>
    <col min="2" max="2" width="28" customWidth="1"/>
    <col min="3" max="3" width="16" hidden="1" customWidth="1"/>
    <col min="4" max="4" width="10" hidden="1" customWidth="1"/>
    <col min="5" max="5" width="28" hidden="1" customWidth="1"/>
    <col min="6" max="6" width="90" customWidth="1"/>
    <col min="7" max="7" width="44" customWidth="1"/>
    <col min="8" max="8" width="22" customWidth="1"/>
  </cols>
  <sheetData>
    <row r="1" spans="1:8" ht="19.5" customHeight="1" x14ac:dyDescent="0.4">
      <c r="A1" s="2" t="s">
        <v>470</v>
      </c>
    </row>
    <row r="2" spans="1:8" ht="147" customHeight="1" x14ac:dyDescent="0.35">
      <c r="A2" s="3" t="s">
        <v>471</v>
      </c>
    </row>
    <row r="4" spans="1:8" ht="27.75" customHeight="1" x14ac:dyDescent="0.35">
      <c r="A4" s="5" t="s">
        <v>107</v>
      </c>
      <c r="B4" s="5" t="s">
        <v>472</v>
      </c>
      <c r="C4" s="5" t="s">
        <v>473</v>
      </c>
      <c r="D4" s="5" t="s">
        <v>474</v>
      </c>
      <c r="E4" s="5" t="s">
        <v>475</v>
      </c>
      <c r="F4" s="5" t="s">
        <v>476</v>
      </c>
      <c r="G4" s="5" t="s">
        <v>477</v>
      </c>
      <c r="H4" s="5" t="s">
        <v>478</v>
      </c>
    </row>
    <row r="5" spans="1:8" ht="41.25" customHeight="1" x14ac:dyDescent="0.35">
      <c r="A5" s="6" t="s">
        <v>112</v>
      </c>
      <c r="B5" s="7" t="s">
        <v>166</v>
      </c>
      <c r="C5" s="8">
        <v>25</v>
      </c>
      <c r="D5" s="8" t="s">
        <v>479</v>
      </c>
      <c r="E5" s="8" t="s">
        <v>480</v>
      </c>
      <c r="F5" s="8" t="s">
        <v>481</v>
      </c>
      <c r="G5" s="8" t="s">
        <v>482</v>
      </c>
      <c r="H5" s="8" t="s">
        <v>483</v>
      </c>
    </row>
    <row r="6" spans="1:8" ht="27.75" customHeight="1" x14ac:dyDescent="0.35">
      <c r="A6" s="6" t="s">
        <v>116</v>
      </c>
      <c r="B6" s="7" t="s">
        <v>166</v>
      </c>
      <c r="C6" s="8">
        <v>25</v>
      </c>
      <c r="D6" s="8" t="s">
        <v>484</v>
      </c>
      <c r="E6" s="8" t="s">
        <v>485</v>
      </c>
      <c r="F6" s="8" t="s">
        <v>486</v>
      </c>
      <c r="G6" s="8" t="s">
        <v>487</v>
      </c>
      <c r="H6" s="8" t="s">
        <v>488</v>
      </c>
    </row>
    <row r="7" spans="1:8" ht="41.25" customHeight="1" x14ac:dyDescent="0.35">
      <c r="A7" s="6" t="s">
        <v>117</v>
      </c>
      <c r="B7" s="7" t="s">
        <v>166</v>
      </c>
      <c r="C7" s="8">
        <v>25</v>
      </c>
      <c r="D7" s="8" t="s">
        <v>484</v>
      </c>
      <c r="E7" s="8" t="s">
        <v>489</v>
      </c>
      <c r="F7" s="8" t="s">
        <v>490</v>
      </c>
      <c r="G7" s="8" t="s">
        <v>491</v>
      </c>
      <c r="H7" s="8" t="s">
        <v>492</v>
      </c>
    </row>
    <row r="8" spans="1:8" ht="41.25" customHeight="1" x14ac:dyDescent="0.35">
      <c r="A8" s="6" t="s">
        <v>118</v>
      </c>
      <c r="B8" s="7" t="s">
        <v>166</v>
      </c>
      <c r="C8" s="8">
        <v>25</v>
      </c>
      <c r="D8" s="8" t="s">
        <v>484</v>
      </c>
      <c r="E8" s="8" t="s">
        <v>493</v>
      </c>
      <c r="F8" s="8" t="s">
        <v>494</v>
      </c>
      <c r="G8" s="8" t="s">
        <v>495</v>
      </c>
      <c r="H8" s="8" t="s">
        <v>496</v>
      </c>
    </row>
    <row r="9" spans="1:8" ht="41.25" customHeight="1" x14ac:dyDescent="0.35">
      <c r="A9" s="6" t="s">
        <v>119</v>
      </c>
      <c r="B9" s="7" t="s">
        <v>166</v>
      </c>
      <c r="C9" s="8">
        <v>25</v>
      </c>
      <c r="D9" s="8" t="s">
        <v>484</v>
      </c>
      <c r="E9" s="8" t="s">
        <v>497</v>
      </c>
      <c r="F9" s="8" t="s">
        <v>498</v>
      </c>
      <c r="G9" s="8" t="s">
        <v>499</v>
      </c>
      <c r="H9" s="8" t="s">
        <v>500</v>
      </c>
    </row>
    <row r="10" spans="1:8" ht="27.75" customHeight="1" x14ac:dyDescent="0.35">
      <c r="A10" s="6" t="s">
        <v>120</v>
      </c>
      <c r="B10" s="7" t="s">
        <v>167</v>
      </c>
      <c r="C10" s="8">
        <v>20</v>
      </c>
      <c r="D10" s="8" t="s">
        <v>479</v>
      </c>
      <c r="E10" s="8" t="s">
        <v>501</v>
      </c>
      <c r="F10" s="8" t="s">
        <v>502</v>
      </c>
      <c r="G10" s="8" t="s">
        <v>503</v>
      </c>
      <c r="H10" s="8" t="s">
        <v>504</v>
      </c>
    </row>
    <row r="11" spans="1:8" ht="27.75" customHeight="1" x14ac:dyDescent="0.35">
      <c r="A11" s="6" t="s">
        <v>121</v>
      </c>
      <c r="B11" s="7" t="s">
        <v>167</v>
      </c>
      <c r="C11" s="8">
        <v>20</v>
      </c>
      <c r="D11" s="8" t="s">
        <v>484</v>
      </c>
      <c r="E11" s="8" t="s">
        <v>505</v>
      </c>
      <c r="F11" s="8" t="s">
        <v>506</v>
      </c>
      <c r="G11" s="8" t="s">
        <v>507</v>
      </c>
      <c r="H11" s="8" t="s">
        <v>508</v>
      </c>
    </row>
    <row r="12" spans="1:8" ht="27.75" customHeight="1" x14ac:dyDescent="0.35">
      <c r="A12" s="6" t="s">
        <v>122</v>
      </c>
      <c r="B12" s="7" t="s">
        <v>167</v>
      </c>
      <c r="C12" s="8">
        <v>20</v>
      </c>
      <c r="D12" s="8" t="s">
        <v>484</v>
      </c>
      <c r="E12" s="8" t="s">
        <v>509</v>
      </c>
      <c r="F12" s="8" t="s">
        <v>510</v>
      </c>
      <c r="G12" s="8" t="s">
        <v>511</v>
      </c>
      <c r="H12" s="8" t="s">
        <v>512</v>
      </c>
    </row>
    <row r="13" spans="1:8" ht="41.25" customHeight="1" x14ac:dyDescent="0.35">
      <c r="A13" s="6" t="s">
        <v>123</v>
      </c>
      <c r="B13" s="7" t="s">
        <v>167</v>
      </c>
      <c r="C13" s="8">
        <v>20</v>
      </c>
      <c r="D13" s="8" t="s">
        <v>479</v>
      </c>
      <c r="E13" s="8" t="s">
        <v>513</v>
      </c>
      <c r="F13" s="8" t="s">
        <v>514</v>
      </c>
      <c r="G13" s="8" t="s">
        <v>515</v>
      </c>
      <c r="H13" s="8" t="s">
        <v>516</v>
      </c>
    </row>
    <row r="14" spans="1:8" ht="27.75" customHeight="1" x14ac:dyDescent="0.35">
      <c r="A14" s="6" t="s">
        <v>124</v>
      </c>
      <c r="B14" s="7" t="s">
        <v>167</v>
      </c>
      <c r="C14" s="8">
        <v>20</v>
      </c>
      <c r="D14" s="8" t="s">
        <v>484</v>
      </c>
      <c r="E14" s="8" t="s">
        <v>517</v>
      </c>
      <c r="F14" s="8" t="s">
        <v>518</v>
      </c>
      <c r="G14" s="8" t="s">
        <v>519</v>
      </c>
      <c r="H14" s="8" t="s">
        <v>520</v>
      </c>
    </row>
    <row r="15" spans="1:8" ht="27.75" customHeight="1" x14ac:dyDescent="0.35">
      <c r="A15" s="6" t="s">
        <v>125</v>
      </c>
      <c r="B15" s="7" t="s">
        <v>168</v>
      </c>
      <c r="C15" s="8">
        <v>20</v>
      </c>
      <c r="D15" s="8" t="s">
        <v>484</v>
      </c>
      <c r="E15" s="8" t="s">
        <v>521</v>
      </c>
      <c r="F15" s="8" t="s">
        <v>522</v>
      </c>
      <c r="G15" s="8" t="s">
        <v>523</v>
      </c>
      <c r="H15" s="8" t="s">
        <v>336</v>
      </c>
    </row>
    <row r="16" spans="1:8" ht="27.75" customHeight="1" x14ac:dyDescent="0.35">
      <c r="A16" s="6" t="s">
        <v>126</v>
      </c>
      <c r="B16" s="7" t="s">
        <v>168</v>
      </c>
      <c r="C16" s="8">
        <v>20</v>
      </c>
      <c r="D16" s="8" t="s">
        <v>484</v>
      </c>
      <c r="E16" s="8" t="s">
        <v>524</v>
      </c>
      <c r="F16" s="8" t="s">
        <v>525</v>
      </c>
      <c r="G16" s="8" t="s">
        <v>526</v>
      </c>
      <c r="H16" s="8" t="s">
        <v>527</v>
      </c>
    </row>
    <row r="17" spans="1:8" ht="41.25" customHeight="1" x14ac:dyDescent="0.35">
      <c r="A17" s="6" t="s">
        <v>127</v>
      </c>
      <c r="B17" s="7" t="s">
        <v>168</v>
      </c>
      <c r="C17" s="8">
        <v>20</v>
      </c>
      <c r="D17" s="8" t="s">
        <v>479</v>
      </c>
      <c r="E17" s="8" t="s">
        <v>528</v>
      </c>
      <c r="F17" s="8" t="s">
        <v>529</v>
      </c>
      <c r="G17" s="8" t="s">
        <v>530</v>
      </c>
      <c r="H17" s="8" t="s">
        <v>531</v>
      </c>
    </row>
    <row r="18" spans="1:8" ht="27.75" customHeight="1" x14ac:dyDescent="0.35">
      <c r="A18" s="6" t="s">
        <v>129</v>
      </c>
      <c r="B18" s="7" t="s">
        <v>168</v>
      </c>
      <c r="C18" s="8">
        <v>20</v>
      </c>
      <c r="D18" s="8" t="s">
        <v>484</v>
      </c>
      <c r="E18" s="8" t="s">
        <v>532</v>
      </c>
      <c r="F18" s="8" t="s">
        <v>533</v>
      </c>
      <c r="G18" s="8" t="s">
        <v>534</v>
      </c>
      <c r="H18" s="8" t="s">
        <v>535</v>
      </c>
    </row>
    <row r="19" spans="1:8" ht="27.75" customHeight="1" x14ac:dyDescent="0.35">
      <c r="A19" s="6" t="s">
        <v>130</v>
      </c>
      <c r="B19" s="7" t="s">
        <v>168</v>
      </c>
      <c r="C19" s="8">
        <v>20</v>
      </c>
      <c r="D19" s="8" t="s">
        <v>484</v>
      </c>
      <c r="E19" s="8" t="s">
        <v>536</v>
      </c>
      <c r="F19" s="8" t="s">
        <v>537</v>
      </c>
      <c r="G19" s="8" t="s">
        <v>538</v>
      </c>
      <c r="H19" s="8" t="s">
        <v>539</v>
      </c>
    </row>
    <row r="20" spans="1:8" ht="27.75" customHeight="1" x14ac:dyDescent="0.35">
      <c r="A20" s="6" t="s">
        <v>131</v>
      </c>
      <c r="B20" s="7" t="s">
        <v>169</v>
      </c>
      <c r="C20" s="8">
        <v>20</v>
      </c>
      <c r="D20" s="8" t="s">
        <v>479</v>
      </c>
      <c r="E20" s="8" t="s">
        <v>540</v>
      </c>
      <c r="F20" s="8" t="s">
        <v>541</v>
      </c>
      <c r="G20" s="8" t="s">
        <v>542</v>
      </c>
      <c r="H20" s="8" t="s">
        <v>543</v>
      </c>
    </row>
    <row r="21" spans="1:8" ht="27.75" customHeight="1" x14ac:dyDescent="0.35">
      <c r="A21" s="6" t="s">
        <v>133</v>
      </c>
      <c r="B21" s="7" t="s">
        <v>169</v>
      </c>
      <c r="C21" s="8">
        <v>20</v>
      </c>
      <c r="D21" s="8" t="s">
        <v>479</v>
      </c>
      <c r="E21" s="8" t="s">
        <v>544</v>
      </c>
      <c r="F21" s="8" t="s">
        <v>545</v>
      </c>
      <c r="G21" s="8" t="s">
        <v>546</v>
      </c>
      <c r="H21" s="8" t="s">
        <v>547</v>
      </c>
    </row>
    <row r="22" spans="1:8" ht="41.25" customHeight="1" x14ac:dyDescent="0.35">
      <c r="A22" s="6" t="s">
        <v>134</v>
      </c>
      <c r="B22" s="7" t="s">
        <v>169</v>
      </c>
      <c r="C22" s="8">
        <v>20</v>
      </c>
      <c r="D22" s="8" t="s">
        <v>484</v>
      </c>
      <c r="E22" s="8" t="s">
        <v>548</v>
      </c>
      <c r="F22" s="8" t="s">
        <v>549</v>
      </c>
      <c r="G22" s="8" t="s">
        <v>550</v>
      </c>
      <c r="H22" s="8" t="s">
        <v>551</v>
      </c>
    </row>
    <row r="23" spans="1:8" ht="27.75" customHeight="1" x14ac:dyDescent="0.35">
      <c r="A23" s="6" t="s">
        <v>135</v>
      </c>
      <c r="B23" s="7" t="s">
        <v>169</v>
      </c>
      <c r="C23" s="8">
        <v>20</v>
      </c>
      <c r="D23" s="8" t="s">
        <v>479</v>
      </c>
      <c r="E23" s="8" t="s">
        <v>552</v>
      </c>
      <c r="F23" s="8" t="s">
        <v>553</v>
      </c>
      <c r="G23" s="8" t="s">
        <v>554</v>
      </c>
      <c r="H23" s="8" t="s">
        <v>555</v>
      </c>
    </row>
    <row r="24" spans="1:8" ht="41.25" customHeight="1" x14ac:dyDescent="0.35">
      <c r="A24" s="6" t="s">
        <v>136</v>
      </c>
      <c r="B24" s="7" t="s">
        <v>169</v>
      </c>
      <c r="C24" s="8">
        <v>20</v>
      </c>
      <c r="D24" s="8" t="s">
        <v>484</v>
      </c>
      <c r="E24" s="8" t="s">
        <v>556</v>
      </c>
      <c r="F24" s="8" t="s">
        <v>557</v>
      </c>
      <c r="G24" s="8" t="s">
        <v>558</v>
      </c>
      <c r="H24" s="8" t="s">
        <v>559</v>
      </c>
    </row>
    <row r="25" spans="1:8" ht="27.75" customHeight="1" x14ac:dyDescent="0.35">
      <c r="A25" s="6" t="s">
        <v>137</v>
      </c>
      <c r="B25" s="7" t="s">
        <v>170</v>
      </c>
      <c r="C25" s="8">
        <v>15</v>
      </c>
      <c r="D25" s="8" t="s">
        <v>479</v>
      </c>
      <c r="E25" s="8" t="s">
        <v>560</v>
      </c>
      <c r="F25" s="8" t="s">
        <v>561</v>
      </c>
      <c r="G25" s="8" t="s">
        <v>562</v>
      </c>
      <c r="H25" s="8" t="s">
        <v>563</v>
      </c>
    </row>
    <row r="26" spans="1:8" ht="27.75" customHeight="1" x14ac:dyDescent="0.35">
      <c r="A26" s="6" t="s">
        <v>139</v>
      </c>
      <c r="B26" s="7" t="s">
        <v>170</v>
      </c>
      <c r="C26" s="8">
        <v>15</v>
      </c>
      <c r="D26" s="8" t="s">
        <v>479</v>
      </c>
      <c r="E26" s="8" t="s">
        <v>564</v>
      </c>
      <c r="F26" s="8" t="s">
        <v>565</v>
      </c>
      <c r="G26" s="8" t="s">
        <v>566</v>
      </c>
      <c r="H26" s="8" t="s">
        <v>567</v>
      </c>
    </row>
    <row r="27" spans="1:8" ht="27.75" customHeight="1" x14ac:dyDescent="0.35">
      <c r="A27" s="6" t="s">
        <v>140</v>
      </c>
      <c r="B27" s="7" t="s">
        <v>170</v>
      </c>
      <c r="C27" s="8">
        <v>15</v>
      </c>
      <c r="D27" s="8" t="s">
        <v>484</v>
      </c>
      <c r="E27" s="8" t="s">
        <v>568</v>
      </c>
      <c r="F27" s="8" t="s">
        <v>569</v>
      </c>
      <c r="G27" s="8" t="s">
        <v>570</v>
      </c>
      <c r="H27" s="8" t="s">
        <v>571</v>
      </c>
    </row>
    <row r="28" spans="1:8" ht="27.75" customHeight="1" x14ac:dyDescent="0.35">
      <c r="A28" s="6" t="s">
        <v>141</v>
      </c>
      <c r="B28" s="7" t="s">
        <v>170</v>
      </c>
      <c r="C28" s="8">
        <v>15</v>
      </c>
      <c r="D28" s="8" t="s">
        <v>484</v>
      </c>
      <c r="E28" s="8" t="s">
        <v>572</v>
      </c>
      <c r="F28" s="8" t="s">
        <v>573</v>
      </c>
      <c r="G28" s="8" t="s">
        <v>574</v>
      </c>
      <c r="H28" s="8" t="s">
        <v>575</v>
      </c>
    </row>
    <row r="29" spans="1:8" ht="27.75" customHeight="1" x14ac:dyDescent="0.35">
      <c r="A29" s="6" t="s">
        <v>142</v>
      </c>
      <c r="B29" s="7" t="s">
        <v>170</v>
      </c>
      <c r="C29" s="8">
        <v>15</v>
      </c>
      <c r="D29" s="8" t="s">
        <v>484</v>
      </c>
      <c r="E29" s="8" t="s">
        <v>576</v>
      </c>
      <c r="F29" s="8" t="s">
        <v>577</v>
      </c>
      <c r="G29" s="8" t="s">
        <v>578</v>
      </c>
      <c r="H29" s="8" t="s">
        <v>579</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
  <sheetViews>
    <sheetView showGridLines="0" zoomScaleNormal="100" workbookViewId="0"/>
  </sheetViews>
  <sheetFormatPr defaultColWidth="8.6328125" defaultRowHeight="15" customHeight="1" x14ac:dyDescent="0.35"/>
  <cols>
    <col min="1" max="1" width="10" customWidth="1"/>
    <col min="2" max="2" width="24" customWidth="1"/>
    <col min="3" max="3" width="22" customWidth="1"/>
    <col min="4" max="4" width="78" customWidth="1"/>
    <col min="5" max="5" width="30" customWidth="1"/>
    <col min="6" max="6" width="58" customWidth="1"/>
  </cols>
  <sheetData>
    <row r="1" spans="1:6" ht="19.5" customHeight="1" x14ac:dyDescent="0.4">
      <c r="A1" s="2" t="s">
        <v>580</v>
      </c>
    </row>
    <row r="2" spans="1:6" ht="236.25" customHeight="1" x14ac:dyDescent="0.35">
      <c r="A2" s="3" t="s">
        <v>581</v>
      </c>
    </row>
    <row r="4" spans="1:6" ht="15" customHeight="1" x14ac:dyDescent="0.35">
      <c r="A4" s="5" t="s">
        <v>410</v>
      </c>
      <c r="B4" s="5" t="s">
        <v>411</v>
      </c>
      <c r="C4" s="5" t="s">
        <v>582</v>
      </c>
      <c r="D4" s="5" t="s">
        <v>413</v>
      </c>
      <c r="E4" s="5" t="s">
        <v>583</v>
      </c>
      <c r="F4" s="5" t="s">
        <v>584</v>
      </c>
    </row>
    <row r="5" spans="1:6" ht="41.25" customHeight="1" x14ac:dyDescent="0.35">
      <c r="A5" s="8">
        <v>1</v>
      </c>
      <c r="B5" s="8" t="s">
        <v>416</v>
      </c>
      <c r="C5" s="8" t="s">
        <v>417</v>
      </c>
      <c r="D5" s="8" t="s">
        <v>418</v>
      </c>
      <c r="E5" s="8" t="s">
        <v>585</v>
      </c>
      <c r="F5" s="8" t="s">
        <v>586</v>
      </c>
    </row>
    <row r="6" spans="1:6" ht="27.75" customHeight="1" x14ac:dyDescent="0.35">
      <c r="A6" s="8">
        <v>2</v>
      </c>
      <c r="B6" s="8" t="s">
        <v>416</v>
      </c>
      <c r="C6" s="8" t="s">
        <v>419</v>
      </c>
      <c r="D6" s="8" t="s">
        <v>420</v>
      </c>
      <c r="E6" s="8" t="s">
        <v>587</v>
      </c>
      <c r="F6" s="8" t="s">
        <v>588</v>
      </c>
    </row>
    <row r="7" spans="1:6" ht="41.25" customHeight="1" x14ac:dyDescent="0.35">
      <c r="A7" s="8">
        <v>3</v>
      </c>
      <c r="B7" s="8" t="s">
        <v>416</v>
      </c>
      <c r="C7" s="8" t="s">
        <v>421</v>
      </c>
      <c r="D7" s="8" t="s">
        <v>422</v>
      </c>
      <c r="E7" s="8" t="s">
        <v>589</v>
      </c>
      <c r="F7" s="8" t="s">
        <v>590</v>
      </c>
    </row>
    <row r="8" spans="1:6" ht="27.75" customHeight="1" x14ac:dyDescent="0.35">
      <c r="A8" s="8">
        <v>4</v>
      </c>
      <c r="B8" s="8" t="s">
        <v>416</v>
      </c>
      <c r="C8" s="8" t="s">
        <v>423</v>
      </c>
      <c r="D8" s="8" t="s">
        <v>424</v>
      </c>
      <c r="E8" s="8" t="s">
        <v>591</v>
      </c>
      <c r="F8" s="8" t="s">
        <v>592</v>
      </c>
    </row>
    <row r="9" spans="1:6" ht="41.25" customHeight="1" x14ac:dyDescent="0.35">
      <c r="A9" s="8">
        <v>5</v>
      </c>
      <c r="B9" s="8" t="s">
        <v>425</v>
      </c>
      <c r="C9" s="8" t="s">
        <v>426</v>
      </c>
      <c r="D9" s="8" t="s">
        <v>427</v>
      </c>
      <c r="E9" s="8" t="s">
        <v>593</v>
      </c>
      <c r="F9" s="8" t="s">
        <v>594</v>
      </c>
    </row>
    <row r="10" spans="1:6" ht="41.25" customHeight="1" x14ac:dyDescent="0.35">
      <c r="A10" s="8">
        <v>6</v>
      </c>
      <c r="B10" s="8" t="s">
        <v>425</v>
      </c>
      <c r="C10" s="8" t="s">
        <v>428</v>
      </c>
      <c r="D10" s="8" t="s">
        <v>429</v>
      </c>
      <c r="E10" s="8" t="s">
        <v>595</v>
      </c>
      <c r="F10" s="8" t="s">
        <v>596</v>
      </c>
    </row>
    <row r="11" spans="1:6" ht="27.75" customHeight="1" x14ac:dyDescent="0.35">
      <c r="A11" s="8">
        <v>7</v>
      </c>
      <c r="B11" s="8" t="s">
        <v>425</v>
      </c>
      <c r="C11" s="8" t="s">
        <v>430</v>
      </c>
      <c r="D11" s="8" t="s">
        <v>431</v>
      </c>
      <c r="E11" s="8" t="s">
        <v>597</v>
      </c>
      <c r="F11" s="8" t="s">
        <v>598</v>
      </c>
    </row>
    <row r="12" spans="1:6" ht="41.25" customHeight="1" x14ac:dyDescent="0.35">
      <c r="A12" s="8">
        <v>8</v>
      </c>
      <c r="B12" s="8" t="s">
        <v>425</v>
      </c>
      <c r="C12" s="8" t="s">
        <v>432</v>
      </c>
      <c r="D12" s="8" t="s">
        <v>433</v>
      </c>
      <c r="E12" s="8" t="s">
        <v>599</v>
      </c>
      <c r="F12" s="8" t="s">
        <v>600</v>
      </c>
    </row>
    <row r="13" spans="1:6" ht="41.25" customHeight="1" x14ac:dyDescent="0.35">
      <c r="A13" s="8">
        <v>9</v>
      </c>
      <c r="B13" s="8" t="s">
        <v>434</v>
      </c>
      <c r="C13" s="8" t="s">
        <v>435</v>
      </c>
      <c r="D13" s="8" t="s">
        <v>436</v>
      </c>
      <c r="E13" s="8" t="s">
        <v>601</v>
      </c>
      <c r="F13" s="8" t="s">
        <v>602</v>
      </c>
    </row>
    <row r="14" spans="1:6" ht="27.75" customHeight="1" x14ac:dyDescent="0.35">
      <c r="A14" s="8">
        <v>10</v>
      </c>
      <c r="B14" s="8" t="s">
        <v>434</v>
      </c>
      <c r="C14" s="8" t="s">
        <v>437</v>
      </c>
      <c r="D14" s="8" t="s">
        <v>438</v>
      </c>
      <c r="E14" s="8" t="s">
        <v>603</v>
      </c>
      <c r="F14" s="8" t="s">
        <v>604</v>
      </c>
    </row>
    <row r="15" spans="1:6" ht="41.25" customHeight="1" x14ac:dyDescent="0.35">
      <c r="A15" s="8">
        <v>11</v>
      </c>
      <c r="B15" s="8" t="s">
        <v>434</v>
      </c>
      <c r="C15" s="8" t="s">
        <v>439</v>
      </c>
      <c r="D15" s="8" t="s">
        <v>440</v>
      </c>
      <c r="E15" s="8" t="s">
        <v>605</v>
      </c>
      <c r="F15" s="8" t="s">
        <v>606</v>
      </c>
    </row>
    <row r="16" spans="1:6" ht="27.75" customHeight="1" x14ac:dyDescent="0.35">
      <c r="A16" s="8">
        <v>12</v>
      </c>
      <c r="B16" s="8" t="s">
        <v>434</v>
      </c>
      <c r="C16" s="8" t="s">
        <v>441</v>
      </c>
      <c r="D16" s="8" t="s">
        <v>442</v>
      </c>
      <c r="E16" s="8" t="s">
        <v>607</v>
      </c>
      <c r="F16" s="8" t="s">
        <v>608</v>
      </c>
    </row>
    <row r="17" spans="1:6" ht="41.25" customHeight="1" x14ac:dyDescent="0.35">
      <c r="A17" s="8">
        <v>13</v>
      </c>
      <c r="B17" s="8" t="s">
        <v>443</v>
      </c>
      <c r="C17" s="8" t="s">
        <v>444</v>
      </c>
      <c r="D17" s="8" t="s">
        <v>445</v>
      </c>
      <c r="E17" s="8" t="s">
        <v>609</v>
      </c>
      <c r="F17" s="8" t="s">
        <v>610</v>
      </c>
    </row>
    <row r="18" spans="1:6" ht="27.75" customHeight="1" x14ac:dyDescent="0.35">
      <c r="A18" s="8">
        <v>14</v>
      </c>
      <c r="B18" s="8" t="s">
        <v>443</v>
      </c>
      <c r="C18" s="8" t="s">
        <v>446</v>
      </c>
      <c r="D18" s="8" t="s">
        <v>447</v>
      </c>
      <c r="E18" s="8" t="s">
        <v>611</v>
      </c>
      <c r="F18" s="8" t="s">
        <v>612</v>
      </c>
    </row>
    <row r="19" spans="1:6" ht="27.75" customHeight="1" x14ac:dyDescent="0.35">
      <c r="A19" s="8">
        <v>15</v>
      </c>
      <c r="B19" s="8" t="s">
        <v>443</v>
      </c>
      <c r="C19" s="8" t="s">
        <v>448</v>
      </c>
      <c r="D19" s="8" t="s">
        <v>449</v>
      </c>
      <c r="E19" s="8" t="s">
        <v>613</v>
      </c>
      <c r="F19" s="8" t="s">
        <v>614</v>
      </c>
    </row>
    <row r="20" spans="1:6" ht="27.75" customHeight="1" x14ac:dyDescent="0.35">
      <c r="A20" s="8">
        <v>16</v>
      </c>
      <c r="B20" s="8" t="s">
        <v>443</v>
      </c>
      <c r="C20" s="8" t="s">
        <v>450</v>
      </c>
      <c r="D20" s="8" t="s">
        <v>451</v>
      </c>
      <c r="E20" s="8" t="s">
        <v>615</v>
      </c>
      <c r="F20" s="8" t="s">
        <v>616</v>
      </c>
    </row>
    <row r="21" spans="1:6" ht="27.75" customHeight="1" x14ac:dyDescent="0.35">
      <c r="A21" s="8">
        <v>17</v>
      </c>
      <c r="B21" s="8" t="s">
        <v>452</v>
      </c>
      <c r="C21" s="8" t="s">
        <v>453</v>
      </c>
      <c r="D21" s="8" t="s">
        <v>454</v>
      </c>
      <c r="E21" s="8" t="s">
        <v>617</v>
      </c>
      <c r="F21" s="8" t="s">
        <v>618</v>
      </c>
    </row>
    <row r="22" spans="1:6" ht="41.25" customHeight="1" x14ac:dyDescent="0.35">
      <c r="A22" s="8">
        <v>18</v>
      </c>
      <c r="B22" s="8" t="s">
        <v>452</v>
      </c>
      <c r="C22" s="8" t="s">
        <v>455</v>
      </c>
      <c r="D22" s="8" t="s">
        <v>456</v>
      </c>
      <c r="E22" s="8" t="s">
        <v>619</v>
      </c>
      <c r="F22" s="8" t="s">
        <v>620</v>
      </c>
    </row>
    <row r="23" spans="1:6" ht="27.75" customHeight="1" x14ac:dyDescent="0.35">
      <c r="A23" s="8">
        <v>19</v>
      </c>
      <c r="B23" s="8" t="s">
        <v>452</v>
      </c>
      <c r="C23" s="8" t="s">
        <v>457</v>
      </c>
      <c r="D23" s="8" t="s">
        <v>458</v>
      </c>
      <c r="E23" s="8" t="s">
        <v>621</v>
      </c>
      <c r="F23" s="8" t="s">
        <v>622</v>
      </c>
    </row>
    <row r="24" spans="1:6" ht="41.25" customHeight="1" x14ac:dyDescent="0.35">
      <c r="A24" s="8">
        <v>20</v>
      </c>
      <c r="B24" s="8" t="s">
        <v>452</v>
      </c>
      <c r="C24" s="8" t="s">
        <v>459</v>
      </c>
      <c r="D24" s="8" t="s">
        <v>460</v>
      </c>
      <c r="E24" s="8" t="s">
        <v>623</v>
      </c>
      <c r="F24" s="8" t="s">
        <v>624</v>
      </c>
    </row>
    <row r="25" spans="1:6" ht="27.75" customHeight="1" x14ac:dyDescent="0.35">
      <c r="A25" s="8">
        <v>21</v>
      </c>
      <c r="B25" s="8" t="s">
        <v>461</v>
      </c>
      <c r="C25" s="8" t="s">
        <v>462</v>
      </c>
      <c r="D25" s="8" t="s">
        <v>463</v>
      </c>
      <c r="E25" s="8" t="s">
        <v>625</v>
      </c>
      <c r="F25" s="8" t="s">
        <v>626</v>
      </c>
    </row>
    <row r="26" spans="1:6" ht="27.75" customHeight="1" x14ac:dyDescent="0.35">
      <c r="A26" s="8">
        <v>22</v>
      </c>
      <c r="B26" s="8" t="s">
        <v>461</v>
      </c>
      <c r="C26" s="8" t="s">
        <v>464</v>
      </c>
      <c r="D26" s="8" t="s">
        <v>465</v>
      </c>
      <c r="E26" s="8" t="s">
        <v>625</v>
      </c>
      <c r="F26" s="8" t="s">
        <v>627</v>
      </c>
    </row>
    <row r="27" spans="1:6" ht="27.75" customHeight="1" x14ac:dyDescent="0.35">
      <c r="A27" s="8">
        <v>23</v>
      </c>
      <c r="B27" s="8" t="s">
        <v>461</v>
      </c>
      <c r="C27" s="8" t="s">
        <v>466</v>
      </c>
      <c r="D27" s="8" t="s">
        <v>467</v>
      </c>
      <c r="E27" s="8" t="s">
        <v>628</v>
      </c>
      <c r="F27" s="8" t="s">
        <v>629</v>
      </c>
    </row>
    <row r="28" spans="1:6" ht="27.75" customHeight="1" x14ac:dyDescent="0.35">
      <c r="A28" s="8">
        <v>24</v>
      </c>
      <c r="B28" s="8" t="s">
        <v>461</v>
      </c>
      <c r="C28" s="8" t="s">
        <v>468</v>
      </c>
      <c r="D28" s="8" t="s">
        <v>469</v>
      </c>
      <c r="E28" s="8" t="s">
        <v>625</v>
      </c>
      <c r="F28" s="8" t="s">
        <v>630</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9"/>
  <sheetViews>
    <sheetView showGridLines="0" tabSelected="1" topLeftCell="T1" zoomScaleNormal="100" workbookViewId="0">
      <pane ySplit="4" topLeftCell="A14" activePane="bottomLeft" state="frozen"/>
      <selection pane="bottomLeft" activeCell="X15" sqref="X15"/>
    </sheetView>
  </sheetViews>
  <sheetFormatPr defaultColWidth="8.6328125" defaultRowHeight="15" customHeight="1" x14ac:dyDescent="0.35"/>
  <cols>
    <col min="1" max="1" width="10" customWidth="1"/>
    <col min="2" max="2" width="22" customWidth="1"/>
    <col min="3" max="3" width="10" customWidth="1"/>
    <col min="4" max="4" width="28" customWidth="1"/>
    <col min="5" max="5" width="44" customWidth="1"/>
    <col min="6" max="6" width="28" customWidth="1"/>
    <col min="7" max="7" width="26" customWidth="1"/>
    <col min="8" max="8" width="34" customWidth="1"/>
    <col min="9" max="12" width="24" customWidth="1"/>
    <col min="13" max="13" width="36" customWidth="1"/>
    <col min="14" max="17" width="48" customWidth="1"/>
    <col min="18" max="21" width="34" customWidth="1"/>
    <col min="22" max="22" width="24" customWidth="1"/>
    <col min="23" max="26" width="34" customWidth="1"/>
    <col min="27" max="27" width="28" customWidth="1"/>
    <col min="28" max="28" width="24" customWidth="1"/>
  </cols>
  <sheetData>
    <row r="1" spans="1:28" ht="22" customHeight="1" x14ac:dyDescent="0.45">
      <c r="A1" s="35" t="s">
        <v>631</v>
      </c>
      <c r="M1" s="4"/>
    </row>
    <row r="2" spans="1:28" ht="42" customHeight="1" x14ac:dyDescent="0.35">
      <c r="A2" s="4" t="s">
        <v>632</v>
      </c>
      <c r="M2" s="4"/>
    </row>
    <row r="3" spans="1:28" ht="14.5" x14ac:dyDescent="0.35">
      <c r="M3" s="4"/>
    </row>
    <row r="4" spans="1:28" ht="27.75" customHeight="1" x14ac:dyDescent="0.35">
      <c r="A4" s="36" t="s">
        <v>107</v>
      </c>
      <c r="B4" s="36" t="s">
        <v>472</v>
      </c>
      <c r="C4" s="36" t="s">
        <v>474</v>
      </c>
      <c r="D4" s="36" t="s">
        <v>633</v>
      </c>
      <c r="E4" s="36" t="s">
        <v>476</v>
      </c>
      <c r="F4" s="36" t="s">
        <v>634</v>
      </c>
      <c r="G4" s="36" t="s">
        <v>635</v>
      </c>
      <c r="H4" s="36" t="s">
        <v>636</v>
      </c>
      <c r="I4" s="36" t="s">
        <v>637</v>
      </c>
      <c r="J4" s="36" t="s">
        <v>638</v>
      </c>
      <c r="K4" s="36" t="s">
        <v>639</v>
      </c>
      <c r="L4" s="36" t="s">
        <v>640</v>
      </c>
      <c r="M4" s="4" t="s">
        <v>641</v>
      </c>
      <c r="N4" s="36" t="s">
        <v>642</v>
      </c>
      <c r="O4" s="36" t="s">
        <v>643</v>
      </c>
      <c r="P4" s="36" t="s">
        <v>644</v>
      </c>
      <c r="Q4" s="36" t="s">
        <v>645</v>
      </c>
      <c r="R4" s="36" t="s">
        <v>646</v>
      </c>
      <c r="S4" s="36" t="s">
        <v>647</v>
      </c>
      <c r="T4" s="36" t="s">
        <v>648</v>
      </c>
      <c r="U4" s="36" t="s">
        <v>649</v>
      </c>
      <c r="V4" s="36" t="s">
        <v>650</v>
      </c>
      <c r="W4" s="36" t="s">
        <v>651</v>
      </c>
      <c r="X4" s="36" t="s">
        <v>652</v>
      </c>
      <c r="Y4" s="36" t="s">
        <v>653</v>
      </c>
      <c r="Z4" s="36" t="s">
        <v>654</v>
      </c>
      <c r="AA4" s="36" t="s">
        <v>655</v>
      </c>
      <c r="AB4" s="36" t="s">
        <v>656</v>
      </c>
    </row>
    <row r="5" spans="1:28" ht="60" customHeight="1" x14ac:dyDescent="0.35">
      <c r="A5" s="39" t="s">
        <v>112</v>
      </c>
      <c r="B5" s="39" t="s">
        <v>166</v>
      </c>
      <c r="C5" s="39" t="s">
        <v>479</v>
      </c>
      <c r="D5" s="39" t="s">
        <v>657</v>
      </c>
      <c r="E5" s="26" t="s">
        <v>481</v>
      </c>
      <c r="F5" s="26" t="s">
        <v>482</v>
      </c>
      <c r="G5" s="26" t="s">
        <v>658</v>
      </c>
      <c r="H5" s="26" t="s">
        <v>659</v>
      </c>
      <c r="I5" s="26" t="s">
        <v>660</v>
      </c>
      <c r="J5" s="26" t="s">
        <v>661</v>
      </c>
      <c r="K5" s="26" t="s">
        <v>662</v>
      </c>
      <c r="L5" s="26" t="s">
        <v>663</v>
      </c>
      <c r="M5" s="4" t="s">
        <v>664</v>
      </c>
      <c r="N5" s="26" t="s">
        <v>665</v>
      </c>
      <c r="O5" s="26" t="s">
        <v>666</v>
      </c>
      <c r="P5" s="26" t="s">
        <v>667</v>
      </c>
      <c r="Q5" s="26" t="s">
        <v>668</v>
      </c>
      <c r="R5" s="26" t="s">
        <v>669</v>
      </c>
      <c r="S5" s="26" t="s">
        <v>670</v>
      </c>
      <c r="T5" s="26" t="s">
        <v>671</v>
      </c>
      <c r="U5" s="26" t="s">
        <v>672</v>
      </c>
      <c r="V5" s="26" t="s">
        <v>673</v>
      </c>
      <c r="W5" s="26" t="s">
        <v>674</v>
      </c>
      <c r="X5" s="26" t="s">
        <v>675</v>
      </c>
      <c r="Y5" s="26" t="s">
        <v>676</v>
      </c>
      <c r="Z5" s="26" t="s">
        <v>677</v>
      </c>
      <c r="AA5" s="26" t="s">
        <v>678</v>
      </c>
      <c r="AB5" s="26" t="s">
        <v>679</v>
      </c>
    </row>
    <row r="6" spans="1:28" ht="60" customHeight="1" x14ac:dyDescent="0.35">
      <c r="A6" s="40" t="s">
        <v>116</v>
      </c>
      <c r="B6" s="40" t="s">
        <v>166</v>
      </c>
      <c r="C6" s="40" t="s">
        <v>484</v>
      </c>
      <c r="D6" s="40" t="s">
        <v>657</v>
      </c>
      <c r="E6" s="26" t="s">
        <v>486</v>
      </c>
      <c r="F6" s="26" t="s">
        <v>487</v>
      </c>
      <c r="G6" s="26" t="s">
        <v>680</v>
      </c>
      <c r="H6" s="26" t="s">
        <v>681</v>
      </c>
      <c r="I6" s="26" t="s">
        <v>660</v>
      </c>
      <c r="J6" s="26" t="s">
        <v>661</v>
      </c>
      <c r="K6" s="26" t="s">
        <v>662</v>
      </c>
      <c r="L6" s="26" t="s">
        <v>663</v>
      </c>
      <c r="M6" s="4" t="s">
        <v>664</v>
      </c>
      <c r="N6" s="26" t="s">
        <v>682</v>
      </c>
      <c r="O6" s="26" t="s">
        <v>683</v>
      </c>
      <c r="P6" s="26" t="s">
        <v>684</v>
      </c>
      <c r="Q6" s="26" t="s">
        <v>685</v>
      </c>
      <c r="R6" s="26" t="s">
        <v>669</v>
      </c>
      <c r="S6" s="26" t="s">
        <v>670</v>
      </c>
      <c r="T6" s="26" t="s">
        <v>671</v>
      </c>
      <c r="U6" s="26" t="s">
        <v>672</v>
      </c>
      <c r="V6" s="26" t="s">
        <v>673</v>
      </c>
      <c r="W6" s="26" t="s">
        <v>686</v>
      </c>
      <c r="X6" s="26" t="s">
        <v>687</v>
      </c>
      <c r="Y6" s="26" t="s">
        <v>688</v>
      </c>
      <c r="Z6" s="26" t="s">
        <v>689</v>
      </c>
      <c r="AA6" s="26" t="s">
        <v>678</v>
      </c>
      <c r="AB6" s="26" t="s">
        <v>679</v>
      </c>
    </row>
    <row r="7" spans="1:28" ht="60" customHeight="1" x14ac:dyDescent="0.35">
      <c r="A7" s="39" t="s">
        <v>117</v>
      </c>
      <c r="B7" s="39" t="s">
        <v>166</v>
      </c>
      <c r="C7" s="39" t="s">
        <v>484</v>
      </c>
      <c r="D7" s="39" t="s">
        <v>657</v>
      </c>
      <c r="E7" s="26" t="s">
        <v>490</v>
      </c>
      <c r="F7" s="26" t="s">
        <v>491</v>
      </c>
      <c r="G7" s="26" t="s">
        <v>690</v>
      </c>
      <c r="H7" s="26" t="s">
        <v>691</v>
      </c>
      <c r="I7" s="26" t="s">
        <v>660</v>
      </c>
      <c r="J7" s="26" t="s">
        <v>661</v>
      </c>
      <c r="K7" s="26" t="s">
        <v>662</v>
      </c>
      <c r="L7" s="26" t="s">
        <v>663</v>
      </c>
      <c r="M7" s="4" t="s">
        <v>692</v>
      </c>
      <c r="N7" s="26" t="s">
        <v>693</v>
      </c>
      <c r="O7" s="26" t="s">
        <v>694</v>
      </c>
      <c r="P7" s="26" t="s">
        <v>695</v>
      </c>
      <c r="Q7" s="26" t="s">
        <v>696</v>
      </c>
      <c r="R7" s="26" t="s">
        <v>669</v>
      </c>
      <c r="S7" s="26" t="s">
        <v>670</v>
      </c>
      <c r="T7" s="26" t="s">
        <v>671</v>
      </c>
      <c r="U7" s="26" t="s">
        <v>672</v>
      </c>
      <c r="V7" s="26" t="s">
        <v>673</v>
      </c>
      <c r="W7" s="26" t="s">
        <v>697</v>
      </c>
      <c r="X7" s="26" t="s">
        <v>698</v>
      </c>
      <c r="Y7" s="26" t="s">
        <v>699</v>
      </c>
      <c r="Z7" s="26" t="s">
        <v>700</v>
      </c>
      <c r="AA7" s="26" t="s">
        <v>678</v>
      </c>
      <c r="AB7" s="26" t="s">
        <v>679</v>
      </c>
    </row>
    <row r="8" spans="1:28" ht="60" customHeight="1" x14ac:dyDescent="0.35">
      <c r="A8" s="40" t="s">
        <v>118</v>
      </c>
      <c r="B8" s="40" t="s">
        <v>166</v>
      </c>
      <c r="C8" s="40" t="s">
        <v>484</v>
      </c>
      <c r="D8" s="40" t="s">
        <v>657</v>
      </c>
      <c r="E8" s="26" t="s">
        <v>494</v>
      </c>
      <c r="F8" s="26" t="s">
        <v>495</v>
      </c>
      <c r="G8" s="26" t="s">
        <v>701</v>
      </c>
      <c r="H8" s="26" t="s">
        <v>702</v>
      </c>
      <c r="I8" s="26" t="s">
        <v>660</v>
      </c>
      <c r="J8" s="26" t="s">
        <v>661</v>
      </c>
      <c r="K8" s="26" t="s">
        <v>662</v>
      </c>
      <c r="L8" s="26" t="s">
        <v>663</v>
      </c>
      <c r="M8" s="4" t="s">
        <v>664</v>
      </c>
      <c r="N8" s="26" t="s">
        <v>703</v>
      </c>
      <c r="O8" s="26" t="s">
        <v>704</v>
      </c>
      <c r="P8" s="26" t="s">
        <v>705</v>
      </c>
      <c r="Q8" s="26" t="s">
        <v>706</v>
      </c>
      <c r="R8" s="26" t="s">
        <v>669</v>
      </c>
      <c r="S8" s="26" t="s">
        <v>670</v>
      </c>
      <c r="T8" s="26" t="s">
        <v>671</v>
      </c>
      <c r="U8" s="26" t="s">
        <v>672</v>
      </c>
      <c r="V8" s="26" t="s">
        <v>673</v>
      </c>
      <c r="W8" s="26" t="s">
        <v>707</v>
      </c>
      <c r="X8" s="26" t="s">
        <v>708</v>
      </c>
      <c r="Y8" s="26" t="s">
        <v>709</v>
      </c>
      <c r="Z8" s="26" t="s">
        <v>710</v>
      </c>
      <c r="AA8" s="26" t="s">
        <v>678</v>
      </c>
      <c r="AB8" s="26" t="s">
        <v>679</v>
      </c>
    </row>
    <row r="9" spans="1:28" ht="60" customHeight="1" x14ac:dyDescent="0.35">
      <c r="A9" s="39" t="s">
        <v>119</v>
      </c>
      <c r="B9" s="39" t="s">
        <v>166</v>
      </c>
      <c r="C9" s="39" t="s">
        <v>484</v>
      </c>
      <c r="D9" s="39" t="s">
        <v>657</v>
      </c>
      <c r="E9" s="26" t="s">
        <v>498</v>
      </c>
      <c r="F9" s="26" t="s">
        <v>499</v>
      </c>
      <c r="G9" s="26" t="s">
        <v>711</v>
      </c>
      <c r="H9" s="26" t="s">
        <v>712</v>
      </c>
      <c r="I9" s="26" t="s">
        <v>660</v>
      </c>
      <c r="J9" s="26" t="s">
        <v>661</v>
      </c>
      <c r="K9" s="26" t="s">
        <v>662</v>
      </c>
      <c r="L9" s="26" t="s">
        <v>663</v>
      </c>
      <c r="M9" s="4" t="s">
        <v>664</v>
      </c>
      <c r="N9" s="26" t="s">
        <v>713</v>
      </c>
      <c r="O9" s="26" t="s">
        <v>714</v>
      </c>
      <c r="P9" s="26" t="s">
        <v>715</v>
      </c>
      <c r="Q9" s="26" t="s">
        <v>716</v>
      </c>
      <c r="R9" s="26" t="s">
        <v>669</v>
      </c>
      <c r="S9" s="26" t="s">
        <v>670</v>
      </c>
      <c r="T9" s="26" t="s">
        <v>671</v>
      </c>
      <c r="U9" s="26" t="s">
        <v>672</v>
      </c>
      <c r="V9" s="26" t="s">
        <v>673</v>
      </c>
      <c r="W9" s="26" t="s">
        <v>717</v>
      </c>
      <c r="X9" s="26" t="s">
        <v>718</v>
      </c>
      <c r="Y9" s="26" t="s">
        <v>719</v>
      </c>
      <c r="Z9" s="26" t="s">
        <v>720</v>
      </c>
      <c r="AA9" s="26" t="s">
        <v>678</v>
      </c>
      <c r="AB9" s="26" t="s">
        <v>679</v>
      </c>
    </row>
    <row r="10" spans="1:28" ht="60" customHeight="1" x14ac:dyDescent="0.35">
      <c r="A10" s="40" t="s">
        <v>120</v>
      </c>
      <c r="B10" s="40" t="s">
        <v>167</v>
      </c>
      <c r="C10" s="40" t="s">
        <v>479</v>
      </c>
      <c r="D10" s="40" t="s">
        <v>721</v>
      </c>
      <c r="E10" s="26" t="s">
        <v>502</v>
      </c>
      <c r="F10" s="26" t="s">
        <v>503</v>
      </c>
      <c r="G10" s="26" t="s">
        <v>722</v>
      </c>
      <c r="H10" s="26" t="s">
        <v>723</v>
      </c>
      <c r="I10" s="26" t="s">
        <v>660</v>
      </c>
      <c r="J10" s="26" t="s">
        <v>661</v>
      </c>
      <c r="K10" s="26" t="s">
        <v>662</v>
      </c>
      <c r="L10" s="26" t="s">
        <v>663</v>
      </c>
      <c r="M10" s="4" t="s">
        <v>692</v>
      </c>
      <c r="N10" s="26" t="s">
        <v>724</v>
      </c>
      <c r="O10" s="26" t="s">
        <v>725</v>
      </c>
      <c r="P10" s="26" t="s">
        <v>726</v>
      </c>
      <c r="Q10" s="26" t="s">
        <v>727</v>
      </c>
      <c r="R10" s="26" t="s">
        <v>728</v>
      </c>
      <c r="S10" s="26" t="s">
        <v>729</v>
      </c>
      <c r="T10" s="26" t="s">
        <v>730</v>
      </c>
      <c r="U10" s="26" t="s">
        <v>731</v>
      </c>
      <c r="V10" s="26" t="s">
        <v>732</v>
      </c>
      <c r="W10" s="26" t="s">
        <v>733</v>
      </c>
      <c r="X10" s="26" t="s">
        <v>734</v>
      </c>
      <c r="Y10" s="26" t="s">
        <v>735</v>
      </c>
      <c r="Z10" s="26" t="s">
        <v>736</v>
      </c>
      <c r="AA10" s="26" t="s">
        <v>678</v>
      </c>
      <c r="AB10" s="26" t="s">
        <v>679</v>
      </c>
    </row>
    <row r="11" spans="1:28" ht="60" customHeight="1" x14ac:dyDescent="0.35">
      <c r="A11" s="39" t="s">
        <v>121</v>
      </c>
      <c r="B11" s="39" t="s">
        <v>167</v>
      </c>
      <c r="C11" s="39" t="s">
        <v>484</v>
      </c>
      <c r="D11" s="39" t="s">
        <v>721</v>
      </c>
      <c r="E11" s="26" t="s">
        <v>506</v>
      </c>
      <c r="F11" s="26" t="s">
        <v>507</v>
      </c>
      <c r="G11" s="26" t="s">
        <v>737</v>
      </c>
      <c r="H11" s="26" t="s">
        <v>738</v>
      </c>
      <c r="I11" s="26" t="s">
        <v>660</v>
      </c>
      <c r="J11" s="26" t="s">
        <v>661</v>
      </c>
      <c r="K11" s="26" t="s">
        <v>662</v>
      </c>
      <c r="L11" s="26" t="s">
        <v>663</v>
      </c>
      <c r="M11" s="4" t="s">
        <v>692</v>
      </c>
      <c r="N11" s="26" t="s">
        <v>739</v>
      </c>
      <c r="O11" s="26" t="s">
        <v>740</v>
      </c>
      <c r="P11" s="26" t="s">
        <v>741</v>
      </c>
      <c r="Q11" s="26" t="s">
        <v>742</v>
      </c>
      <c r="R11" s="26" t="s">
        <v>728</v>
      </c>
      <c r="S11" s="26" t="s">
        <v>729</v>
      </c>
      <c r="T11" s="26" t="s">
        <v>730</v>
      </c>
      <c r="U11" s="26" t="s">
        <v>731</v>
      </c>
      <c r="V11" s="26" t="s">
        <v>732</v>
      </c>
      <c r="W11" s="26" t="s">
        <v>743</v>
      </c>
      <c r="X11" s="26" t="s">
        <v>744</v>
      </c>
      <c r="Y11" s="26" t="s">
        <v>745</v>
      </c>
      <c r="Z11" s="26" t="s">
        <v>746</v>
      </c>
      <c r="AA11" s="26" t="s">
        <v>678</v>
      </c>
      <c r="AB11" s="26" t="s">
        <v>679</v>
      </c>
    </row>
    <row r="12" spans="1:28" ht="60" customHeight="1" x14ac:dyDescent="0.35">
      <c r="A12" s="40" t="s">
        <v>122</v>
      </c>
      <c r="B12" s="40" t="s">
        <v>167</v>
      </c>
      <c r="C12" s="40" t="s">
        <v>484</v>
      </c>
      <c r="D12" s="40" t="s">
        <v>721</v>
      </c>
      <c r="E12" s="26" t="s">
        <v>510</v>
      </c>
      <c r="F12" s="26" t="s">
        <v>511</v>
      </c>
      <c r="G12" s="26" t="s">
        <v>747</v>
      </c>
      <c r="H12" s="26" t="s">
        <v>748</v>
      </c>
      <c r="I12" s="26" t="s">
        <v>660</v>
      </c>
      <c r="J12" s="26" t="s">
        <v>661</v>
      </c>
      <c r="K12" s="26" t="s">
        <v>662</v>
      </c>
      <c r="L12" s="26" t="s">
        <v>663</v>
      </c>
      <c r="M12" s="4" t="s">
        <v>664</v>
      </c>
      <c r="N12" s="26" t="s">
        <v>749</v>
      </c>
      <c r="O12" s="26" t="s">
        <v>750</v>
      </c>
      <c r="P12" s="26" t="s">
        <v>751</v>
      </c>
      <c r="Q12" s="26" t="s">
        <v>752</v>
      </c>
      <c r="R12" s="26" t="s">
        <v>728</v>
      </c>
      <c r="S12" s="26" t="s">
        <v>729</v>
      </c>
      <c r="T12" s="26" t="s">
        <v>730</v>
      </c>
      <c r="U12" s="26" t="s">
        <v>731</v>
      </c>
      <c r="V12" s="26" t="s">
        <v>732</v>
      </c>
      <c r="W12" s="26" t="s">
        <v>753</v>
      </c>
      <c r="X12" s="26" t="s">
        <v>754</v>
      </c>
      <c r="Y12" s="26" t="s">
        <v>755</v>
      </c>
      <c r="Z12" s="26" t="s">
        <v>756</v>
      </c>
      <c r="AA12" s="26" t="s">
        <v>678</v>
      </c>
      <c r="AB12" s="26" t="s">
        <v>679</v>
      </c>
    </row>
    <row r="13" spans="1:28" ht="60" customHeight="1" x14ac:dyDescent="0.35">
      <c r="A13" s="39" t="s">
        <v>123</v>
      </c>
      <c r="B13" s="39" t="s">
        <v>167</v>
      </c>
      <c r="C13" s="39" t="s">
        <v>479</v>
      </c>
      <c r="D13" s="39" t="s">
        <v>757</v>
      </c>
      <c r="E13" s="26" t="s">
        <v>514</v>
      </c>
      <c r="F13" s="26" t="s">
        <v>515</v>
      </c>
      <c r="G13" s="26" t="s">
        <v>758</v>
      </c>
      <c r="H13" s="26" t="s">
        <v>759</v>
      </c>
      <c r="I13" s="26" t="s">
        <v>660</v>
      </c>
      <c r="J13" s="26" t="s">
        <v>661</v>
      </c>
      <c r="K13" s="26" t="s">
        <v>662</v>
      </c>
      <c r="L13" s="26" t="s">
        <v>663</v>
      </c>
      <c r="M13" s="4" t="s">
        <v>692</v>
      </c>
      <c r="N13" s="26" t="s">
        <v>760</v>
      </c>
      <c r="O13" s="26" t="s">
        <v>761</v>
      </c>
      <c r="P13" s="26" t="s">
        <v>762</v>
      </c>
      <c r="Q13" s="26" t="s">
        <v>763</v>
      </c>
      <c r="R13" s="26" t="s">
        <v>728</v>
      </c>
      <c r="S13" s="26" t="s">
        <v>729</v>
      </c>
      <c r="T13" s="26" t="s">
        <v>730</v>
      </c>
      <c r="U13" s="26" t="s">
        <v>731</v>
      </c>
      <c r="V13" s="26" t="s">
        <v>732</v>
      </c>
      <c r="W13" s="26" t="s">
        <v>764</v>
      </c>
      <c r="X13" s="26" t="s">
        <v>765</v>
      </c>
      <c r="Y13" s="26" t="s">
        <v>766</v>
      </c>
      <c r="Z13" s="26" t="s">
        <v>767</v>
      </c>
      <c r="AA13" s="26" t="s">
        <v>678</v>
      </c>
      <c r="AB13" s="26" t="s">
        <v>679</v>
      </c>
    </row>
    <row r="14" spans="1:28" ht="60" customHeight="1" x14ac:dyDescent="0.35">
      <c r="A14" s="40" t="s">
        <v>124</v>
      </c>
      <c r="B14" s="40" t="s">
        <v>167</v>
      </c>
      <c r="C14" s="40" t="s">
        <v>484</v>
      </c>
      <c r="D14" s="40" t="s">
        <v>721</v>
      </c>
      <c r="E14" s="26" t="s">
        <v>518</v>
      </c>
      <c r="F14" s="26" t="s">
        <v>519</v>
      </c>
      <c r="G14" s="26" t="s">
        <v>768</v>
      </c>
      <c r="H14" s="26" t="s">
        <v>769</v>
      </c>
      <c r="I14" s="26" t="s">
        <v>660</v>
      </c>
      <c r="J14" s="26" t="s">
        <v>661</v>
      </c>
      <c r="K14" s="26" t="s">
        <v>662</v>
      </c>
      <c r="L14" s="26" t="s">
        <v>663</v>
      </c>
      <c r="M14" s="4" t="s">
        <v>664</v>
      </c>
      <c r="N14" s="26" t="s">
        <v>770</v>
      </c>
      <c r="O14" s="26" t="s">
        <v>771</v>
      </c>
      <c r="P14" s="26" t="s">
        <v>772</v>
      </c>
      <c r="Q14" s="26" t="s">
        <v>773</v>
      </c>
      <c r="R14" s="26" t="s">
        <v>728</v>
      </c>
      <c r="S14" s="26" t="s">
        <v>729</v>
      </c>
      <c r="T14" s="26" t="s">
        <v>730</v>
      </c>
      <c r="U14" s="26" t="s">
        <v>731</v>
      </c>
      <c r="V14" s="26" t="s">
        <v>732</v>
      </c>
      <c r="W14" s="26" t="s">
        <v>774</v>
      </c>
      <c r="X14" s="26" t="s">
        <v>775</v>
      </c>
      <c r="Y14" s="26" t="s">
        <v>776</v>
      </c>
      <c r="Z14" s="26" t="s">
        <v>777</v>
      </c>
      <c r="AA14" s="26" t="s">
        <v>678</v>
      </c>
      <c r="AB14" s="26" t="s">
        <v>679</v>
      </c>
    </row>
    <row r="15" spans="1:28" ht="60" customHeight="1" x14ac:dyDescent="0.35">
      <c r="A15" s="39" t="s">
        <v>125</v>
      </c>
      <c r="B15" s="39" t="s">
        <v>168</v>
      </c>
      <c r="C15" s="39" t="s">
        <v>484</v>
      </c>
      <c r="D15" s="39" t="s">
        <v>778</v>
      </c>
      <c r="E15" s="26" t="s">
        <v>522</v>
      </c>
      <c r="F15" s="26" t="s">
        <v>523</v>
      </c>
      <c r="G15" s="26" t="s">
        <v>779</v>
      </c>
      <c r="H15" s="26" t="s">
        <v>780</v>
      </c>
      <c r="I15" s="26" t="s">
        <v>660</v>
      </c>
      <c r="J15" s="26" t="s">
        <v>661</v>
      </c>
      <c r="K15" s="26" t="s">
        <v>662</v>
      </c>
      <c r="L15" s="26" t="s">
        <v>663</v>
      </c>
      <c r="M15" s="4" t="s">
        <v>664</v>
      </c>
      <c r="N15" s="26" t="s">
        <v>781</v>
      </c>
      <c r="O15" s="26" t="s">
        <v>782</v>
      </c>
      <c r="P15" s="26" t="s">
        <v>783</v>
      </c>
      <c r="Q15" s="26" t="s">
        <v>784</v>
      </c>
      <c r="R15" s="26" t="s">
        <v>785</v>
      </c>
      <c r="S15" s="26" t="s">
        <v>786</v>
      </c>
      <c r="T15" s="26" t="s">
        <v>787</v>
      </c>
      <c r="U15" s="26" t="s">
        <v>788</v>
      </c>
      <c r="V15" s="26" t="s">
        <v>789</v>
      </c>
      <c r="W15" s="26" t="s">
        <v>790</v>
      </c>
      <c r="X15" s="26" t="s">
        <v>791</v>
      </c>
      <c r="Y15" s="26" t="s">
        <v>792</v>
      </c>
      <c r="Z15" s="26" t="s">
        <v>793</v>
      </c>
      <c r="AA15" s="26" t="s">
        <v>678</v>
      </c>
      <c r="AB15" s="26" t="s">
        <v>679</v>
      </c>
    </row>
    <row r="16" spans="1:28" ht="60" customHeight="1" x14ac:dyDescent="0.35">
      <c r="A16" s="40" t="s">
        <v>126</v>
      </c>
      <c r="B16" s="40" t="s">
        <v>168</v>
      </c>
      <c r="C16" s="40" t="s">
        <v>484</v>
      </c>
      <c r="D16" s="40" t="s">
        <v>778</v>
      </c>
      <c r="E16" s="26" t="s">
        <v>525</v>
      </c>
      <c r="F16" s="26" t="s">
        <v>526</v>
      </c>
      <c r="G16" s="26" t="s">
        <v>794</v>
      </c>
      <c r="H16" s="26" t="s">
        <v>795</v>
      </c>
      <c r="I16" s="26" t="s">
        <v>660</v>
      </c>
      <c r="J16" s="26" t="s">
        <v>661</v>
      </c>
      <c r="K16" s="26" t="s">
        <v>662</v>
      </c>
      <c r="L16" s="26" t="s">
        <v>663</v>
      </c>
      <c r="M16" s="4" t="s">
        <v>664</v>
      </c>
      <c r="N16" s="26" t="s">
        <v>796</v>
      </c>
      <c r="O16" s="26" t="s">
        <v>797</v>
      </c>
      <c r="P16" s="26" t="s">
        <v>798</v>
      </c>
      <c r="Q16" s="26" t="s">
        <v>799</v>
      </c>
      <c r="R16" s="26" t="s">
        <v>785</v>
      </c>
      <c r="S16" s="26" t="s">
        <v>786</v>
      </c>
      <c r="T16" s="26" t="s">
        <v>787</v>
      </c>
      <c r="U16" s="26" t="s">
        <v>788</v>
      </c>
      <c r="V16" s="26" t="s">
        <v>789</v>
      </c>
      <c r="W16" s="26" t="s">
        <v>800</v>
      </c>
      <c r="X16" s="26" t="s">
        <v>801</v>
      </c>
      <c r="Y16" s="26" t="s">
        <v>802</v>
      </c>
      <c r="Z16" s="26" t="s">
        <v>803</v>
      </c>
      <c r="AA16" s="26" t="s">
        <v>678</v>
      </c>
      <c r="AB16" s="26" t="s">
        <v>679</v>
      </c>
    </row>
    <row r="17" spans="1:28" ht="60" customHeight="1" x14ac:dyDescent="0.35">
      <c r="A17" s="39" t="s">
        <v>127</v>
      </c>
      <c r="B17" s="39" t="s">
        <v>168</v>
      </c>
      <c r="C17" s="39" t="s">
        <v>479</v>
      </c>
      <c r="D17" s="39" t="s">
        <v>804</v>
      </c>
      <c r="E17" s="26" t="s">
        <v>529</v>
      </c>
      <c r="F17" s="26" t="s">
        <v>530</v>
      </c>
      <c r="G17" s="26" t="s">
        <v>805</v>
      </c>
      <c r="H17" s="26" t="s">
        <v>806</v>
      </c>
      <c r="I17" s="26" t="s">
        <v>660</v>
      </c>
      <c r="J17" s="26" t="s">
        <v>661</v>
      </c>
      <c r="K17" s="26" t="s">
        <v>662</v>
      </c>
      <c r="L17" s="26" t="s">
        <v>663</v>
      </c>
      <c r="M17" s="4" t="s">
        <v>664</v>
      </c>
      <c r="N17" s="26" t="s">
        <v>807</v>
      </c>
      <c r="O17" s="26" t="s">
        <v>808</v>
      </c>
      <c r="P17" s="26" t="s">
        <v>809</v>
      </c>
      <c r="Q17" s="26" t="s">
        <v>810</v>
      </c>
      <c r="R17" s="26" t="s">
        <v>785</v>
      </c>
      <c r="S17" s="26" t="s">
        <v>786</v>
      </c>
      <c r="T17" s="26" t="s">
        <v>787</v>
      </c>
      <c r="U17" s="26" t="s">
        <v>788</v>
      </c>
      <c r="V17" s="26" t="s">
        <v>789</v>
      </c>
      <c r="W17" s="26" t="s">
        <v>811</v>
      </c>
      <c r="X17" s="26" t="s">
        <v>812</v>
      </c>
      <c r="Y17" s="26" t="s">
        <v>813</v>
      </c>
      <c r="Z17" s="26" t="s">
        <v>814</v>
      </c>
      <c r="AA17" s="26" t="s">
        <v>678</v>
      </c>
      <c r="AB17" s="26" t="s">
        <v>679</v>
      </c>
    </row>
    <row r="18" spans="1:28" ht="60" customHeight="1" x14ac:dyDescent="0.35">
      <c r="A18" s="40" t="s">
        <v>129</v>
      </c>
      <c r="B18" s="40" t="s">
        <v>168</v>
      </c>
      <c r="C18" s="40" t="s">
        <v>484</v>
      </c>
      <c r="D18" s="40" t="s">
        <v>778</v>
      </c>
      <c r="E18" s="26" t="s">
        <v>533</v>
      </c>
      <c r="F18" s="26" t="s">
        <v>534</v>
      </c>
      <c r="G18" s="26" t="s">
        <v>815</v>
      </c>
      <c r="H18" s="26" t="s">
        <v>816</v>
      </c>
      <c r="I18" s="26" t="s">
        <v>660</v>
      </c>
      <c r="J18" s="26" t="s">
        <v>661</v>
      </c>
      <c r="K18" s="26" t="s">
        <v>662</v>
      </c>
      <c r="L18" s="26" t="s">
        <v>663</v>
      </c>
      <c r="M18" s="4" t="s">
        <v>664</v>
      </c>
      <c r="N18" s="26" t="s">
        <v>817</v>
      </c>
      <c r="O18" s="26" t="s">
        <v>818</v>
      </c>
      <c r="P18" s="26" t="s">
        <v>819</v>
      </c>
      <c r="Q18" s="26" t="s">
        <v>820</v>
      </c>
      <c r="R18" s="26" t="s">
        <v>785</v>
      </c>
      <c r="S18" s="26" t="s">
        <v>786</v>
      </c>
      <c r="T18" s="26" t="s">
        <v>787</v>
      </c>
      <c r="U18" s="26" t="s">
        <v>788</v>
      </c>
      <c r="V18" s="26" t="s">
        <v>789</v>
      </c>
      <c r="W18" s="26" t="s">
        <v>821</v>
      </c>
      <c r="X18" s="26" t="s">
        <v>822</v>
      </c>
      <c r="Y18" s="26" t="s">
        <v>823</v>
      </c>
      <c r="Z18" s="26" t="s">
        <v>824</v>
      </c>
      <c r="AA18" s="26" t="s">
        <v>678</v>
      </c>
      <c r="AB18" s="26" t="s">
        <v>679</v>
      </c>
    </row>
    <row r="19" spans="1:28" ht="60" customHeight="1" x14ac:dyDescent="0.35">
      <c r="A19" s="39" t="s">
        <v>130</v>
      </c>
      <c r="B19" s="39" t="s">
        <v>168</v>
      </c>
      <c r="C19" s="39" t="s">
        <v>484</v>
      </c>
      <c r="D19" s="39" t="s">
        <v>778</v>
      </c>
      <c r="E19" s="26" t="s">
        <v>537</v>
      </c>
      <c r="F19" s="26" t="s">
        <v>538</v>
      </c>
      <c r="G19" s="26" t="s">
        <v>825</v>
      </c>
      <c r="H19" s="26" t="s">
        <v>826</v>
      </c>
      <c r="I19" s="26" t="s">
        <v>660</v>
      </c>
      <c r="J19" s="26" t="s">
        <v>661</v>
      </c>
      <c r="K19" s="26" t="s">
        <v>662</v>
      </c>
      <c r="L19" s="26" t="s">
        <v>663</v>
      </c>
      <c r="M19" s="4" t="s">
        <v>827</v>
      </c>
      <c r="N19" s="26" t="s">
        <v>828</v>
      </c>
      <c r="O19" s="26" t="s">
        <v>829</v>
      </c>
      <c r="P19" s="26" t="s">
        <v>830</v>
      </c>
      <c r="Q19" s="26" t="s">
        <v>831</v>
      </c>
      <c r="R19" s="26" t="s">
        <v>785</v>
      </c>
      <c r="S19" s="26" t="s">
        <v>786</v>
      </c>
      <c r="T19" s="26" t="s">
        <v>787</v>
      </c>
      <c r="U19" s="26" t="s">
        <v>788</v>
      </c>
      <c r="V19" s="26" t="s">
        <v>789</v>
      </c>
      <c r="W19" s="26" t="s">
        <v>832</v>
      </c>
      <c r="X19" s="26" t="s">
        <v>833</v>
      </c>
      <c r="Y19" s="26" t="s">
        <v>834</v>
      </c>
      <c r="Z19" s="26" t="s">
        <v>835</v>
      </c>
      <c r="AA19" s="26" t="s">
        <v>678</v>
      </c>
      <c r="AB19" s="26" t="s">
        <v>679</v>
      </c>
    </row>
    <row r="20" spans="1:28" ht="60" customHeight="1" x14ac:dyDescent="0.35">
      <c r="A20" s="40" t="s">
        <v>131</v>
      </c>
      <c r="B20" s="40" t="s">
        <v>169</v>
      </c>
      <c r="C20" s="40" t="s">
        <v>479</v>
      </c>
      <c r="D20" s="40" t="s">
        <v>836</v>
      </c>
      <c r="E20" s="26" t="s">
        <v>541</v>
      </c>
      <c r="F20" s="26" t="s">
        <v>542</v>
      </c>
      <c r="G20" s="26" t="s">
        <v>837</v>
      </c>
      <c r="H20" s="26" t="s">
        <v>838</v>
      </c>
      <c r="I20" s="26" t="s">
        <v>660</v>
      </c>
      <c r="J20" s="26" t="s">
        <v>661</v>
      </c>
      <c r="K20" s="26" t="s">
        <v>662</v>
      </c>
      <c r="L20" s="26" t="s">
        <v>663</v>
      </c>
      <c r="M20" s="4" t="s">
        <v>839</v>
      </c>
      <c r="N20" s="26" t="s">
        <v>840</v>
      </c>
      <c r="O20" s="26" t="s">
        <v>841</v>
      </c>
      <c r="P20" s="26" t="s">
        <v>842</v>
      </c>
      <c r="Q20" s="26" t="s">
        <v>843</v>
      </c>
      <c r="R20" s="26" t="s">
        <v>844</v>
      </c>
      <c r="S20" s="26" t="s">
        <v>845</v>
      </c>
      <c r="T20" s="26" t="s">
        <v>846</v>
      </c>
      <c r="U20" s="26" t="s">
        <v>847</v>
      </c>
      <c r="V20" s="26" t="s">
        <v>848</v>
      </c>
      <c r="W20" s="26" t="s">
        <v>849</v>
      </c>
      <c r="X20" s="26" t="s">
        <v>850</v>
      </c>
      <c r="Y20" s="26" t="s">
        <v>851</v>
      </c>
      <c r="Z20" s="26" t="s">
        <v>852</v>
      </c>
      <c r="AA20" s="26" t="s">
        <v>678</v>
      </c>
      <c r="AB20" s="26" t="s">
        <v>679</v>
      </c>
    </row>
    <row r="21" spans="1:28" ht="60" customHeight="1" x14ac:dyDescent="0.35">
      <c r="A21" s="39" t="s">
        <v>133</v>
      </c>
      <c r="B21" s="39" t="s">
        <v>169</v>
      </c>
      <c r="C21" s="39" t="s">
        <v>479</v>
      </c>
      <c r="D21" s="39" t="s">
        <v>853</v>
      </c>
      <c r="E21" s="26" t="s">
        <v>545</v>
      </c>
      <c r="F21" s="26" t="s">
        <v>546</v>
      </c>
      <c r="G21" s="26" t="s">
        <v>854</v>
      </c>
      <c r="H21" s="26" t="s">
        <v>855</v>
      </c>
      <c r="I21" s="26" t="s">
        <v>660</v>
      </c>
      <c r="J21" s="26" t="s">
        <v>661</v>
      </c>
      <c r="K21" s="26" t="s">
        <v>662</v>
      </c>
      <c r="L21" s="26" t="s">
        <v>663</v>
      </c>
      <c r="M21" s="4" t="s">
        <v>839</v>
      </c>
      <c r="N21" s="26" t="s">
        <v>856</v>
      </c>
      <c r="O21" s="26" t="s">
        <v>857</v>
      </c>
      <c r="P21" s="26" t="s">
        <v>858</v>
      </c>
      <c r="Q21" s="26" t="s">
        <v>859</v>
      </c>
      <c r="R21" s="26" t="s">
        <v>844</v>
      </c>
      <c r="S21" s="26" t="s">
        <v>845</v>
      </c>
      <c r="T21" s="26" t="s">
        <v>846</v>
      </c>
      <c r="U21" s="26" t="s">
        <v>847</v>
      </c>
      <c r="V21" s="26" t="s">
        <v>848</v>
      </c>
      <c r="W21" s="26" t="s">
        <v>860</v>
      </c>
      <c r="X21" s="26" t="s">
        <v>861</v>
      </c>
      <c r="Y21" s="26" t="s">
        <v>862</v>
      </c>
      <c r="Z21" s="26" t="s">
        <v>863</v>
      </c>
      <c r="AA21" s="26" t="s">
        <v>678</v>
      </c>
      <c r="AB21" s="26" t="s">
        <v>679</v>
      </c>
    </row>
    <row r="22" spans="1:28" ht="60" customHeight="1" x14ac:dyDescent="0.35">
      <c r="A22" s="40" t="s">
        <v>134</v>
      </c>
      <c r="B22" s="40" t="s">
        <v>169</v>
      </c>
      <c r="C22" s="40" t="s">
        <v>484</v>
      </c>
      <c r="D22" s="40" t="s">
        <v>864</v>
      </c>
      <c r="E22" s="26" t="s">
        <v>549</v>
      </c>
      <c r="F22" s="26" t="s">
        <v>550</v>
      </c>
      <c r="G22" s="26" t="s">
        <v>865</v>
      </c>
      <c r="H22" s="26" t="s">
        <v>866</v>
      </c>
      <c r="I22" s="26" t="s">
        <v>660</v>
      </c>
      <c r="J22" s="26" t="s">
        <v>661</v>
      </c>
      <c r="K22" s="26" t="s">
        <v>662</v>
      </c>
      <c r="L22" s="26" t="s">
        <v>663</v>
      </c>
      <c r="M22" s="4" t="s">
        <v>692</v>
      </c>
      <c r="N22" s="26" t="s">
        <v>867</v>
      </c>
      <c r="O22" s="26" t="s">
        <v>868</v>
      </c>
      <c r="P22" s="26" t="s">
        <v>869</v>
      </c>
      <c r="Q22" s="26" t="s">
        <v>870</v>
      </c>
      <c r="R22" s="26" t="s">
        <v>844</v>
      </c>
      <c r="S22" s="26" t="s">
        <v>845</v>
      </c>
      <c r="T22" s="26" t="s">
        <v>846</v>
      </c>
      <c r="U22" s="26" t="s">
        <v>847</v>
      </c>
      <c r="V22" s="26" t="s">
        <v>848</v>
      </c>
      <c r="W22" s="26" t="s">
        <v>871</v>
      </c>
      <c r="X22" s="26" t="s">
        <v>872</v>
      </c>
      <c r="Y22" s="26" t="s">
        <v>873</v>
      </c>
      <c r="Z22" s="26" t="s">
        <v>874</v>
      </c>
      <c r="AA22" s="26" t="s">
        <v>678</v>
      </c>
      <c r="AB22" s="26" t="s">
        <v>679</v>
      </c>
    </row>
    <row r="23" spans="1:28" ht="60" customHeight="1" x14ac:dyDescent="0.35">
      <c r="A23" s="39" t="s">
        <v>135</v>
      </c>
      <c r="B23" s="39" t="s">
        <v>169</v>
      </c>
      <c r="C23" s="39" t="s">
        <v>479</v>
      </c>
      <c r="D23" s="39" t="s">
        <v>875</v>
      </c>
      <c r="E23" s="26" t="s">
        <v>553</v>
      </c>
      <c r="F23" s="26" t="s">
        <v>554</v>
      </c>
      <c r="G23" s="26" t="s">
        <v>876</v>
      </c>
      <c r="H23" s="26" t="s">
        <v>877</v>
      </c>
      <c r="I23" s="26" t="s">
        <v>660</v>
      </c>
      <c r="J23" s="26" t="s">
        <v>661</v>
      </c>
      <c r="K23" s="26" t="s">
        <v>662</v>
      </c>
      <c r="L23" s="26" t="s">
        <v>663</v>
      </c>
      <c r="M23" s="4" t="s">
        <v>827</v>
      </c>
      <c r="N23" s="26" t="s">
        <v>878</v>
      </c>
      <c r="O23" s="26" t="s">
        <v>879</v>
      </c>
      <c r="P23" s="26" t="s">
        <v>880</v>
      </c>
      <c r="Q23" s="26" t="s">
        <v>881</v>
      </c>
      <c r="R23" s="26" t="s">
        <v>844</v>
      </c>
      <c r="S23" s="26" t="s">
        <v>845</v>
      </c>
      <c r="T23" s="26" t="s">
        <v>846</v>
      </c>
      <c r="U23" s="26" t="s">
        <v>847</v>
      </c>
      <c r="V23" s="26" t="s">
        <v>848</v>
      </c>
      <c r="W23" s="26" t="s">
        <v>882</v>
      </c>
      <c r="X23" s="26" t="s">
        <v>883</v>
      </c>
      <c r="Y23" s="26" t="s">
        <v>884</v>
      </c>
      <c r="Z23" s="26" t="s">
        <v>885</v>
      </c>
      <c r="AA23" s="26" t="s">
        <v>678</v>
      </c>
      <c r="AB23" s="26" t="s">
        <v>679</v>
      </c>
    </row>
    <row r="24" spans="1:28" ht="60" customHeight="1" x14ac:dyDescent="0.35">
      <c r="A24" s="40" t="s">
        <v>136</v>
      </c>
      <c r="B24" s="40" t="s">
        <v>169</v>
      </c>
      <c r="C24" s="40" t="s">
        <v>484</v>
      </c>
      <c r="D24" s="40" t="s">
        <v>864</v>
      </c>
      <c r="E24" s="26" t="s">
        <v>557</v>
      </c>
      <c r="F24" s="26" t="s">
        <v>558</v>
      </c>
      <c r="G24" s="26" t="s">
        <v>886</v>
      </c>
      <c r="H24" s="26" t="s">
        <v>887</v>
      </c>
      <c r="I24" s="26" t="s">
        <v>660</v>
      </c>
      <c r="J24" s="26" t="s">
        <v>661</v>
      </c>
      <c r="K24" s="26" t="s">
        <v>662</v>
      </c>
      <c r="L24" s="26" t="s">
        <v>663</v>
      </c>
      <c r="M24" s="4" t="s">
        <v>839</v>
      </c>
      <c r="N24" s="26" t="s">
        <v>888</v>
      </c>
      <c r="O24" s="26" t="s">
        <v>889</v>
      </c>
      <c r="P24" s="26" t="s">
        <v>890</v>
      </c>
      <c r="Q24" s="26" t="s">
        <v>891</v>
      </c>
      <c r="R24" s="26" t="s">
        <v>844</v>
      </c>
      <c r="S24" s="26" t="s">
        <v>845</v>
      </c>
      <c r="T24" s="26" t="s">
        <v>846</v>
      </c>
      <c r="U24" s="26" t="s">
        <v>847</v>
      </c>
      <c r="V24" s="26" t="s">
        <v>848</v>
      </c>
      <c r="W24" s="26" t="s">
        <v>892</v>
      </c>
      <c r="X24" s="26" t="s">
        <v>893</v>
      </c>
      <c r="Y24" s="26" t="s">
        <v>894</v>
      </c>
      <c r="Z24" s="26" t="s">
        <v>895</v>
      </c>
      <c r="AA24" s="26" t="s">
        <v>678</v>
      </c>
      <c r="AB24" s="26" t="s">
        <v>679</v>
      </c>
    </row>
    <row r="25" spans="1:28" ht="60" customHeight="1" x14ac:dyDescent="0.35">
      <c r="A25" s="39" t="s">
        <v>137</v>
      </c>
      <c r="B25" s="39" t="s">
        <v>170</v>
      </c>
      <c r="C25" s="39" t="s">
        <v>479</v>
      </c>
      <c r="D25" s="39" t="s">
        <v>896</v>
      </c>
      <c r="E25" s="26" t="s">
        <v>561</v>
      </c>
      <c r="F25" s="26" t="s">
        <v>562</v>
      </c>
      <c r="G25" s="26" t="s">
        <v>897</v>
      </c>
      <c r="H25" s="26" t="s">
        <v>898</v>
      </c>
      <c r="I25" s="26" t="s">
        <v>660</v>
      </c>
      <c r="J25" s="26" t="s">
        <v>661</v>
      </c>
      <c r="K25" s="26" t="s">
        <v>662</v>
      </c>
      <c r="L25" s="26" t="s">
        <v>663</v>
      </c>
      <c r="M25" s="4" t="s">
        <v>664</v>
      </c>
      <c r="N25" s="26" t="s">
        <v>899</v>
      </c>
      <c r="O25" s="26" t="s">
        <v>900</v>
      </c>
      <c r="P25" s="26" t="s">
        <v>901</v>
      </c>
      <c r="Q25" s="26" t="s">
        <v>902</v>
      </c>
      <c r="R25" s="26" t="s">
        <v>903</v>
      </c>
      <c r="S25" s="26" t="s">
        <v>904</v>
      </c>
      <c r="T25" s="26" t="s">
        <v>905</v>
      </c>
      <c r="U25" s="26" t="s">
        <v>906</v>
      </c>
      <c r="V25" s="26" t="s">
        <v>907</v>
      </c>
      <c r="W25" s="26" t="s">
        <v>908</v>
      </c>
      <c r="X25" s="26" t="s">
        <v>909</v>
      </c>
      <c r="Y25" s="26" t="s">
        <v>910</v>
      </c>
      <c r="Z25" s="26" t="s">
        <v>911</v>
      </c>
      <c r="AA25" s="26" t="s">
        <v>678</v>
      </c>
      <c r="AB25" s="26" t="s">
        <v>679</v>
      </c>
    </row>
    <row r="26" spans="1:28" ht="60" customHeight="1" x14ac:dyDescent="0.35">
      <c r="A26" s="40" t="s">
        <v>139</v>
      </c>
      <c r="B26" s="40" t="s">
        <v>170</v>
      </c>
      <c r="C26" s="40" t="s">
        <v>479</v>
      </c>
      <c r="D26" s="40" t="s">
        <v>912</v>
      </c>
      <c r="E26" s="26" t="s">
        <v>565</v>
      </c>
      <c r="F26" s="26" t="s">
        <v>566</v>
      </c>
      <c r="G26" s="26" t="s">
        <v>913</v>
      </c>
      <c r="H26" s="26" t="s">
        <v>914</v>
      </c>
      <c r="I26" s="26" t="s">
        <v>660</v>
      </c>
      <c r="J26" s="26" t="s">
        <v>661</v>
      </c>
      <c r="K26" s="26" t="s">
        <v>662</v>
      </c>
      <c r="L26" s="26" t="s">
        <v>663</v>
      </c>
      <c r="M26" s="4" t="s">
        <v>827</v>
      </c>
      <c r="N26" s="26" t="s">
        <v>915</v>
      </c>
      <c r="O26" s="26" t="s">
        <v>916</v>
      </c>
      <c r="P26" s="26" t="s">
        <v>917</v>
      </c>
      <c r="Q26" s="26" t="s">
        <v>918</v>
      </c>
      <c r="R26" s="26" t="s">
        <v>903</v>
      </c>
      <c r="S26" s="26" t="s">
        <v>904</v>
      </c>
      <c r="T26" s="26" t="s">
        <v>905</v>
      </c>
      <c r="U26" s="26" t="s">
        <v>906</v>
      </c>
      <c r="V26" s="26" t="s">
        <v>907</v>
      </c>
      <c r="W26" s="26" t="s">
        <v>919</v>
      </c>
      <c r="X26" s="26" t="s">
        <v>920</v>
      </c>
      <c r="Y26" s="26" t="s">
        <v>921</v>
      </c>
      <c r="Z26" s="26" t="s">
        <v>922</v>
      </c>
      <c r="AA26" s="26" t="s">
        <v>678</v>
      </c>
      <c r="AB26" s="26" t="s">
        <v>679</v>
      </c>
    </row>
    <row r="27" spans="1:28" ht="60" customHeight="1" x14ac:dyDescent="0.35">
      <c r="A27" s="39" t="s">
        <v>140</v>
      </c>
      <c r="B27" s="39" t="s">
        <v>170</v>
      </c>
      <c r="C27" s="39" t="s">
        <v>484</v>
      </c>
      <c r="D27" s="39" t="s">
        <v>923</v>
      </c>
      <c r="E27" s="26" t="s">
        <v>569</v>
      </c>
      <c r="F27" s="26" t="s">
        <v>570</v>
      </c>
      <c r="G27" s="26" t="s">
        <v>924</v>
      </c>
      <c r="H27" s="26" t="s">
        <v>925</v>
      </c>
      <c r="I27" s="26" t="s">
        <v>660</v>
      </c>
      <c r="J27" s="26" t="s">
        <v>661</v>
      </c>
      <c r="K27" s="26" t="s">
        <v>662</v>
      </c>
      <c r="L27" s="26" t="s">
        <v>663</v>
      </c>
      <c r="M27" s="4" t="s">
        <v>664</v>
      </c>
      <c r="N27" s="26" t="s">
        <v>926</v>
      </c>
      <c r="O27" s="26" t="s">
        <v>927</v>
      </c>
      <c r="P27" s="26" t="s">
        <v>928</v>
      </c>
      <c r="Q27" s="26" t="s">
        <v>929</v>
      </c>
      <c r="R27" s="26" t="s">
        <v>903</v>
      </c>
      <c r="S27" s="26" t="s">
        <v>904</v>
      </c>
      <c r="T27" s="26" t="s">
        <v>905</v>
      </c>
      <c r="U27" s="26" t="s">
        <v>906</v>
      </c>
      <c r="V27" s="26" t="s">
        <v>907</v>
      </c>
      <c r="W27" s="26" t="s">
        <v>930</v>
      </c>
      <c r="X27" s="26" t="s">
        <v>931</v>
      </c>
      <c r="Y27" s="26" t="s">
        <v>932</v>
      </c>
      <c r="Z27" s="26" t="s">
        <v>933</v>
      </c>
      <c r="AA27" s="26" t="s">
        <v>678</v>
      </c>
      <c r="AB27" s="26" t="s">
        <v>679</v>
      </c>
    </row>
    <row r="28" spans="1:28" ht="60" customHeight="1" x14ac:dyDescent="0.35">
      <c r="A28" s="40" t="s">
        <v>141</v>
      </c>
      <c r="B28" s="40" t="s">
        <v>170</v>
      </c>
      <c r="C28" s="40" t="s">
        <v>484</v>
      </c>
      <c r="D28" s="40" t="s">
        <v>923</v>
      </c>
      <c r="E28" s="26" t="s">
        <v>573</v>
      </c>
      <c r="F28" s="26" t="s">
        <v>574</v>
      </c>
      <c r="G28" s="26" t="s">
        <v>934</v>
      </c>
      <c r="H28" s="26" t="s">
        <v>935</v>
      </c>
      <c r="I28" s="26" t="s">
        <v>660</v>
      </c>
      <c r="J28" s="26" t="s">
        <v>661</v>
      </c>
      <c r="K28" s="26" t="s">
        <v>662</v>
      </c>
      <c r="L28" s="26" t="s">
        <v>663</v>
      </c>
      <c r="M28" s="4" t="s">
        <v>692</v>
      </c>
      <c r="N28" s="26" t="s">
        <v>936</v>
      </c>
      <c r="O28" s="26" t="s">
        <v>937</v>
      </c>
      <c r="P28" s="26" t="s">
        <v>938</v>
      </c>
      <c r="Q28" s="26" t="s">
        <v>939</v>
      </c>
      <c r="R28" s="26" t="s">
        <v>903</v>
      </c>
      <c r="S28" s="26" t="s">
        <v>904</v>
      </c>
      <c r="T28" s="26" t="s">
        <v>905</v>
      </c>
      <c r="U28" s="26" t="s">
        <v>906</v>
      </c>
      <c r="V28" s="26" t="s">
        <v>907</v>
      </c>
      <c r="W28" s="26" t="s">
        <v>940</v>
      </c>
      <c r="X28" s="26" t="s">
        <v>941</v>
      </c>
      <c r="Y28" s="26" t="s">
        <v>942</v>
      </c>
      <c r="Z28" s="26" t="s">
        <v>943</v>
      </c>
      <c r="AA28" s="26" t="s">
        <v>678</v>
      </c>
      <c r="AB28" s="26" t="s">
        <v>679</v>
      </c>
    </row>
    <row r="29" spans="1:28" ht="60" customHeight="1" x14ac:dyDescent="0.35">
      <c r="A29" s="39" t="s">
        <v>142</v>
      </c>
      <c r="B29" s="39" t="s">
        <v>170</v>
      </c>
      <c r="C29" s="39" t="s">
        <v>484</v>
      </c>
      <c r="D29" s="39" t="s">
        <v>944</v>
      </c>
      <c r="E29" s="26" t="s">
        <v>577</v>
      </c>
      <c r="F29" s="26" t="s">
        <v>578</v>
      </c>
      <c r="G29" s="26" t="s">
        <v>945</v>
      </c>
      <c r="H29" s="26" t="s">
        <v>946</v>
      </c>
      <c r="I29" s="26" t="s">
        <v>660</v>
      </c>
      <c r="J29" s="26" t="s">
        <v>661</v>
      </c>
      <c r="K29" s="26" t="s">
        <v>662</v>
      </c>
      <c r="L29" s="26" t="s">
        <v>663</v>
      </c>
      <c r="M29" s="4" t="s">
        <v>664</v>
      </c>
      <c r="N29" s="26" t="s">
        <v>947</v>
      </c>
      <c r="O29" s="26" t="s">
        <v>948</v>
      </c>
      <c r="P29" s="26" t="s">
        <v>949</v>
      </c>
      <c r="Q29" s="26" t="s">
        <v>950</v>
      </c>
      <c r="R29" s="26" t="s">
        <v>903</v>
      </c>
      <c r="S29" s="26" t="s">
        <v>904</v>
      </c>
      <c r="T29" s="26" t="s">
        <v>905</v>
      </c>
      <c r="U29" s="26" t="s">
        <v>906</v>
      </c>
      <c r="V29" s="26" t="s">
        <v>907</v>
      </c>
      <c r="W29" s="26" t="s">
        <v>951</v>
      </c>
      <c r="X29" s="26" t="s">
        <v>952</v>
      </c>
      <c r="Y29" s="26" t="s">
        <v>953</v>
      </c>
      <c r="Z29" s="26" t="s">
        <v>954</v>
      </c>
      <c r="AA29" s="26" t="s">
        <v>678</v>
      </c>
      <c r="AB29" s="26" t="s">
        <v>679</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2"/>
  <sheetViews>
    <sheetView showGridLines="0" zoomScaleNormal="100" workbookViewId="0">
      <pane ySplit="4" topLeftCell="A5" activePane="bottomLeft" state="frozen"/>
      <selection pane="bottomLeft"/>
    </sheetView>
  </sheetViews>
  <sheetFormatPr defaultColWidth="8.6328125" defaultRowHeight="15" customHeight="1" x14ac:dyDescent="0.35"/>
  <cols>
    <col min="1" max="1" width="10" customWidth="1"/>
    <col min="2" max="2" width="22" customWidth="1"/>
    <col min="3" max="3" width="10" customWidth="1"/>
    <col min="4" max="4" width="28" customWidth="1"/>
    <col min="5" max="5" width="44" customWidth="1"/>
    <col min="6" max="6" width="28" customWidth="1"/>
    <col min="7" max="7" width="26" customWidth="1"/>
    <col min="8" max="8" width="34" customWidth="1"/>
    <col min="9" max="12" width="24" customWidth="1"/>
    <col min="13" max="13" width="36" customWidth="1"/>
    <col min="14" max="17" width="48" customWidth="1"/>
    <col min="18" max="21" width="34" customWidth="1"/>
    <col min="22" max="22" width="24" customWidth="1"/>
    <col min="23" max="26" width="34" customWidth="1"/>
    <col min="27" max="27" width="28" customWidth="1"/>
  </cols>
  <sheetData>
    <row r="1" spans="1:27" ht="22" customHeight="1" x14ac:dyDescent="0.45">
      <c r="A1" s="35" t="s">
        <v>955</v>
      </c>
      <c r="M1" s="4"/>
    </row>
    <row r="2" spans="1:27" ht="42" customHeight="1" x14ac:dyDescent="0.35">
      <c r="A2" s="4" t="s">
        <v>956</v>
      </c>
      <c r="M2" s="4"/>
    </row>
    <row r="3" spans="1:27" ht="14.5" x14ac:dyDescent="0.35">
      <c r="M3" s="4"/>
    </row>
    <row r="4" spans="1:27" ht="27.75" customHeight="1" x14ac:dyDescent="0.35">
      <c r="A4" s="36" t="s">
        <v>957</v>
      </c>
      <c r="B4" s="36" t="s">
        <v>474</v>
      </c>
      <c r="C4" s="36" t="s">
        <v>476</v>
      </c>
      <c r="D4" s="36" t="s">
        <v>633</v>
      </c>
      <c r="E4" s="36" t="s">
        <v>634</v>
      </c>
      <c r="F4" s="36" t="s">
        <v>635</v>
      </c>
      <c r="G4" s="36" t="s">
        <v>636</v>
      </c>
      <c r="H4" s="36" t="s">
        <v>637</v>
      </c>
      <c r="I4" s="36" t="s">
        <v>638</v>
      </c>
      <c r="J4" s="36" t="s">
        <v>639</v>
      </c>
      <c r="K4" s="36" t="s">
        <v>640</v>
      </c>
      <c r="L4" s="36" t="s">
        <v>642</v>
      </c>
      <c r="M4" s="4" t="s">
        <v>641</v>
      </c>
      <c r="N4" s="36" t="s">
        <v>643</v>
      </c>
      <c r="O4" s="36" t="s">
        <v>644</v>
      </c>
      <c r="P4" s="36" t="s">
        <v>645</v>
      </c>
      <c r="Q4" s="36" t="s">
        <v>646</v>
      </c>
      <c r="R4" s="36" t="s">
        <v>647</v>
      </c>
      <c r="S4" s="36" t="s">
        <v>648</v>
      </c>
      <c r="T4" s="36" t="s">
        <v>649</v>
      </c>
      <c r="U4" s="36" t="s">
        <v>650</v>
      </c>
      <c r="V4" s="36" t="s">
        <v>651</v>
      </c>
      <c r="W4" s="36" t="s">
        <v>652</v>
      </c>
      <c r="X4" s="36" t="s">
        <v>653</v>
      </c>
      <c r="Y4" s="36" t="s">
        <v>654</v>
      </c>
      <c r="Z4" s="36" t="s">
        <v>655</v>
      </c>
      <c r="AA4" s="36" t="s">
        <v>656</v>
      </c>
    </row>
    <row r="5" spans="1:27" ht="60" customHeight="1" x14ac:dyDescent="0.35">
      <c r="A5" s="39" t="s">
        <v>143</v>
      </c>
      <c r="B5" s="39" t="s">
        <v>479</v>
      </c>
      <c r="C5" s="39" t="s">
        <v>958</v>
      </c>
      <c r="D5" s="39" t="s">
        <v>959</v>
      </c>
      <c r="E5" s="26" t="s">
        <v>960</v>
      </c>
      <c r="F5" s="26" t="s">
        <v>961</v>
      </c>
      <c r="G5" s="26" t="s">
        <v>962</v>
      </c>
      <c r="H5" s="26" t="s">
        <v>660</v>
      </c>
      <c r="I5" s="26" t="s">
        <v>661</v>
      </c>
      <c r="J5" s="26" t="s">
        <v>662</v>
      </c>
      <c r="K5" s="26" t="s">
        <v>663</v>
      </c>
      <c r="L5" s="26" t="s">
        <v>963</v>
      </c>
      <c r="M5" s="4" t="s">
        <v>964</v>
      </c>
      <c r="N5" s="26" t="s">
        <v>965</v>
      </c>
      <c r="O5" s="26" t="s">
        <v>966</v>
      </c>
      <c r="P5" s="26" t="s">
        <v>967</v>
      </c>
      <c r="Q5" s="26" t="s">
        <v>968</v>
      </c>
      <c r="R5" s="26" t="s">
        <v>786</v>
      </c>
      <c r="S5" s="26" t="s">
        <v>787</v>
      </c>
      <c r="T5" s="26" t="s">
        <v>788</v>
      </c>
      <c r="U5" s="26" t="s">
        <v>789</v>
      </c>
      <c r="V5" s="26" t="s">
        <v>969</v>
      </c>
      <c r="W5" s="26" t="s">
        <v>970</v>
      </c>
      <c r="X5" s="26" t="s">
        <v>971</v>
      </c>
      <c r="Y5" s="26" t="s">
        <v>972</v>
      </c>
      <c r="Z5" s="26" t="s">
        <v>678</v>
      </c>
      <c r="AA5" s="26" t="s">
        <v>679</v>
      </c>
    </row>
    <row r="6" spans="1:27" ht="60" customHeight="1" x14ac:dyDescent="0.35">
      <c r="A6" s="40" t="s">
        <v>147</v>
      </c>
      <c r="B6" s="40" t="s">
        <v>479</v>
      </c>
      <c r="C6" s="40" t="s">
        <v>973</v>
      </c>
      <c r="D6" s="40" t="s">
        <v>959</v>
      </c>
      <c r="E6" s="26" t="s">
        <v>974</v>
      </c>
      <c r="F6" s="26" t="s">
        <v>975</v>
      </c>
      <c r="G6" s="26" t="s">
        <v>976</v>
      </c>
      <c r="H6" s="26" t="s">
        <v>660</v>
      </c>
      <c r="I6" s="26" t="s">
        <v>661</v>
      </c>
      <c r="J6" s="26" t="s">
        <v>662</v>
      </c>
      <c r="K6" s="26" t="s">
        <v>663</v>
      </c>
      <c r="L6" s="26" t="s">
        <v>977</v>
      </c>
      <c r="M6" s="4" t="s">
        <v>964</v>
      </c>
      <c r="N6" s="26" t="s">
        <v>978</v>
      </c>
      <c r="O6" s="26" t="s">
        <v>979</v>
      </c>
      <c r="P6" s="26" t="s">
        <v>980</v>
      </c>
      <c r="Q6" s="26" t="s">
        <v>981</v>
      </c>
      <c r="R6" s="26" t="s">
        <v>786</v>
      </c>
      <c r="S6" s="26" t="s">
        <v>787</v>
      </c>
      <c r="T6" s="26" t="s">
        <v>788</v>
      </c>
      <c r="U6" s="26" t="s">
        <v>789</v>
      </c>
      <c r="V6" s="26" t="s">
        <v>982</v>
      </c>
      <c r="W6" s="26" t="s">
        <v>983</v>
      </c>
      <c r="X6" s="26" t="s">
        <v>984</v>
      </c>
      <c r="Y6" s="26" t="s">
        <v>985</v>
      </c>
      <c r="Z6" s="26" t="s">
        <v>678</v>
      </c>
      <c r="AA6" s="26" t="s">
        <v>679</v>
      </c>
    </row>
    <row r="7" spans="1:27" ht="60" customHeight="1" x14ac:dyDescent="0.35">
      <c r="A7" s="39" t="s">
        <v>148</v>
      </c>
      <c r="B7" s="39" t="s">
        <v>479</v>
      </c>
      <c r="C7" s="39" t="s">
        <v>986</v>
      </c>
      <c r="D7" s="39" t="s">
        <v>959</v>
      </c>
      <c r="E7" s="26" t="s">
        <v>987</v>
      </c>
      <c r="F7" s="26" t="s">
        <v>988</v>
      </c>
      <c r="G7" s="26" t="s">
        <v>989</v>
      </c>
      <c r="H7" s="26" t="s">
        <v>660</v>
      </c>
      <c r="I7" s="26" t="s">
        <v>661</v>
      </c>
      <c r="J7" s="26" t="s">
        <v>662</v>
      </c>
      <c r="K7" s="26" t="s">
        <v>663</v>
      </c>
      <c r="L7" s="26" t="s">
        <v>990</v>
      </c>
      <c r="M7" s="4" t="s">
        <v>964</v>
      </c>
      <c r="N7" s="26" t="s">
        <v>991</v>
      </c>
      <c r="O7" s="26" t="s">
        <v>992</v>
      </c>
      <c r="P7" s="26" t="s">
        <v>993</v>
      </c>
      <c r="Q7" s="26" t="s">
        <v>994</v>
      </c>
      <c r="R7" s="26" t="s">
        <v>786</v>
      </c>
      <c r="S7" s="26" t="s">
        <v>787</v>
      </c>
      <c r="T7" s="26" t="s">
        <v>788</v>
      </c>
      <c r="U7" s="26" t="s">
        <v>789</v>
      </c>
      <c r="V7" s="26" t="s">
        <v>995</v>
      </c>
      <c r="W7" s="26" t="s">
        <v>996</v>
      </c>
      <c r="X7" s="26" t="s">
        <v>997</v>
      </c>
      <c r="Y7" s="26" t="s">
        <v>998</v>
      </c>
      <c r="Z7" s="26" t="s">
        <v>678</v>
      </c>
      <c r="AA7" s="26" t="s">
        <v>679</v>
      </c>
    </row>
    <row r="8" spans="1:27" ht="60" customHeight="1" x14ac:dyDescent="0.35">
      <c r="A8" s="40" t="s">
        <v>149</v>
      </c>
      <c r="B8" s="40" t="s">
        <v>484</v>
      </c>
      <c r="C8" s="40" t="s">
        <v>999</v>
      </c>
      <c r="D8" s="40" t="s">
        <v>959</v>
      </c>
      <c r="E8" s="26" t="s">
        <v>1000</v>
      </c>
      <c r="F8" s="26" t="s">
        <v>1001</v>
      </c>
      <c r="G8" s="26" t="s">
        <v>1002</v>
      </c>
      <c r="H8" s="26" t="s">
        <v>660</v>
      </c>
      <c r="I8" s="26" t="s">
        <v>661</v>
      </c>
      <c r="J8" s="26" t="s">
        <v>662</v>
      </c>
      <c r="K8" s="26" t="s">
        <v>663</v>
      </c>
      <c r="L8" s="26" t="s">
        <v>1003</v>
      </c>
      <c r="M8" s="4" t="s">
        <v>964</v>
      </c>
      <c r="N8" s="26" t="s">
        <v>1004</v>
      </c>
      <c r="O8" s="26" t="s">
        <v>1005</v>
      </c>
      <c r="P8" s="26" t="s">
        <v>1006</v>
      </c>
      <c r="Q8" s="26" t="s">
        <v>1007</v>
      </c>
      <c r="R8" s="26" t="s">
        <v>786</v>
      </c>
      <c r="S8" s="26" t="s">
        <v>787</v>
      </c>
      <c r="T8" s="26" t="s">
        <v>788</v>
      </c>
      <c r="U8" s="26" t="s">
        <v>789</v>
      </c>
      <c r="V8" s="26" t="s">
        <v>1008</v>
      </c>
      <c r="W8" s="26" t="s">
        <v>1009</v>
      </c>
      <c r="X8" s="26" t="s">
        <v>1010</v>
      </c>
      <c r="Y8" s="26" t="s">
        <v>1011</v>
      </c>
      <c r="Z8" s="26" t="s">
        <v>678</v>
      </c>
      <c r="AA8" s="26" t="s">
        <v>679</v>
      </c>
    </row>
    <row r="9" spans="1:27" ht="60" customHeight="1" x14ac:dyDescent="0.35">
      <c r="A9" s="39" t="s">
        <v>150</v>
      </c>
      <c r="B9" s="39" t="s">
        <v>484</v>
      </c>
      <c r="C9" s="39" t="s">
        <v>1012</v>
      </c>
      <c r="D9" s="39" t="s">
        <v>959</v>
      </c>
      <c r="E9" s="26" t="s">
        <v>1013</v>
      </c>
      <c r="F9" s="26" t="s">
        <v>1014</v>
      </c>
      <c r="G9" s="26" t="s">
        <v>1015</v>
      </c>
      <c r="H9" s="26" t="s">
        <v>660</v>
      </c>
      <c r="I9" s="26" t="s">
        <v>661</v>
      </c>
      <c r="J9" s="26" t="s">
        <v>662</v>
      </c>
      <c r="K9" s="26" t="s">
        <v>663</v>
      </c>
      <c r="L9" s="26" t="s">
        <v>1016</v>
      </c>
      <c r="M9" s="4" t="s">
        <v>964</v>
      </c>
      <c r="N9" s="26" t="s">
        <v>1017</v>
      </c>
      <c r="O9" s="26" t="s">
        <v>1018</v>
      </c>
      <c r="P9" s="26" t="s">
        <v>1019</v>
      </c>
      <c r="Q9" s="26" t="s">
        <v>1020</v>
      </c>
      <c r="R9" s="26" t="s">
        <v>786</v>
      </c>
      <c r="S9" s="26" t="s">
        <v>787</v>
      </c>
      <c r="T9" s="26" t="s">
        <v>788</v>
      </c>
      <c r="U9" s="26" t="s">
        <v>789</v>
      </c>
      <c r="V9" s="26" t="s">
        <v>1021</v>
      </c>
      <c r="W9" s="26" t="s">
        <v>1022</v>
      </c>
      <c r="X9" s="26" t="s">
        <v>1023</v>
      </c>
      <c r="Y9" s="26" t="s">
        <v>1024</v>
      </c>
      <c r="Z9" s="26" t="s">
        <v>678</v>
      </c>
      <c r="AA9" s="26" t="s">
        <v>679</v>
      </c>
    </row>
    <row r="10" spans="1:27" ht="60" customHeight="1" x14ac:dyDescent="0.35">
      <c r="A10" s="40" t="s">
        <v>151</v>
      </c>
      <c r="B10" s="40" t="s">
        <v>484</v>
      </c>
      <c r="C10" s="40" t="s">
        <v>1025</v>
      </c>
      <c r="D10" s="40" t="s">
        <v>959</v>
      </c>
      <c r="E10" s="26" t="s">
        <v>1026</v>
      </c>
      <c r="F10" s="26" t="s">
        <v>1027</v>
      </c>
      <c r="G10" s="26" t="s">
        <v>1028</v>
      </c>
      <c r="H10" s="26" t="s">
        <v>660</v>
      </c>
      <c r="I10" s="26" t="s">
        <v>661</v>
      </c>
      <c r="J10" s="26" t="s">
        <v>662</v>
      </c>
      <c r="K10" s="26" t="s">
        <v>663</v>
      </c>
      <c r="L10" s="26" t="s">
        <v>1029</v>
      </c>
      <c r="M10" s="4" t="s">
        <v>964</v>
      </c>
      <c r="N10" s="26" t="s">
        <v>1030</v>
      </c>
      <c r="O10" s="26" t="s">
        <v>1031</v>
      </c>
      <c r="P10" s="26" t="s">
        <v>1032</v>
      </c>
      <c r="Q10" s="26" t="s">
        <v>1033</v>
      </c>
      <c r="R10" s="26" t="s">
        <v>786</v>
      </c>
      <c r="S10" s="26" t="s">
        <v>787</v>
      </c>
      <c r="T10" s="26" t="s">
        <v>788</v>
      </c>
      <c r="U10" s="26" t="s">
        <v>789</v>
      </c>
      <c r="V10" s="26" t="s">
        <v>1034</v>
      </c>
      <c r="W10" s="26" t="s">
        <v>1035</v>
      </c>
      <c r="X10" s="26" t="s">
        <v>1036</v>
      </c>
      <c r="Y10" s="26" t="s">
        <v>1037</v>
      </c>
      <c r="Z10" s="26" t="s">
        <v>678</v>
      </c>
      <c r="AA10" s="26" t="s">
        <v>679</v>
      </c>
    </row>
    <row r="11" spans="1:27" ht="60" customHeight="1" x14ac:dyDescent="0.35">
      <c r="A11" s="39" t="s">
        <v>152</v>
      </c>
      <c r="B11" s="39" t="s">
        <v>484</v>
      </c>
      <c r="C11" s="39" t="s">
        <v>1038</v>
      </c>
      <c r="D11" s="39" t="s">
        <v>959</v>
      </c>
      <c r="E11" s="26" t="s">
        <v>1039</v>
      </c>
      <c r="F11" s="26" t="s">
        <v>1040</v>
      </c>
      <c r="G11" s="26" t="s">
        <v>1041</v>
      </c>
      <c r="H11" s="26" t="s">
        <v>660</v>
      </c>
      <c r="I11" s="26" t="s">
        <v>661</v>
      </c>
      <c r="J11" s="26" t="s">
        <v>662</v>
      </c>
      <c r="K11" s="26" t="s">
        <v>663</v>
      </c>
      <c r="L11" s="26" t="s">
        <v>1042</v>
      </c>
      <c r="M11" s="4" t="s">
        <v>964</v>
      </c>
      <c r="N11" s="26" t="s">
        <v>1043</v>
      </c>
      <c r="O11" s="26" t="s">
        <v>1044</v>
      </c>
      <c r="P11" s="26" t="s">
        <v>1045</v>
      </c>
      <c r="Q11" s="26" t="s">
        <v>1046</v>
      </c>
      <c r="R11" s="26" t="s">
        <v>786</v>
      </c>
      <c r="S11" s="26" t="s">
        <v>787</v>
      </c>
      <c r="T11" s="26" t="s">
        <v>788</v>
      </c>
      <c r="U11" s="26" t="s">
        <v>789</v>
      </c>
      <c r="V11" s="26" t="s">
        <v>1047</v>
      </c>
      <c r="W11" s="26" t="s">
        <v>1048</v>
      </c>
      <c r="X11" s="26" t="s">
        <v>1049</v>
      </c>
      <c r="Y11" s="26" t="s">
        <v>1050</v>
      </c>
      <c r="Z11" s="26" t="s">
        <v>678</v>
      </c>
      <c r="AA11" s="26" t="s">
        <v>679</v>
      </c>
    </row>
    <row r="12" spans="1:27" ht="60" customHeight="1" x14ac:dyDescent="0.35">
      <c r="A12" s="40" t="s">
        <v>153</v>
      </c>
      <c r="B12" s="40" t="s">
        <v>479</v>
      </c>
      <c r="C12" s="40" t="s">
        <v>1051</v>
      </c>
      <c r="D12" s="40" t="s">
        <v>959</v>
      </c>
      <c r="E12" s="26" t="s">
        <v>1052</v>
      </c>
      <c r="F12" s="26" t="s">
        <v>1053</v>
      </c>
      <c r="G12" s="26" t="s">
        <v>1054</v>
      </c>
      <c r="H12" s="26" t="s">
        <v>660</v>
      </c>
      <c r="I12" s="26" t="s">
        <v>661</v>
      </c>
      <c r="J12" s="26" t="s">
        <v>662</v>
      </c>
      <c r="K12" s="26" t="s">
        <v>663</v>
      </c>
      <c r="L12" s="26" t="s">
        <v>1055</v>
      </c>
      <c r="M12" s="4" t="s">
        <v>964</v>
      </c>
      <c r="N12" s="26" t="s">
        <v>1056</v>
      </c>
      <c r="O12" s="26" t="s">
        <v>1057</v>
      </c>
      <c r="P12" s="26" t="s">
        <v>1058</v>
      </c>
      <c r="Q12" s="26" t="s">
        <v>1059</v>
      </c>
      <c r="R12" s="26" t="s">
        <v>786</v>
      </c>
      <c r="S12" s="26" t="s">
        <v>787</v>
      </c>
      <c r="T12" s="26" t="s">
        <v>788</v>
      </c>
      <c r="U12" s="26" t="s">
        <v>789</v>
      </c>
      <c r="V12" s="26" t="s">
        <v>1060</v>
      </c>
      <c r="W12" s="26" t="s">
        <v>1061</v>
      </c>
      <c r="X12" s="26" t="s">
        <v>1062</v>
      </c>
      <c r="Y12" s="26" t="s">
        <v>1063</v>
      </c>
      <c r="Z12" s="26" t="s">
        <v>678</v>
      </c>
      <c r="AA12" s="26" t="s">
        <v>679</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7"/>
  <sheetViews>
    <sheetView showGridLines="0" zoomScaleNormal="100" workbookViewId="0">
      <pane ySplit="4" topLeftCell="A5" activePane="bottomLeft" state="frozen"/>
      <selection pane="bottomLeft"/>
    </sheetView>
  </sheetViews>
  <sheetFormatPr defaultColWidth="8.6328125" defaultRowHeight="15" customHeight="1" x14ac:dyDescent="0.35"/>
  <cols>
    <col min="1" max="1" width="10" customWidth="1"/>
    <col min="2" max="2" width="24" customWidth="1"/>
    <col min="3" max="3" width="10" customWidth="1"/>
    <col min="4" max="4" width="42" customWidth="1"/>
    <col min="5" max="5" width="56" customWidth="1"/>
    <col min="6" max="6" width="52" customWidth="1"/>
    <col min="7" max="7" width="28" customWidth="1"/>
    <col min="8" max="27" width="56" customWidth="1"/>
  </cols>
  <sheetData>
    <row r="1" spans="1:7" ht="19.5" customHeight="1" x14ac:dyDescent="0.45">
      <c r="A1" s="27" t="s">
        <v>1064</v>
      </c>
    </row>
    <row r="2" spans="1:7" ht="113.25" customHeight="1" x14ac:dyDescent="0.35">
      <c r="A2" s="4" t="s">
        <v>1065</v>
      </c>
    </row>
    <row r="4" spans="1:7" ht="27.75" customHeight="1" x14ac:dyDescent="0.35">
      <c r="A4" s="29" t="s">
        <v>107</v>
      </c>
      <c r="B4" s="29" t="s">
        <v>472</v>
      </c>
      <c r="C4" s="29" t="s">
        <v>474</v>
      </c>
      <c r="D4" s="29" t="s">
        <v>635</v>
      </c>
      <c r="E4" s="29" t="s">
        <v>636</v>
      </c>
      <c r="F4" s="29" t="s">
        <v>1066</v>
      </c>
      <c r="G4" s="29" t="s">
        <v>1067</v>
      </c>
    </row>
    <row r="5" spans="1:7" ht="15" customHeight="1" x14ac:dyDescent="0.35">
      <c r="A5" s="26" t="s">
        <v>112</v>
      </c>
      <c r="B5" s="26" t="s">
        <v>166</v>
      </c>
      <c r="C5" s="26" t="s">
        <v>479</v>
      </c>
      <c r="D5" s="26" t="s">
        <v>658</v>
      </c>
      <c r="E5" s="26" t="s">
        <v>659</v>
      </c>
      <c r="F5" s="26" t="s">
        <v>1068</v>
      </c>
      <c r="G5" s="26" t="s">
        <v>1069</v>
      </c>
    </row>
    <row r="6" spans="1:7" ht="15" customHeight="1" x14ac:dyDescent="0.35">
      <c r="A6" s="26" t="s">
        <v>116</v>
      </c>
      <c r="B6" s="26" t="s">
        <v>166</v>
      </c>
      <c r="C6" s="26" t="s">
        <v>484</v>
      </c>
      <c r="D6" s="26" t="s">
        <v>680</v>
      </c>
      <c r="E6" s="26" t="s">
        <v>681</v>
      </c>
      <c r="F6" s="26" t="s">
        <v>1068</v>
      </c>
      <c r="G6" s="26" t="s">
        <v>1069</v>
      </c>
    </row>
    <row r="7" spans="1:7" ht="15" customHeight="1" x14ac:dyDescent="0.35">
      <c r="A7" s="26" t="s">
        <v>117</v>
      </c>
      <c r="B7" s="26" t="s">
        <v>166</v>
      </c>
      <c r="C7" s="26" t="s">
        <v>484</v>
      </c>
      <c r="D7" s="26" t="s">
        <v>690</v>
      </c>
      <c r="E7" s="26" t="s">
        <v>691</v>
      </c>
      <c r="F7" s="26" t="s">
        <v>1068</v>
      </c>
      <c r="G7" s="26" t="s">
        <v>1069</v>
      </c>
    </row>
    <row r="8" spans="1:7" ht="15" customHeight="1" x14ac:dyDescent="0.35">
      <c r="A8" s="26" t="s">
        <v>118</v>
      </c>
      <c r="B8" s="26" t="s">
        <v>166</v>
      </c>
      <c r="C8" s="26" t="s">
        <v>484</v>
      </c>
      <c r="D8" s="26" t="s">
        <v>701</v>
      </c>
      <c r="E8" s="26" t="s">
        <v>702</v>
      </c>
      <c r="F8" s="26" t="s">
        <v>1068</v>
      </c>
      <c r="G8" s="26" t="s">
        <v>1069</v>
      </c>
    </row>
    <row r="9" spans="1:7" ht="15" customHeight="1" x14ac:dyDescent="0.35">
      <c r="A9" s="26" t="s">
        <v>119</v>
      </c>
      <c r="B9" s="26" t="s">
        <v>166</v>
      </c>
      <c r="C9" s="26" t="s">
        <v>484</v>
      </c>
      <c r="D9" s="26" t="s">
        <v>711</v>
      </c>
      <c r="E9" s="26" t="s">
        <v>712</v>
      </c>
      <c r="F9" s="26" t="s">
        <v>1068</v>
      </c>
      <c r="G9" s="26" t="s">
        <v>1069</v>
      </c>
    </row>
    <row r="10" spans="1:7" ht="15" customHeight="1" x14ac:dyDescent="0.35">
      <c r="A10" s="26" t="s">
        <v>120</v>
      </c>
      <c r="B10" s="26" t="s">
        <v>167</v>
      </c>
      <c r="C10" s="26" t="s">
        <v>479</v>
      </c>
      <c r="D10" s="26" t="s">
        <v>722</v>
      </c>
      <c r="E10" s="26" t="s">
        <v>723</v>
      </c>
      <c r="F10" s="26" t="s">
        <v>1068</v>
      </c>
      <c r="G10" s="26" t="s">
        <v>1069</v>
      </c>
    </row>
    <row r="11" spans="1:7" ht="15" customHeight="1" x14ac:dyDescent="0.35">
      <c r="A11" s="26" t="s">
        <v>121</v>
      </c>
      <c r="B11" s="26" t="s">
        <v>167</v>
      </c>
      <c r="C11" s="26" t="s">
        <v>484</v>
      </c>
      <c r="D11" s="26" t="s">
        <v>737</v>
      </c>
      <c r="E11" s="26" t="s">
        <v>738</v>
      </c>
      <c r="F11" s="26" t="s">
        <v>1068</v>
      </c>
      <c r="G11" s="26" t="s">
        <v>1069</v>
      </c>
    </row>
    <row r="12" spans="1:7" ht="27.75" customHeight="1" x14ac:dyDescent="0.35">
      <c r="A12" s="26" t="s">
        <v>122</v>
      </c>
      <c r="B12" s="26" t="s">
        <v>167</v>
      </c>
      <c r="C12" s="26" t="s">
        <v>484</v>
      </c>
      <c r="D12" s="26" t="s">
        <v>747</v>
      </c>
      <c r="E12" s="26" t="s">
        <v>748</v>
      </c>
      <c r="F12" s="26" t="s">
        <v>1068</v>
      </c>
      <c r="G12" s="26" t="s">
        <v>1069</v>
      </c>
    </row>
    <row r="13" spans="1:7" ht="15" customHeight="1" x14ac:dyDescent="0.35">
      <c r="A13" s="26" t="s">
        <v>123</v>
      </c>
      <c r="B13" s="26" t="s">
        <v>167</v>
      </c>
      <c r="C13" s="26" t="s">
        <v>479</v>
      </c>
      <c r="D13" s="26" t="s">
        <v>758</v>
      </c>
      <c r="E13" s="26" t="s">
        <v>759</v>
      </c>
      <c r="F13" s="26" t="s">
        <v>1068</v>
      </c>
      <c r="G13" s="26" t="s">
        <v>1069</v>
      </c>
    </row>
    <row r="14" spans="1:7" ht="15" customHeight="1" x14ac:dyDescent="0.35">
      <c r="A14" s="26" t="s">
        <v>124</v>
      </c>
      <c r="B14" s="26" t="s">
        <v>167</v>
      </c>
      <c r="C14" s="26" t="s">
        <v>484</v>
      </c>
      <c r="D14" s="26" t="s">
        <v>768</v>
      </c>
      <c r="E14" s="26" t="s">
        <v>769</v>
      </c>
      <c r="F14" s="26" t="s">
        <v>1068</v>
      </c>
      <c r="G14" s="26" t="s">
        <v>1069</v>
      </c>
    </row>
    <row r="15" spans="1:7" ht="15" customHeight="1" x14ac:dyDescent="0.35">
      <c r="A15" s="26" t="s">
        <v>125</v>
      </c>
      <c r="B15" s="26" t="s">
        <v>168</v>
      </c>
      <c r="C15" s="26" t="s">
        <v>484</v>
      </c>
      <c r="D15" s="26" t="s">
        <v>779</v>
      </c>
      <c r="E15" s="26" t="s">
        <v>780</v>
      </c>
      <c r="F15" s="26" t="s">
        <v>1068</v>
      </c>
      <c r="G15" s="26" t="s">
        <v>1069</v>
      </c>
    </row>
    <row r="16" spans="1:7" ht="27.75" customHeight="1" x14ac:dyDescent="0.35">
      <c r="A16" s="26" t="s">
        <v>126</v>
      </c>
      <c r="B16" s="26" t="s">
        <v>168</v>
      </c>
      <c r="C16" s="26" t="s">
        <v>484</v>
      </c>
      <c r="D16" s="26" t="s">
        <v>794</v>
      </c>
      <c r="E16" s="26" t="s">
        <v>795</v>
      </c>
      <c r="F16" s="26" t="s">
        <v>1068</v>
      </c>
      <c r="G16" s="26" t="s">
        <v>1069</v>
      </c>
    </row>
    <row r="17" spans="1:7" ht="27.75" customHeight="1" x14ac:dyDescent="0.35">
      <c r="A17" s="26" t="s">
        <v>127</v>
      </c>
      <c r="B17" s="26" t="s">
        <v>168</v>
      </c>
      <c r="C17" s="26" t="s">
        <v>479</v>
      </c>
      <c r="D17" s="26" t="s">
        <v>805</v>
      </c>
      <c r="E17" s="26" t="s">
        <v>806</v>
      </c>
      <c r="F17" s="26" t="s">
        <v>1070</v>
      </c>
      <c r="G17" s="26" t="s">
        <v>1069</v>
      </c>
    </row>
    <row r="18" spans="1:7" ht="15" customHeight="1" x14ac:dyDescent="0.35">
      <c r="A18" s="26" t="s">
        <v>129</v>
      </c>
      <c r="B18" s="26" t="s">
        <v>168</v>
      </c>
      <c r="C18" s="26" t="s">
        <v>484</v>
      </c>
      <c r="D18" s="26" t="s">
        <v>815</v>
      </c>
      <c r="E18" s="26" t="s">
        <v>816</v>
      </c>
      <c r="F18" s="26" t="s">
        <v>1068</v>
      </c>
      <c r="G18" s="26" t="s">
        <v>1069</v>
      </c>
    </row>
    <row r="19" spans="1:7" ht="27.75" customHeight="1" x14ac:dyDescent="0.35">
      <c r="A19" s="26" t="s">
        <v>130</v>
      </c>
      <c r="B19" s="26" t="s">
        <v>168</v>
      </c>
      <c r="C19" s="26" t="s">
        <v>484</v>
      </c>
      <c r="D19" s="26" t="s">
        <v>825</v>
      </c>
      <c r="E19" s="26" t="s">
        <v>826</v>
      </c>
      <c r="F19" s="26" t="s">
        <v>1068</v>
      </c>
      <c r="G19" s="26" t="s">
        <v>1069</v>
      </c>
    </row>
    <row r="20" spans="1:7" ht="15" customHeight="1" x14ac:dyDescent="0.35">
      <c r="A20" s="26" t="s">
        <v>131</v>
      </c>
      <c r="B20" s="26" t="s">
        <v>169</v>
      </c>
      <c r="C20" s="26" t="s">
        <v>479</v>
      </c>
      <c r="D20" s="26" t="s">
        <v>837</v>
      </c>
      <c r="E20" s="26" t="s">
        <v>838</v>
      </c>
      <c r="F20" s="26" t="s">
        <v>1071</v>
      </c>
      <c r="G20" s="26" t="s">
        <v>1069</v>
      </c>
    </row>
    <row r="21" spans="1:7" ht="15" customHeight="1" x14ac:dyDescent="0.35">
      <c r="A21" s="26" t="s">
        <v>133</v>
      </c>
      <c r="B21" s="26" t="s">
        <v>169</v>
      </c>
      <c r="C21" s="26" t="s">
        <v>479</v>
      </c>
      <c r="D21" s="26" t="s">
        <v>854</v>
      </c>
      <c r="E21" s="26" t="s">
        <v>855</v>
      </c>
      <c r="F21" s="26" t="s">
        <v>1068</v>
      </c>
      <c r="G21" s="26" t="s">
        <v>1069</v>
      </c>
    </row>
    <row r="22" spans="1:7" ht="15" customHeight="1" x14ac:dyDescent="0.35">
      <c r="A22" s="26" t="s">
        <v>134</v>
      </c>
      <c r="B22" s="26" t="s">
        <v>169</v>
      </c>
      <c r="C22" s="26" t="s">
        <v>484</v>
      </c>
      <c r="D22" s="26" t="s">
        <v>865</v>
      </c>
      <c r="E22" s="26" t="s">
        <v>866</v>
      </c>
      <c r="F22" s="26" t="s">
        <v>1068</v>
      </c>
      <c r="G22" s="26" t="s">
        <v>1069</v>
      </c>
    </row>
    <row r="23" spans="1:7" ht="15" customHeight="1" x14ac:dyDescent="0.35">
      <c r="A23" s="26" t="s">
        <v>135</v>
      </c>
      <c r="B23" s="26" t="s">
        <v>169</v>
      </c>
      <c r="C23" s="26" t="s">
        <v>479</v>
      </c>
      <c r="D23" s="26" t="s">
        <v>876</v>
      </c>
      <c r="E23" s="26" t="s">
        <v>877</v>
      </c>
      <c r="F23" s="26" t="s">
        <v>1068</v>
      </c>
      <c r="G23" s="26" t="s">
        <v>1069</v>
      </c>
    </row>
    <row r="24" spans="1:7" ht="27.75" customHeight="1" x14ac:dyDescent="0.35">
      <c r="A24" s="26" t="s">
        <v>136</v>
      </c>
      <c r="B24" s="26" t="s">
        <v>169</v>
      </c>
      <c r="C24" s="26" t="s">
        <v>484</v>
      </c>
      <c r="D24" s="26" t="s">
        <v>886</v>
      </c>
      <c r="E24" s="26" t="s">
        <v>887</v>
      </c>
      <c r="F24" s="26" t="s">
        <v>1068</v>
      </c>
      <c r="G24" s="26" t="s">
        <v>1069</v>
      </c>
    </row>
    <row r="25" spans="1:7" ht="15" customHeight="1" x14ac:dyDescent="0.35">
      <c r="A25" s="26" t="s">
        <v>137</v>
      </c>
      <c r="B25" s="26" t="s">
        <v>170</v>
      </c>
      <c r="C25" s="26" t="s">
        <v>479</v>
      </c>
      <c r="D25" s="26" t="s">
        <v>897</v>
      </c>
      <c r="E25" s="26" t="s">
        <v>898</v>
      </c>
      <c r="F25" s="26" t="s">
        <v>1072</v>
      </c>
      <c r="G25" s="26" t="s">
        <v>1069</v>
      </c>
    </row>
    <row r="26" spans="1:7" ht="15" customHeight="1" x14ac:dyDescent="0.35">
      <c r="A26" s="26" t="s">
        <v>139</v>
      </c>
      <c r="B26" s="26" t="s">
        <v>170</v>
      </c>
      <c r="C26" s="26" t="s">
        <v>479</v>
      </c>
      <c r="D26" s="26" t="s">
        <v>913</v>
      </c>
      <c r="E26" s="26" t="s">
        <v>914</v>
      </c>
      <c r="F26" s="26" t="s">
        <v>1068</v>
      </c>
      <c r="G26" s="26" t="s">
        <v>1069</v>
      </c>
    </row>
    <row r="27" spans="1:7" ht="15" customHeight="1" x14ac:dyDescent="0.35">
      <c r="A27" s="26" t="s">
        <v>140</v>
      </c>
      <c r="B27" s="26" t="s">
        <v>170</v>
      </c>
      <c r="C27" s="26" t="s">
        <v>484</v>
      </c>
      <c r="D27" s="26" t="s">
        <v>924</v>
      </c>
      <c r="E27" s="26" t="s">
        <v>925</v>
      </c>
      <c r="F27" s="26" t="s">
        <v>1068</v>
      </c>
      <c r="G27" s="26" t="s">
        <v>1069</v>
      </c>
    </row>
    <row r="28" spans="1:7" ht="15" customHeight="1" x14ac:dyDescent="0.35">
      <c r="A28" s="26" t="s">
        <v>141</v>
      </c>
      <c r="B28" s="26" t="s">
        <v>170</v>
      </c>
      <c r="C28" s="26" t="s">
        <v>484</v>
      </c>
      <c r="D28" s="26" t="s">
        <v>934</v>
      </c>
      <c r="E28" s="26" t="s">
        <v>935</v>
      </c>
      <c r="F28" s="26" t="s">
        <v>1068</v>
      </c>
      <c r="G28" s="26" t="s">
        <v>1069</v>
      </c>
    </row>
    <row r="29" spans="1:7" ht="27.75" customHeight="1" x14ac:dyDescent="0.35">
      <c r="A29" s="26" t="s">
        <v>142</v>
      </c>
      <c r="B29" s="26" t="s">
        <v>170</v>
      </c>
      <c r="C29" s="26" t="s">
        <v>484</v>
      </c>
      <c r="D29" s="26" t="s">
        <v>945</v>
      </c>
      <c r="E29" s="26" t="s">
        <v>946</v>
      </c>
      <c r="F29" s="26" t="s">
        <v>1068</v>
      </c>
      <c r="G29" s="26" t="s">
        <v>1069</v>
      </c>
    </row>
    <row r="30" spans="1:7" ht="27.75" customHeight="1" x14ac:dyDescent="0.35"/>
    <row r="31" spans="1:7" ht="27.75" customHeight="1" x14ac:dyDescent="0.35"/>
    <row r="32" spans="1:7" ht="27.75" customHeight="1" x14ac:dyDescent="0.35"/>
    <row r="33" ht="27.75" customHeight="1" x14ac:dyDescent="0.35"/>
    <row r="34" ht="27.75" customHeight="1" x14ac:dyDescent="0.35"/>
    <row r="35" ht="27.75" customHeight="1" x14ac:dyDescent="0.35"/>
    <row r="36" ht="27.75" customHeight="1" x14ac:dyDescent="0.35"/>
    <row r="37" ht="27.75" customHeight="1" x14ac:dyDescent="0.35"/>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8"/>
  <sheetViews>
    <sheetView showGridLines="0" zoomScaleNormal="100" workbookViewId="0">
      <pane ySplit="4" topLeftCell="A5" activePane="bottomLeft" state="frozen"/>
      <selection pane="bottomLeft"/>
    </sheetView>
  </sheetViews>
  <sheetFormatPr defaultColWidth="8.6328125" defaultRowHeight="15" customHeight="1" x14ac:dyDescent="0.35"/>
  <cols>
    <col min="1" max="1" width="36" customWidth="1"/>
    <col min="2" max="2" width="110" customWidth="1"/>
    <col min="3" max="12" width="36" customWidth="1"/>
  </cols>
  <sheetData>
    <row r="1" spans="1:12" ht="19.5" customHeight="1" x14ac:dyDescent="0.45">
      <c r="A1" s="41" t="s">
        <v>1073</v>
      </c>
      <c r="B1" s="29"/>
    </row>
    <row r="2" spans="1:12" ht="102" customHeight="1" x14ac:dyDescent="0.35">
      <c r="A2" s="4" t="s">
        <v>1074</v>
      </c>
    </row>
    <row r="3" spans="1:12" ht="14.5" x14ac:dyDescent="0.35"/>
    <row r="4" spans="1:12" ht="15" customHeight="1" x14ac:dyDescent="0.35">
      <c r="A4" s="56" t="s">
        <v>1075</v>
      </c>
      <c r="B4" s="47"/>
      <c r="C4" s="47"/>
      <c r="D4" s="47"/>
      <c r="E4" s="47"/>
      <c r="F4" s="47"/>
      <c r="G4" s="47"/>
      <c r="H4" s="47"/>
    </row>
    <row r="5" spans="1:12" ht="15" customHeight="1" x14ac:dyDescent="0.35">
      <c r="A5" s="57" t="s">
        <v>1076</v>
      </c>
      <c r="B5" s="55"/>
      <c r="C5" s="55"/>
      <c r="D5" s="55"/>
      <c r="E5" s="55"/>
      <c r="F5" s="55"/>
      <c r="G5" s="55"/>
      <c r="H5" s="55"/>
      <c r="I5" s="55"/>
      <c r="J5" s="55"/>
      <c r="K5" s="55"/>
      <c r="L5" s="55"/>
    </row>
    <row r="6" spans="1:12" ht="15" customHeight="1" x14ac:dyDescent="0.35">
      <c r="A6" s="54" t="s">
        <v>1077</v>
      </c>
      <c r="B6" s="55"/>
      <c r="C6" s="55"/>
      <c r="D6" s="55"/>
      <c r="E6" s="55"/>
      <c r="F6" s="55"/>
      <c r="G6" s="55"/>
      <c r="H6" s="55"/>
      <c r="I6" s="55"/>
      <c r="J6" s="55"/>
      <c r="K6" s="55"/>
      <c r="L6" s="55"/>
    </row>
    <row r="7" spans="1:12" ht="15" customHeight="1" x14ac:dyDescent="0.35">
      <c r="A7" s="54" t="s">
        <v>1078</v>
      </c>
      <c r="B7" s="55"/>
      <c r="C7" s="55"/>
      <c r="D7" s="55"/>
      <c r="E7" s="55"/>
      <c r="F7" s="55"/>
      <c r="G7" s="55"/>
      <c r="H7" s="55"/>
      <c r="I7" s="55"/>
      <c r="J7" s="55"/>
      <c r="K7" s="55"/>
      <c r="L7" s="55"/>
    </row>
    <row r="8" spans="1:12" ht="15" customHeight="1" x14ac:dyDescent="0.35">
      <c r="A8" s="54" t="s">
        <v>1079</v>
      </c>
      <c r="B8" s="55"/>
      <c r="C8" s="55"/>
      <c r="D8" s="55"/>
      <c r="E8" s="55"/>
      <c r="F8" s="55"/>
      <c r="G8" s="55"/>
      <c r="H8" s="55"/>
      <c r="I8" s="55"/>
      <c r="J8" s="55"/>
      <c r="K8" s="55"/>
      <c r="L8" s="55"/>
    </row>
    <row r="9" spans="1:12" ht="15" customHeight="1" x14ac:dyDescent="0.35">
      <c r="A9" s="54" t="s">
        <v>56</v>
      </c>
      <c r="B9" s="55"/>
      <c r="C9" s="55"/>
      <c r="D9" s="55"/>
      <c r="E9" s="55"/>
      <c r="F9" s="55"/>
      <c r="G9" s="55"/>
      <c r="H9" s="55"/>
      <c r="I9" s="55"/>
      <c r="J9" s="55"/>
      <c r="K9" s="55"/>
      <c r="L9" s="55"/>
    </row>
    <row r="10" spans="1:12" ht="29" x14ac:dyDescent="0.35">
      <c r="A10" s="26" t="s">
        <v>1080</v>
      </c>
      <c r="B10" s="26" t="s">
        <v>1081</v>
      </c>
      <c r="C10" s="26" t="s">
        <v>1082</v>
      </c>
    </row>
    <row r="11" spans="1:12" ht="15" customHeight="1" x14ac:dyDescent="0.35">
      <c r="A11" s="47"/>
      <c r="B11" s="47"/>
      <c r="C11" s="47"/>
      <c r="D11" s="47"/>
      <c r="E11" s="47"/>
      <c r="F11" s="47"/>
      <c r="G11" s="47"/>
      <c r="H11" s="47"/>
    </row>
    <row r="12" spans="1:12" ht="15" customHeight="1" x14ac:dyDescent="0.35">
      <c r="A12" s="56" t="s">
        <v>1083</v>
      </c>
      <c r="B12" s="47"/>
      <c r="C12" s="47"/>
      <c r="D12" s="47"/>
      <c r="E12" s="47"/>
      <c r="F12" s="47"/>
      <c r="G12" s="47"/>
      <c r="H12" s="47"/>
      <c r="I12" s="47"/>
      <c r="J12" s="47"/>
      <c r="K12" s="47"/>
      <c r="L12" s="47"/>
    </row>
    <row r="13" spans="1:12" ht="15" customHeight="1" x14ac:dyDescent="0.35">
      <c r="A13" s="54" t="s">
        <v>63</v>
      </c>
      <c r="B13" s="55"/>
      <c r="C13" s="55"/>
      <c r="D13" s="55"/>
      <c r="E13" s="55"/>
      <c r="F13" s="55"/>
      <c r="G13" s="55"/>
      <c r="H13" s="55"/>
      <c r="I13" s="55"/>
      <c r="J13" s="55"/>
      <c r="K13" s="55"/>
      <c r="L13" s="55"/>
    </row>
    <row r="14" spans="1:12" ht="29" x14ac:dyDescent="0.35">
      <c r="A14" s="26" t="s">
        <v>72</v>
      </c>
      <c r="B14" s="26" t="s">
        <v>1084</v>
      </c>
    </row>
    <row r="15" spans="1:12" ht="15" customHeight="1" x14ac:dyDescent="0.35">
      <c r="A15" s="54" t="s">
        <v>81</v>
      </c>
      <c r="B15" s="55"/>
      <c r="C15" s="55"/>
      <c r="D15" s="55"/>
      <c r="E15" s="55"/>
      <c r="F15" s="55"/>
      <c r="G15" s="55"/>
      <c r="H15" s="55"/>
    </row>
    <row r="16" spans="1:12" ht="15" customHeight="1" x14ac:dyDescent="0.35">
      <c r="A16" s="54" t="s">
        <v>90</v>
      </c>
      <c r="B16" s="55"/>
      <c r="C16" s="55"/>
      <c r="D16" s="55"/>
      <c r="E16" s="55"/>
      <c r="F16" s="55"/>
      <c r="G16" s="55"/>
      <c r="H16" s="55"/>
      <c r="I16" s="55"/>
      <c r="J16" s="55"/>
      <c r="K16" s="55"/>
      <c r="L16" s="55"/>
    </row>
    <row r="17" spans="1:12" ht="15" customHeight="1" x14ac:dyDescent="0.35">
      <c r="A17" s="47"/>
      <c r="B17" s="47"/>
      <c r="C17" s="47"/>
      <c r="D17" s="47"/>
      <c r="E17" s="47"/>
      <c r="F17" s="47"/>
      <c r="G17" s="47"/>
      <c r="H17" s="47"/>
      <c r="I17" s="47"/>
      <c r="J17" s="47"/>
      <c r="K17" s="47"/>
      <c r="L17" s="47"/>
    </row>
    <row r="18" spans="1:12" ht="15" customHeight="1" x14ac:dyDescent="0.35">
      <c r="A18" s="56" t="s">
        <v>1085</v>
      </c>
      <c r="B18" s="47"/>
      <c r="C18" s="47"/>
      <c r="D18" s="47"/>
      <c r="E18" s="47"/>
      <c r="F18" s="47"/>
      <c r="G18" s="47"/>
      <c r="H18" s="47"/>
      <c r="I18" s="47"/>
      <c r="J18" s="47"/>
      <c r="K18" s="47"/>
      <c r="L18" s="47"/>
    </row>
    <row r="19" spans="1:12" ht="15" customHeight="1" x14ac:dyDescent="0.35">
      <c r="A19" s="54" t="s">
        <v>1086</v>
      </c>
      <c r="B19" s="55"/>
      <c r="C19" s="55"/>
      <c r="D19" s="55"/>
      <c r="E19" s="55"/>
      <c r="F19" s="55"/>
      <c r="G19" s="55"/>
      <c r="H19" s="55"/>
      <c r="I19" s="55"/>
      <c r="J19" s="55"/>
      <c r="K19" s="55"/>
      <c r="L19" s="55"/>
    </row>
    <row r="20" spans="1:12" ht="29" x14ac:dyDescent="0.35">
      <c r="A20" s="26" t="s">
        <v>1087</v>
      </c>
      <c r="B20" s="26" t="s">
        <v>1088</v>
      </c>
    </row>
    <row r="21" spans="1:12" ht="15" customHeight="1" x14ac:dyDescent="0.35">
      <c r="A21" s="54" t="s">
        <v>1089</v>
      </c>
      <c r="B21" s="55"/>
      <c r="C21" s="55"/>
      <c r="D21" s="55"/>
      <c r="E21" s="55"/>
      <c r="F21" s="55"/>
      <c r="G21" s="55"/>
      <c r="H21" s="55"/>
    </row>
    <row r="22" spans="1:12" ht="15" customHeight="1" x14ac:dyDescent="0.35">
      <c r="A22" s="54" t="s">
        <v>1090</v>
      </c>
      <c r="B22" s="55"/>
      <c r="C22" s="55"/>
      <c r="D22" s="55"/>
      <c r="E22" s="55"/>
      <c r="F22" s="55"/>
      <c r="G22" s="55"/>
      <c r="H22" s="55"/>
      <c r="I22" s="55"/>
      <c r="J22" s="55"/>
      <c r="K22" s="55"/>
      <c r="L22" s="55"/>
    </row>
    <row r="23" spans="1:12" ht="15" customHeight="1" x14ac:dyDescent="0.35">
      <c r="A23" s="54" t="s">
        <v>1091</v>
      </c>
      <c r="B23" s="55"/>
      <c r="C23" s="55"/>
      <c r="D23" s="55"/>
      <c r="E23" s="55"/>
      <c r="F23" s="55"/>
      <c r="G23" s="55"/>
      <c r="H23" s="55"/>
      <c r="I23" s="55"/>
      <c r="J23" s="55"/>
      <c r="K23" s="55"/>
      <c r="L23" s="55"/>
    </row>
    <row r="24" spans="1:12" ht="15" customHeight="1" x14ac:dyDescent="0.35">
      <c r="A24" s="47"/>
      <c r="B24" s="47"/>
      <c r="C24" s="47"/>
      <c r="D24" s="47"/>
      <c r="E24" s="47"/>
      <c r="F24" s="47"/>
      <c r="G24" s="47"/>
      <c r="H24" s="47"/>
      <c r="I24" s="47"/>
      <c r="J24" s="47"/>
      <c r="K24" s="47"/>
      <c r="L24" s="47"/>
    </row>
    <row r="25" spans="1:12" ht="15" customHeight="1" x14ac:dyDescent="0.35">
      <c r="A25" s="47" t="s">
        <v>1092</v>
      </c>
      <c r="B25" s="47"/>
      <c r="C25" s="47"/>
      <c r="D25" s="47"/>
      <c r="E25" s="47"/>
      <c r="F25" s="47"/>
      <c r="G25" s="47"/>
      <c r="H25" s="47"/>
      <c r="I25" s="47"/>
      <c r="J25" s="47"/>
      <c r="K25" s="47"/>
      <c r="L25" s="47"/>
    </row>
    <row r="26" spans="1:12" ht="14.5" x14ac:dyDescent="0.35">
      <c r="A26" t="s">
        <v>1093</v>
      </c>
    </row>
    <row r="27" spans="1:12" ht="15" customHeight="1" x14ac:dyDescent="0.35">
      <c r="A27" s="47"/>
      <c r="B27" s="47"/>
      <c r="C27" s="47"/>
      <c r="D27" s="47"/>
      <c r="E27" s="47"/>
      <c r="F27" s="47"/>
      <c r="G27" s="47"/>
      <c r="H27" s="47"/>
    </row>
    <row r="28" spans="1:12" ht="15" customHeight="1" x14ac:dyDescent="0.35">
      <c r="A28" s="47"/>
      <c r="B28" s="47"/>
      <c r="C28" s="47"/>
      <c r="D28" s="47"/>
      <c r="E28" s="47"/>
      <c r="F28" s="47"/>
      <c r="G28" s="47"/>
      <c r="H28" s="47"/>
      <c r="I28" s="47"/>
      <c r="J28" s="47"/>
      <c r="K28" s="47"/>
      <c r="L28" s="47"/>
    </row>
    <row r="29" spans="1:12" ht="15" customHeight="1" x14ac:dyDescent="0.35">
      <c r="A29" s="47"/>
      <c r="B29" s="47"/>
      <c r="C29" s="47"/>
      <c r="D29" s="47"/>
      <c r="E29" s="47"/>
      <c r="F29" s="47"/>
      <c r="G29" s="47"/>
      <c r="H29" s="47"/>
      <c r="I29" s="47"/>
      <c r="J29" s="47"/>
      <c r="K29" s="47"/>
      <c r="L29" s="47"/>
    </row>
    <row r="30" spans="1:12" ht="15" customHeight="1" x14ac:dyDescent="0.35">
      <c r="A30" s="47"/>
      <c r="B30" s="47"/>
      <c r="C30" s="47"/>
      <c r="D30" s="47"/>
      <c r="E30" s="47"/>
      <c r="F30" s="47"/>
      <c r="G30" s="47"/>
      <c r="H30" s="47"/>
      <c r="I30" s="47"/>
      <c r="J30" s="47"/>
      <c r="K30" s="47"/>
      <c r="L30" s="47"/>
    </row>
    <row r="31" spans="1:12" ht="15" customHeight="1" x14ac:dyDescent="0.35">
      <c r="A31" s="47"/>
      <c r="B31" s="47"/>
      <c r="C31" s="47"/>
      <c r="D31" s="47"/>
      <c r="E31" s="47"/>
      <c r="F31" s="47"/>
      <c r="G31" s="47"/>
      <c r="H31" s="47"/>
      <c r="I31" s="47"/>
      <c r="J31" s="47"/>
      <c r="K31" s="47"/>
      <c r="L31" s="47"/>
    </row>
    <row r="33" spans="1:12" ht="15" customHeight="1" x14ac:dyDescent="0.35">
      <c r="A33" s="47"/>
      <c r="B33" s="47"/>
      <c r="C33" s="47"/>
      <c r="D33" s="47"/>
      <c r="E33" s="47"/>
      <c r="F33" s="47"/>
      <c r="G33" s="47"/>
      <c r="H33" s="47"/>
    </row>
    <row r="34" spans="1:12" ht="15" customHeight="1" x14ac:dyDescent="0.35">
      <c r="A34" s="47"/>
      <c r="B34" s="47"/>
      <c r="C34" s="47"/>
      <c r="D34" s="47"/>
      <c r="E34" s="47"/>
      <c r="F34" s="47"/>
      <c r="G34" s="47"/>
      <c r="H34" s="47"/>
      <c r="I34" s="47"/>
      <c r="J34" s="47"/>
      <c r="K34" s="47"/>
      <c r="L34" s="47"/>
    </row>
    <row r="36" spans="1:12" ht="14.5" x14ac:dyDescent="0.35">
      <c r="A36" s="47" t="s">
        <v>1094</v>
      </c>
      <c r="B36" s="47"/>
      <c r="C36" s="47"/>
      <c r="D36" s="47"/>
      <c r="E36" s="47"/>
      <c r="F36" s="47"/>
      <c r="G36" s="47"/>
      <c r="H36" s="47"/>
    </row>
    <row r="37" spans="1:12" ht="14.5" x14ac:dyDescent="0.35">
      <c r="A37" s="47" t="s">
        <v>1095</v>
      </c>
      <c r="B37" s="47"/>
      <c r="C37" s="47"/>
      <c r="D37" s="47"/>
      <c r="E37" s="47"/>
      <c r="F37" s="47"/>
      <c r="G37" s="47"/>
      <c r="H37" s="47"/>
    </row>
    <row r="38" spans="1:12" ht="14.5" x14ac:dyDescent="0.35">
      <c r="A38" s="47" t="s">
        <v>1096</v>
      </c>
      <c r="B38" s="47"/>
      <c r="C38" s="47"/>
      <c r="D38" s="47"/>
      <c r="E38" s="47"/>
      <c r="F38" s="47"/>
      <c r="G38" s="47"/>
      <c r="H38" s="47"/>
    </row>
  </sheetData>
  <mergeCells count="29">
    <mergeCell ref="A4:H4"/>
    <mergeCell ref="A24:L24"/>
    <mergeCell ref="A30:L30"/>
    <mergeCell ref="A38:H38"/>
    <mergeCell ref="A6:L6"/>
    <mergeCell ref="A37:H37"/>
    <mergeCell ref="A27:H27"/>
    <mergeCell ref="A21:H21"/>
    <mergeCell ref="A29:L29"/>
    <mergeCell ref="A19:L19"/>
    <mergeCell ref="A28:L28"/>
    <mergeCell ref="A31:L31"/>
    <mergeCell ref="A33:H33"/>
    <mergeCell ref="A34:L34"/>
    <mergeCell ref="A5:L5"/>
    <mergeCell ref="A23:L23"/>
    <mergeCell ref="A8:L8"/>
    <mergeCell ref="A22:L22"/>
    <mergeCell ref="A17:L17"/>
    <mergeCell ref="A13:L13"/>
    <mergeCell ref="A9:L9"/>
    <mergeCell ref="A16:L16"/>
    <mergeCell ref="A7:L7"/>
    <mergeCell ref="A25:L25"/>
    <mergeCell ref="A15:H15"/>
    <mergeCell ref="A36:H36"/>
    <mergeCell ref="A11:H11"/>
    <mergeCell ref="A18:L18"/>
    <mergeCell ref="A12:L12"/>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36"/>
  <sheetViews>
    <sheetView showGridLines="0" zoomScaleNormal="100" workbookViewId="0">
      <pane ySplit="10" topLeftCell="A11" activePane="bottomLeft" state="frozen"/>
      <selection pane="bottomLeft"/>
    </sheetView>
  </sheetViews>
  <sheetFormatPr defaultColWidth="8.6328125" defaultRowHeight="15" customHeight="1" x14ac:dyDescent="0.35"/>
  <cols>
    <col min="1" max="1" width="11" customWidth="1"/>
    <col min="2" max="2" width="26" customWidth="1"/>
    <col min="3" max="3" width="10" customWidth="1"/>
    <col min="4" max="4" width="20" customWidth="1"/>
    <col min="5" max="5" width="24" customWidth="1"/>
    <col min="6" max="6" width="16" customWidth="1"/>
    <col min="7" max="7" width="18" customWidth="1"/>
    <col min="8" max="8" width="32" customWidth="1"/>
    <col min="9" max="9" width="14" customWidth="1"/>
    <col min="10" max="10" width="15" customWidth="1"/>
    <col min="11" max="11" width="13" customWidth="1"/>
    <col min="12" max="12" width="52" customWidth="1"/>
    <col min="13" max="17" width="12" customWidth="1"/>
    <col min="18" max="19" width="14" customWidth="1"/>
    <col min="20" max="20" width="16" customWidth="1"/>
    <col min="21" max="23" width="34" customWidth="1"/>
  </cols>
  <sheetData>
    <row r="1" spans="1:23" ht="19.5" customHeight="1" x14ac:dyDescent="0.4">
      <c r="A1" s="2" t="s">
        <v>1097</v>
      </c>
    </row>
    <row r="2" spans="1:23" ht="256.5" customHeight="1" x14ac:dyDescent="0.35">
      <c r="A2" s="9" t="s">
        <v>1098</v>
      </c>
    </row>
    <row r="4" spans="1:23" ht="15" customHeight="1" x14ac:dyDescent="0.35">
      <c r="A4" s="10" t="s">
        <v>1099</v>
      </c>
      <c r="B4" s="11"/>
      <c r="D4" s="10" t="s">
        <v>1100</v>
      </c>
      <c r="E4" s="11"/>
      <c r="G4" s="10" t="s">
        <v>247</v>
      </c>
      <c r="H4" s="11" t="s">
        <v>251</v>
      </c>
      <c r="J4" s="30" t="s">
        <v>1101</v>
      </c>
      <c r="K4" s="13" t="str">
        <f>IF(COUNTA(F12:F36)=0,"",ROUND(SUM(T12:T36),1))</f>
        <v/>
      </c>
    </row>
    <row r="5" spans="1:23" ht="15" customHeight="1" x14ac:dyDescent="0.35">
      <c r="A5" s="10" t="s">
        <v>1102</v>
      </c>
      <c r="B5" s="11" t="s">
        <v>71</v>
      </c>
      <c r="D5" s="31" t="s">
        <v>208</v>
      </c>
      <c r="E5" s="42" t="s">
        <v>209</v>
      </c>
      <c r="G5" s="31" t="s">
        <v>255</v>
      </c>
      <c r="H5" s="42" t="s">
        <v>79</v>
      </c>
      <c r="J5" s="30" t="s">
        <v>1103</v>
      </c>
      <c r="K5" s="14" t="str">
        <f>IF(COUNTA(F12:F36)=0,"",COUNTIFS(C12:C36,"Yes",M12:M36,"&lt;=33"))</f>
        <v/>
      </c>
    </row>
    <row r="6" spans="1:23" ht="15" customHeight="1" x14ac:dyDescent="0.35">
      <c r="D6" s="31" t="s">
        <v>231</v>
      </c>
      <c r="E6" s="43" t="s">
        <v>78</v>
      </c>
      <c r="G6" s="31" t="s">
        <v>1104</v>
      </c>
      <c r="H6" s="4" t="s">
        <v>1105</v>
      </c>
      <c r="J6" s="30" t="s">
        <v>1106</v>
      </c>
      <c r="K6" s="14" t="str">
        <f>IF(COUNTA(F12:F36)=0,"",COUNTIFS(C12:C36,"Yes",M12:M36,0))</f>
        <v/>
      </c>
    </row>
    <row r="7" spans="1:23" ht="15" customHeight="1" x14ac:dyDescent="0.35">
      <c r="A7" s="31" t="s">
        <v>165</v>
      </c>
      <c r="B7" s="32" t="s">
        <v>172</v>
      </c>
      <c r="D7" s="31" t="s">
        <v>1107</v>
      </c>
      <c r="E7" s="33" t="str">
        <f>IF(COUNTA(F12:F36)=0,"",ROUND(SUM(T12:T36),1))</f>
        <v/>
      </c>
      <c r="G7" s="4" t="s">
        <v>1108</v>
      </c>
      <c r="J7" s="12" t="s">
        <v>1109</v>
      </c>
      <c r="K7" s="13" t="str">
        <f>IF(K4="","",IF(K4&gt;=82,"Strong winnability",IF(K4&gt;=68,"Credible / action needed",IF(K4&gt;=52,"Fragile / conditional","Weak winnability"))))</f>
        <v/>
      </c>
    </row>
    <row r="8" spans="1:23" ht="68.25" customHeight="1" x14ac:dyDescent="0.35">
      <c r="J8" s="12" t="s">
        <v>1110</v>
      </c>
      <c r="K8" s="14" t="str">
        <f>IF(K4="","",IF(K5&gt;=3,"3+ critical questions are weak — do not rate above Fragile / Conditional",IF(K6&gt;=2,"2+ critical questions are Strongly Disagree — default to Watch / Shape or No Bid unless a compelling fix plan exists","Use judgment alongside score; artifacts do not guarantee correctness")))</f>
        <v/>
      </c>
      <c r="L8" s="31" t="s">
        <v>1111</v>
      </c>
      <c r="M8" s="4" t="s">
        <v>1112</v>
      </c>
    </row>
    <row r="11" spans="1:23" ht="27.75" customHeight="1" x14ac:dyDescent="0.35">
      <c r="A11" s="34" t="s">
        <v>107</v>
      </c>
      <c r="B11" s="34" t="s">
        <v>472</v>
      </c>
      <c r="C11" s="34" t="s">
        <v>474</v>
      </c>
      <c r="D11" s="34" t="s">
        <v>1113</v>
      </c>
      <c r="E11" s="34" t="s">
        <v>476</v>
      </c>
      <c r="F11" s="34" t="s">
        <v>51</v>
      </c>
      <c r="G11" s="34" t="s">
        <v>1114</v>
      </c>
      <c r="H11" s="34" t="s">
        <v>1115</v>
      </c>
      <c r="I11" s="34" t="s">
        <v>56</v>
      </c>
      <c r="J11" s="34" t="s">
        <v>1116</v>
      </c>
      <c r="K11" s="34" t="s">
        <v>1117</v>
      </c>
      <c r="L11" s="34" t="s">
        <v>1118</v>
      </c>
      <c r="M11" s="34" t="s">
        <v>1119</v>
      </c>
      <c r="N11" s="34" t="s">
        <v>1120</v>
      </c>
      <c r="O11" s="34" t="s">
        <v>1121</v>
      </c>
      <c r="P11" s="34" t="s">
        <v>1122</v>
      </c>
      <c r="Q11" s="34" t="s">
        <v>1123</v>
      </c>
      <c r="R11" s="34" t="s">
        <v>1124</v>
      </c>
      <c r="S11" s="34" t="s">
        <v>1125</v>
      </c>
      <c r="T11" s="28" t="s">
        <v>1126</v>
      </c>
      <c r="U11" s="37" t="s">
        <v>1127</v>
      </c>
      <c r="V11" s="37" t="s">
        <v>1128</v>
      </c>
      <c r="W11" s="37" t="s">
        <v>1129</v>
      </c>
    </row>
    <row r="12" spans="1:23" ht="27.75" customHeight="1" x14ac:dyDescent="0.35">
      <c r="A12" s="6" t="s">
        <v>112</v>
      </c>
      <c r="B12" s="8" t="s">
        <v>166</v>
      </c>
      <c r="C12" s="7" t="s">
        <v>479</v>
      </c>
      <c r="D12" s="8">
        <f>IFERROR(INDEX(Archetype_Weights!$B$2:$F$9,MATCH($B$7,Archetype_Weights!$A$2:$A$9,0),MATCH(B12,Archetype_Weights!$B$1:$F$1,0))/5,"")</f>
        <v>5</v>
      </c>
      <c r="E12" s="8" t="s">
        <v>481</v>
      </c>
      <c r="F12" s="15"/>
      <c r="G12" s="15"/>
      <c r="H12" s="15"/>
      <c r="I12" s="15"/>
      <c r="J12" s="15"/>
      <c r="K12" s="16"/>
      <c r="L12" s="17"/>
      <c r="M12" s="18" t="str">
        <f>IFERROR(VLOOKUP(F12,Lookups!$A$2:$B$5,2,FALSE()),"")</f>
        <v/>
      </c>
      <c r="N12" s="18" t="str">
        <f>IFERROR(VLOOKUP(G12,Lookups!$D$2:$E$5,2,FALSE()),"")</f>
        <v/>
      </c>
      <c r="O12" s="18" t="str">
        <f>IFERROR(VLOOKUP(H12,Lookups!$G$2:$H$5,2,FALSE()),"")</f>
        <v/>
      </c>
      <c r="P12" s="18" t="str">
        <f>IFERROR(VLOOKUP(I12,Lookups!$J$2:$K$5,2,FALSE()),"")</f>
        <v/>
      </c>
      <c r="Q12" s="18" t="str">
        <f>IFERROR(VLOOKUP(J12,Lookups!$M$2:$N$4,2,FALSE()),"")</f>
        <v/>
      </c>
      <c r="R12" s="18" t="str">
        <f t="shared" ref="R12:R36" si="0">IF(OR(M12="",N12="",O12="",P12="",Q12=""),"",ROUND(M12*N12*O12*P12*Q12/10000,1))</f>
        <v/>
      </c>
      <c r="S12" s="18" t="str">
        <f t="shared" ref="S12:S36" si="1">IF(R12="","",ROUND(R12*5/100,2))</f>
        <v/>
      </c>
      <c r="T12" t="str">
        <f t="shared" ref="T12:T36" si="2">IF(R12="","",ROUND(R12*D12/100,2))</f>
        <v/>
      </c>
      <c r="U12" s="4"/>
      <c r="V12" s="4"/>
      <c r="W12" s="44"/>
    </row>
    <row r="13" spans="1:23" ht="27.75" customHeight="1" x14ac:dyDescent="0.35">
      <c r="A13" s="6" t="s">
        <v>116</v>
      </c>
      <c r="B13" s="8" t="s">
        <v>166</v>
      </c>
      <c r="C13" s="7" t="s">
        <v>484</v>
      </c>
      <c r="D13" s="8">
        <f>IFERROR(INDEX(Archetype_Weights!$B$2:$F$9,MATCH($B$7,Archetype_Weights!$A$2:$A$9,0),MATCH(B13,Archetype_Weights!$B$1:$F$1,0))/5,"")</f>
        <v>5</v>
      </c>
      <c r="E13" s="8" t="s">
        <v>486</v>
      </c>
      <c r="F13" s="15"/>
      <c r="G13" s="15"/>
      <c r="H13" s="15"/>
      <c r="I13" s="15"/>
      <c r="J13" s="15"/>
      <c r="K13" s="16"/>
      <c r="L13" s="17"/>
      <c r="M13" s="18" t="str">
        <f>IFERROR(VLOOKUP(F13,Lookups!$A$2:$B$5,2,FALSE()),"")</f>
        <v/>
      </c>
      <c r="N13" s="18" t="str">
        <f>IFERROR(VLOOKUP(G13,Lookups!$D$2:$E$5,2,FALSE()),"")</f>
        <v/>
      </c>
      <c r="O13" s="18" t="str">
        <f>IFERROR(VLOOKUP(H13,Lookups!$G$2:$H$5,2,FALSE()),"")</f>
        <v/>
      </c>
      <c r="P13" s="18" t="str">
        <f>IFERROR(VLOOKUP(I13,Lookups!$J$2:$K$5,2,FALSE()),"")</f>
        <v/>
      </c>
      <c r="Q13" s="18" t="str">
        <f>IFERROR(VLOOKUP(J13,Lookups!$M$2:$N$4,2,FALSE()),"")</f>
        <v/>
      </c>
      <c r="R13" s="18" t="str">
        <f t="shared" si="0"/>
        <v/>
      </c>
      <c r="S13" s="18" t="str">
        <f t="shared" si="1"/>
        <v/>
      </c>
      <c r="T13" t="str">
        <f t="shared" si="2"/>
        <v/>
      </c>
      <c r="U13" s="4"/>
      <c r="V13" s="4"/>
      <c r="W13" s="44"/>
    </row>
    <row r="14" spans="1:23" ht="27.75" customHeight="1" x14ac:dyDescent="0.35">
      <c r="A14" s="6" t="s">
        <v>117</v>
      </c>
      <c r="B14" s="8" t="s">
        <v>166</v>
      </c>
      <c r="C14" s="7" t="s">
        <v>484</v>
      </c>
      <c r="D14" s="8">
        <f>IFERROR(INDEX(Archetype_Weights!$B$2:$F$9,MATCH($B$7,Archetype_Weights!$A$2:$A$9,0),MATCH(B14,Archetype_Weights!$B$1:$F$1,0))/5,"")</f>
        <v>5</v>
      </c>
      <c r="E14" s="8" t="s">
        <v>490</v>
      </c>
      <c r="F14" s="15"/>
      <c r="G14" s="15"/>
      <c r="H14" s="15"/>
      <c r="I14" s="15"/>
      <c r="J14" s="15"/>
      <c r="K14" s="16"/>
      <c r="L14" s="17"/>
      <c r="M14" s="18" t="str">
        <f>IFERROR(VLOOKUP(F14,Lookups!$A$2:$B$5,2,FALSE()),"")</f>
        <v/>
      </c>
      <c r="N14" s="18" t="str">
        <f>IFERROR(VLOOKUP(G14,Lookups!$D$2:$E$5,2,FALSE()),"")</f>
        <v/>
      </c>
      <c r="O14" s="18" t="str">
        <f>IFERROR(VLOOKUP(H14,Lookups!$G$2:$H$5,2,FALSE()),"")</f>
        <v/>
      </c>
      <c r="P14" s="18" t="str">
        <f>IFERROR(VLOOKUP(I14,Lookups!$J$2:$K$5,2,FALSE()),"")</f>
        <v/>
      </c>
      <c r="Q14" s="18" t="str">
        <f>IFERROR(VLOOKUP(J14,Lookups!$M$2:$N$4,2,FALSE()),"")</f>
        <v/>
      </c>
      <c r="R14" s="18" t="str">
        <f t="shared" si="0"/>
        <v/>
      </c>
      <c r="S14" s="18" t="str">
        <f t="shared" si="1"/>
        <v/>
      </c>
      <c r="T14" t="str">
        <f t="shared" si="2"/>
        <v/>
      </c>
      <c r="U14" s="4"/>
      <c r="V14" s="4"/>
      <c r="W14" s="44"/>
    </row>
    <row r="15" spans="1:23" ht="27.75" customHeight="1" x14ac:dyDescent="0.35">
      <c r="A15" s="6" t="s">
        <v>118</v>
      </c>
      <c r="B15" s="8" t="s">
        <v>166</v>
      </c>
      <c r="C15" s="7" t="s">
        <v>484</v>
      </c>
      <c r="D15" s="8">
        <f>IFERROR(INDEX(Archetype_Weights!$B$2:$F$9,MATCH($B$7,Archetype_Weights!$A$2:$A$9,0),MATCH(B15,Archetype_Weights!$B$1:$F$1,0))/5,"")</f>
        <v>5</v>
      </c>
      <c r="E15" s="8" t="s">
        <v>494</v>
      </c>
      <c r="F15" s="15"/>
      <c r="G15" s="15"/>
      <c r="H15" s="15"/>
      <c r="I15" s="15"/>
      <c r="J15" s="15"/>
      <c r="K15" s="16"/>
      <c r="L15" s="17"/>
      <c r="M15" s="18" t="str">
        <f>IFERROR(VLOOKUP(F15,Lookups!$A$2:$B$5,2,FALSE()),"")</f>
        <v/>
      </c>
      <c r="N15" s="18" t="str">
        <f>IFERROR(VLOOKUP(G15,Lookups!$D$2:$E$5,2,FALSE()),"")</f>
        <v/>
      </c>
      <c r="O15" s="18" t="str">
        <f>IFERROR(VLOOKUP(H15,Lookups!$G$2:$H$5,2,FALSE()),"")</f>
        <v/>
      </c>
      <c r="P15" s="18" t="str">
        <f>IFERROR(VLOOKUP(I15,Lookups!$J$2:$K$5,2,FALSE()),"")</f>
        <v/>
      </c>
      <c r="Q15" s="18" t="str">
        <f>IFERROR(VLOOKUP(J15,Lookups!$M$2:$N$4,2,FALSE()),"")</f>
        <v/>
      </c>
      <c r="R15" s="18" t="str">
        <f t="shared" si="0"/>
        <v/>
      </c>
      <c r="S15" s="18" t="str">
        <f t="shared" si="1"/>
        <v/>
      </c>
      <c r="T15" t="str">
        <f t="shared" si="2"/>
        <v/>
      </c>
      <c r="U15" s="4"/>
      <c r="V15" s="4"/>
      <c r="W15" s="44"/>
    </row>
    <row r="16" spans="1:23" ht="27.75" customHeight="1" x14ac:dyDescent="0.35">
      <c r="A16" s="6" t="s">
        <v>119</v>
      </c>
      <c r="B16" s="8" t="s">
        <v>166</v>
      </c>
      <c r="C16" s="7" t="s">
        <v>484</v>
      </c>
      <c r="D16" s="8">
        <f>IFERROR(INDEX(Archetype_Weights!$B$2:$F$9,MATCH($B$7,Archetype_Weights!$A$2:$A$9,0),MATCH(B16,Archetype_Weights!$B$1:$F$1,0))/5,"")</f>
        <v>5</v>
      </c>
      <c r="E16" s="8" t="s">
        <v>498</v>
      </c>
      <c r="F16" s="15"/>
      <c r="G16" s="15"/>
      <c r="H16" s="15"/>
      <c r="I16" s="15"/>
      <c r="J16" s="15"/>
      <c r="K16" s="16"/>
      <c r="L16" s="17"/>
      <c r="M16" s="18" t="str">
        <f>IFERROR(VLOOKUP(F16,Lookups!$A$2:$B$5,2,FALSE()),"")</f>
        <v/>
      </c>
      <c r="N16" s="18" t="str">
        <f>IFERROR(VLOOKUP(G16,Lookups!$D$2:$E$5,2,FALSE()),"")</f>
        <v/>
      </c>
      <c r="O16" s="18" t="str">
        <f>IFERROR(VLOOKUP(H16,Lookups!$G$2:$H$5,2,FALSE()),"")</f>
        <v/>
      </c>
      <c r="P16" s="18" t="str">
        <f>IFERROR(VLOOKUP(I16,Lookups!$J$2:$K$5,2,FALSE()),"")</f>
        <v/>
      </c>
      <c r="Q16" s="18" t="str">
        <f>IFERROR(VLOOKUP(J16,Lookups!$M$2:$N$4,2,FALSE()),"")</f>
        <v/>
      </c>
      <c r="R16" s="18" t="str">
        <f t="shared" si="0"/>
        <v/>
      </c>
      <c r="S16" s="18" t="str">
        <f t="shared" si="1"/>
        <v/>
      </c>
      <c r="T16" t="str">
        <f t="shared" si="2"/>
        <v/>
      </c>
      <c r="U16" s="4"/>
      <c r="V16" s="4"/>
      <c r="W16" s="44"/>
    </row>
    <row r="17" spans="1:23" ht="27.75" customHeight="1" x14ac:dyDescent="0.35">
      <c r="A17" s="6" t="s">
        <v>120</v>
      </c>
      <c r="B17" s="8" t="s">
        <v>167</v>
      </c>
      <c r="C17" s="7" t="s">
        <v>479</v>
      </c>
      <c r="D17" s="8">
        <f>IFERROR(INDEX(Archetype_Weights!$B$2:$F$9,MATCH($B$7,Archetype_Weights!$A$2:$A$9,0),MATCH(B17,Archetype_Weights!$B$1:$F$1,0))/5,"")</f>
        <v>5</v>
      </c>
      <c r="E17" s="8" t="s">
        <v>502</v>
      </c>
      <c r="F17" s="15"/>
      <c r="G17" s="15"/>
      <c r="H17" s="15"/>
      <c r="I17" s="15"/>
      <c r="J17" s="15"/>
      <c r="K17" s="16"/>
      <c r="L17" s="17"/>
      <c r="M17" s="18" t="str">
        <f>IFERROR(VLOOKUP(F17,Lookups!$A$2:$B$5,2,FALSE()),"")</f>
        <v/>
      </c>
      <c r="N17" s="18" t="str">
        <f>IFERROR(VLOOKUP(G17,Lookups!$D$2:$E$5,2,FALSE()),"")</f>
        <v/>
      </c>
      <c r="O17" s="18" t="str">
        <f>IFERROR(VLOOKUP(H17,Lookups!$G$2:$H$5,2,FALSE()),"")</f>
        <v/>
      </c>
      <c r="P17" s="18" t="str">
        <f>IFERROR(VLOOKUP(I17,Lookups!$J$2:$K$5,2,FALSE()),"")</f>
        <v/>
      </c>
      <c r="Q17" s="18" t="str">
        <f>IFERROR(VLOOKUP(J17,Lookups!$M$2:$N$4,2,FALSE()),"")</f>
        <v/>
      </c>
      <c r="R17" s="18" t="str">
        <f t="shared" si="0"/>
        <v/>
      </c>
      <c r="S17" s="18" t="str">
        <f t="shared" si="1"/>
        <v/>
      </c>
      <c r="T17" t="str">
        <f t="shared" si="2"/>
        <v/>
      </c>
      <c r="U17" s="4"/>
      <c r="V17" s="4"/>
      <c r="W17" s="44"/>
    </row>
    <row r="18" spans="1:23" ht="27.75" customHeight="1" x14ac:dyDescent="0.35">
      <c r="A18" s="6" t="s">
        <v>121</v>
      </c>
      <c r="B18" s="8" t="s">
        <v>167</v>
      </c>
      <c r="C18" s="7" t="s">
        <v>484</v>
      </c>
      <c r="D18" s="8">
        <f>IFERROR(INDEX(Archetype_Weights!$B$2:$F$9,MATCH($B$7,Archetype_Weights!$A$2:$A$9,0),MATCH(B18,Archetype_Weights!$B$1:$F$1,0))/5,"")</f>
        <v>5</v>
      </c>
      <c r="E18" s="8" t="s">
        <v>506</v>
      </c>
      <c r="F18" s="15"/>
      <c r="G18" s="15"/>
      <c r="H18" s="15"/>
      <c r="I18" s="15"/>
      <c r="J18" s="15"/>
      <c r="K18" s="16"/>
      <c r="L18" s="17"/>
      <c r="M18" s="18" t="str">
        <f>IFERROR(VLOOKUP(F18,Lookups!$A$2:$B$5,2,FALSE()),"")</f>
        <v/>
      </c>
      <c r="N18" s="18" t="str">
        <f>IFERROR(VLOOKUP(G18,Lookups!$D$2:$E$5,2,FALSE()),"")</f>
        <v/>
      </c>
      <c r="O18" s="18" t="str">
        <f>IFERROR(VLOOKUP(H18,Lookups!$G$2:$H$5,2,FALSE()),"")</f>
        <v/>
      </c>
      <c r="P18" s="18" t="str">
        <f>IFERROR(VLOOKUP(I18,Lookups!$J$2:$K$5,2,FALSE()),"")</f>
        <v/>
      </c>
      <c r="Q18" s="18" t="str">
        <f>IFERROR(VLOOKUP(J18,Lookups!$M$2:$N$4,2,FALSE()),"")</f>
        <v/>
      </c>
      <c r="R18" s="18" t="str">
        <f t="shared" si="0"/>
        <v/>
      </c>
      <c r="S18" s="18" t="str">
        <f t="shared" si="1"/>
        <v/>
      </c>
      <c r="T18" t="str">
        <f t="shared" si="2"/>
        <v/>
      </c>
      <c r="U18" s="4"/>
      <c r="V18" s="4"/>
      <c r="W18" s="44"/>
    </row>
    <row r="19" spans="1:23" ht="27.75" customHeight="1" x14ac:dyDescent="0.35">
      <c r="A19" s="6" t="s">
        <v>122</v>
      </c>
      <c r="B19" s="8" t="s">
        <v>167</v>
      </c>
      <c r="C19" s="7" t="s">
        <v>484</v>
      </c>
      <c r="D19" s="8">
        <f>IFERROR(INDEX(Archetype_Weights!$B$2:$F$9,MATCH($B$7,Archetype_Weights!$A$2:$A$9,0),MATCH(B19,Archetype_Weights!$B$1:$F$1,0))/5,"")</f>
        <v>5</v>
      </c>
      <c r="E19" s="8" t="s">
        <v>510</v>
      </c>
      <c r="F19" s="15"/>
      <c r="G19" s="15"/>
      <c r="H19" s="15"/>
      <c r="I19" s="15"/>
      <c r="J19" s="15"/>
      <c r="K19" s="16"/>
      <c r="L19" s="17"/>
      <c r="M19" s="18" t="str">
        <f>IFERROR(VLOOKUP(F19,Lookups!$A$2:$B$5,2,FALSE()),"")</f>
        <v/>
      </c>
      <c r="N19" s="18" t="str">
        <f>IFERROR(VLOOKUP(G19,Lookups!$D$2:$E$5,2,FALSE()),"")</f>
        <v/>
      </c>
      <c r="O19" s="18" t="str">
        <f>IFERROR(VLOOKUP(H19,Lookups!$G$2:$H$5,2,FALSE()),"")</f>
        <v/>
      </c>
      <c r="P19" s="18" t="str">
        <f>IFERROR(VLOOKUP(I19,Lookups!$J$2:$K$5,2,FALSE()),"")</f>
        <v/>
      </c>
      <c r="Q19" s="18" t="str">
        <f>IFERROR(VLOOKUP(J19,Lookups!$M$2:$N$4,2,FALSE()),"")</f>
        <v/>
      </c>
      <c r="R19" s="18" t="str">
        <f t="shared" si="0"/>
        <v/>
      </c>
      <c r="S19" s="18" t="str">
        <f t="shared" si="1"/>
        <v/>
      </c>
      <c r="T19" t="str">
        <f t="shared" si="2"/>
        <v/>
      </c>
      <c r="U19" s="4"/>
      <c r="V19" s="4"/>
      <c r="W19" s="44"/>
    </row>
    <row r="20" spans="1:23" ht="27.75" customHeight="1" x14ac:dyDescent="0.35">
      <c r="A20" s="6" t="s">
        <v>123</v>
      </c>
      <c r="B20" s="8" t="s">
        <v>167</v>
      </c>
      <c r="C20" s="7" t="s">
        <v>479</v>
      </c>
      <c r="D20" s="8">
        <f>IFERROR(INDEX(Archetype_Weights!$B$2:$F$9,MATCH($B$7,Archetype_Weights!$A$2:$A$9,0),MATCH(B20,Archetype_Weights!$B$1:$F$1,0))/5,"")</f>
        <v>5</v>
      </c>
      <c r="E20" s="8" t="s">
        <v>514</v>
      </c>
      <c r="F20" s="15"/>
      <c r="G20" s="15"/>
      <c r="H20" s="15"/>
      <c r="I20" s="15"/>
      <c r="J20" s="15"/>
      <c r="K20" s="16"/>
      <c r="L20" s="17"/>
      <c r="M20" s="18" t="str">
        <f>IFERROR(VLOOKUP(F20,Lookups!$A$2:$B$5,2,FALSE()),"")</f>
        <v/>
      </c>
      <c r="N20" s="18" t="str">
        <f>IFERROR(VLOOKUP(G20,Lookups!$D$2:$E$5,2,FALSE()),"")</f>
        <v/>
      </c>
      <c r="O20" s="18" t="str">
        <f>IFERROR(VLOOKUP(H20,Lookups!$G$2:$H$5,2,FALSE()),"")</f>
        <v/>
      </c>
      <c r="P20" s="18" t="str">
        <f>IFERROR(VLOOKUP(I20,Lookups!$J$2:$K$5,2,FALSE()),"")</f>
        <v/>
      </c>
      <c r="Q20" s="18" t="str">
        <f>IFERROR(VLOOKUP(J20,Lookups!$M$2:$N$4,2,FALSE()),"")</f>
        <v/>
      </c>
      <c r="R20" s="18" t="str">
        <f t="shared" si="0"/>
        <v/>
      </c>
      <c r="S20" s="18" t="str">
        <f t="shared" si="1"/>
        <v/>
      </c>
      <c r="T20" t="str">
        <f t="shared" si="2"/>
        <v/>
      </c>
      <c r="U20" s="4"/>
      <c r="V20" s="4"/>
      <c r="W20" s="44"/>
    </row>
    <row r="21" spans="1:23" ht="27.75" customHeight="1" x14ac:dyDescent="0.35">
      <c r="A21" s="6" t="s">
        <v>124</v>
      </c>
      <c r="B21" s="8" t="s">
        <v>167</v>
      </c>
      <c r="C21" s="7" t="s">
        <v>484</v>
      </c>
      <c r="D21" s="8">
        <f>IFERROR(INDEX(Archetype_Weights!$B$2:$F$9,MATCH($B$7,Archetype_Weights!$A$2:$A$9,0),MATCH(B21,Archetype_Weights!$B$1:$F$1,0))/5,"")</f>
        <v>5</v>
      </c>
      <c r="E21" s="8" t="s">
        <v>518</v>
      </c>
      <c r="F21" s="15"/>
      <c r="G21" s="15"/>
      <c r="H21" s="15"/>
      <c r="I21" s="15"/>
      <c r="J21" s="15"/>
      <c r="K21" s="16"/>
      <c r="L21" s="17"/>
      <c r="M21" s="18" t="str">
        <f>IFERROR(VLOOKUP(F21,Lookups!$A$2:$B$5,2,FALSE()),"")</f>
        <v/>
      </c>
      <c r="N21" s="18" t="str">
        <f>IFERROR(VLOOKUP(G21,Lookups!$D$2:$E$5,2,FALSE()),"")</f>
        <v/>
      </c>
      <c r="O21" s="18" t="str">
        <f>IFERROR(VLOOKUP(H21,Lookups!$G$2:$H$5,2,FALSE()),"")</f>
        <v/>
      </c>
      <c r="P21" s="18" t="str">
        <f>IFERROR(VLOOKUP(I21,Lookups!$J$2:$K$5,2,FALSE()),"")</f>
        <v/>
      </c>
      <c r="Q21" s="18" t="str">
        <f>IFERROR(VLOOKUP(J21,Lookups!$M$2:$N$4,2,FALSE()),"")</f>
        <v/>
      </c>
      <c r="R21" s="18" t="str">
        <f t="shared" si="0"/>
        <v/>
      </c>
      <c r="S21" s="18" t="str">
        <f t="shared" si="1"/>
        <v/>
      </c>
      <c r="T21" t="str">
        <f t="shared" si="2"/>
        <v/>
      </c>
      <c r="U21" s="4"/>
      <c r="V21" s="4"/>
      <c r="W21" s="44"/>
    </row>
    <row r="22" spans="1:23" ht="27.75" customHeight="1" x14ac:dyDescent="0.35">
      <c r="A22" s="6" t="s">
        <v>125</v>
      </c>
      <c r="B22" s="8" t="s">
        <v>168</v>
      </c>
      <c r="C22" s="7" t="s">
        <v>484</v>
      </c>
      <c r="D22" s="8">
        <f>IFERROR(INDEX(Archetype_Weights!$B$2:$F$9,MATCH($B$7,Archetype_Weights!$A$2:$A$9,0),MATCH(B22,Archetype_Weights!$B$1:$F$1,0))/5,"")</f>
        <v>4</v>
      </c>
      <c r="E22" s="8" t="s">
        <v>522</v>
      </c>
      <c r="F22" s="15"/>
      <c r="G22" s="15"/>
      <c r="H22" s="15"/>
      <c r="I22" s="15"/>
      <c r="J22" s="15"/>
      <c r="K22" s="16"/>
      <c r="L22" s="17"/>
      <c r="M22" s="18" t="str">
        <f>IFERROR(VLOOKUP(F22,Lookups!$A$2:$B$5,2,FALSE()),"")</f>
        <v/>
      </c>
      <c r="N22" s="18" t="str">
        <f>IFERROR(VLOOKUP(G22,Lookups!$D$2:$E$5,2,FALSE()),"")</f>
        <v/>
      </c>
      <c r="O22" s="18" t="str">
        <f>IFERROR(VLOOKUP(H22,Lookups!$G$2:$H$5,2,FALSE()),"")</f>
        <v/>
      </c>
      <c r="P22" s="18" t="str">
        <f>IFERROR(VLOOKUP(I22,Lookups!$J$2:$K$5,2,FALSE()),"")</f>
        <v/>
      </c>
      <c r="Q22" s="18" t="str">
        <f>IFERROR(VLOOKUP(J22,Lookups!$M$2:$N$4,2,FALSE()),"")</f>
        <v/>
      </c>
      <c r="R22" s="18" t="str">
        <f t="shared" si="0"/>
        <v/>
      </c>
      <c r="S22" s="18" t="str">
        <f t="shared" si="1"/>
        <v/>
      </c>
      <c r="T22" t="str">
        <f t="shared" si="2"/>
        <v/>
      </c>
      <c r="U22" s="4"/>
      <c r="V22" s="4"/>
      <c r="W22" s="44"/>
    </row>
    <row r="23" spans="1:23" ht="27.75" customHeight="1" x14ac:dyDescent="0.35">
      <c r="A23" s="6" t="s">
        <v>126</v>
      </c>
      <c r="B23" s="8" t="s">
        <v>168</v>
      </c>
      <c r="C23" s="7" t="s">
        <v>484</v>
      </c>
      <c r="D23" s="8">
        <f>IFERROR(INDEX(Archetype_Weights!$B$2:$F$9,MATCH($B$7,Archetype_Weights!$A$2:$A$9,0),MATCH(B23,Archetype_Weights!$B$1:$F$1,0))/5,"")</f>
        <v>4</v>
      </c>
      <c r="E23" s="8" t="s">
        <v>525</v>
      </c>
      <c r="F23" s="15"/>
      <c r="G23" s="15"/>
      <c r="H23" s="15"/>
      <c r="I23" s="15"/>
      <c r="J23" s="15"/>
      <c r="K23" s="16"/>
      <c r="L23" s="17"/>
      <c r="M23" s="18" t="str">
        <f>IFERROR(VLOOKUP(F23,Lookups!$A$2:$B$5,2,FALSE()),"")</f>
        <v/>
      </c>
      <c r="N23" s="18" t="str">
        <f>IFERROR(VLOOKUP(G23,Lookups!$D$2:$E$5,2,FALSE()),"")</f>
        <v/>
      </c>
      <c r="O23" s="18" t="str">
        <f>IFERROR(VLOOKUP(H23,Lookups!$G$2:$H$5,2,FALSE()),"")</f>
        <v/>
      </c>
      <c r="P23" s="18" t="str">
        <f>IFERROR(VLOOKUP(I23,Lookups!$J$2:$K$5,2,FALSE()),"")</f>
        <v/>
      </c>
      <c r="Q23" s="18" t="str">
        <f>IFERROR(VLOOKUP(J23,Lookups!$M$2:$N$4,2,FALSE()),"")</f>
        <v/>
      </c>
      <c r="R23" s="18" t="str">
        <f t="shared" si="0"/>
        <v/>
      </c>
      <c r="S23" s="18" t="str">
        <f t="shared" si="1"/>
        <v/>
      </c>
      <c r="T23" t="str">
        <f t="shared" si="2"/>
        <v/>
      </c>
      <c r="U23" s="4"/>
      <c r="V23" s="4"/>
      <c r="W23" s="44"/>
    </row>
    <row r="24" spans="1:23" ht="27.75" customHeight="1" x14ac:dyDescent="0.35">
      <c r="A24" s="6" t="s">
        <v>127</v>
      </c>
      <c r="B24" s="8" t="s">
        <v>168</v>
      </c>
      <c r="C24" s="7" t="s">
        <v>479</v>
      </c>
      <c r="D24" s="8">
        <f>IFERROR(INDEX(Archetype_Weights!$B$2:$F$9,MATCH($B$7,Archetype_Weights!$A$2:$A$9,0),MATCH(B24,Archetype_Weights!$B$1:$F$1,0))/5,"")</f>
        <v>4</v>
      </c>
      <c r="E24" s="8" t="s">
        <v>529</v>
      </c>
      <c r="F24" s="15"/>
      <c r="G24" s="15"/>
      <c r="H24" s="15"/>
      <c r="I24" s="15"/>
      <c r="J24" s="15"/>
      <c r="K24" s="16"/>
      <c r="L24" s="17"/>
      <c r="M24" s="18" t="str">
        <f>IFERROR(VLOOKUP(F24,Lookups!$A$2:$B$5,2,FALSE()),"")</f>
        <v/>
      </c>
      <c r="N24" s="18" t="str">
        <f>IFERROR(VLOOKUP(G24,Lookups!$D$2:$E$5,2,FALSE()),"")</f>
        <v/>
      </c>
      <c r="O24" s="18" t="str">
        <f>IFERROR(VLOOKUP(H24,Lookups!$G$2:$H$5,2,FALSE()),"")</f>
        <v/>
      </c>
      <c r="P24" s="18" t="str">
        <f>IFERROR(VLOOKUP(I24,Lookups!$J$2:$K$5,2,FALSE()),"")</f>
        <v/>
      </c>
      <c r="Q24" s="18" t="str">
        <f>IFERROR(VLOOKUP(J24,Lookups!$M$2:$N$4,2,FALSE()),"")</f>
        <v/>
      </c>
      <c r="R24" s="18" t="str">
        <f t="shared" si="0"/>
        <v/>
      </c>
      <c r="S24" s="18" t="str">
        <f t="shared" si="1"/>
        <v/>
      </c>
      <c r="T24" t="str">
        <f t="shared" si="2"/>
        <v/>
      </c>
      <c r="U24" s="4"/>
      <c r="V24" s="4"/>
      <c r="W24" s="44"/>
    </row>
    <row r="25" spans="1:23" ht="27.75" customHeight="1" x14ac:dyDescent="0.35">
      <c r="A25" s="6" t="s">
        <v>129</v>
      </c>
      <c r="B25" s="8" t="s">
        <v>168</v>
      </c>
      <c r="C25" s="7" t="s">
        <v>484</v>
      </c>
      <c r="D25" s="8">
        <f>IFERROR(INDEX(Archetype_Weights!$B$2:$F$9,MATCH($B$7,Archetype_Weights!$A$2:$A$9,0),MATCH(B25,Archetype_Weights!$B$1:$F$1,0))/5,"")</f>
        <v>4</v>
      </c>
      <c r="E25" s="8" t="s">
        <v>533</v>
      </c>
      <c r="F25" s="15"/>
      <c r="G25" s="15"/>
      <c r="H25" s="15"/>
      <c r="I25" s="15"/>
      <c r="J25" s="15"/>
      <c r="K25" s="16"/>
      <c r="L25" s="17"/>
      <c r="M25" s="18" t="str">
        <f>IFERROR(VLOOKUP(F25,Lookups!$A$2:$B$5,2,FALSE()),"")</f>
        <v/>
      </c>
      <c r="N25" s="18" t="str">
        <f>IFERROR(VLOOKUP(G25,Lookups!$D$2:$E$5,2,FALSE()),"")</f>
        <v/>
      </c>
      <c r="O25" s="18" t="str">
        <f>IFERROR(VLOOKUP(H25,Lookups!$G$2:$H$5,2,FALSE()),"")</f>
        <v/>
      </c>
      <c r="P25" s="18" t="str">
        <f>IFERROR(VLOOKUP(I25,Lookups!$J$2:$K$5,2,FALSE()),"")</f>
        <v/>
      </c>
      <c r="Q25" s="18" t="str">
        <f>IFERROR(VLOOKUP(J25,Lookups!$M$2:$N$4,2,FALSE()),"")</f>
        <v/>
      </c>
      <c r="R25" s="18" t="str">
        <f t="shared" si="0"/>
        <v/>
      </c>
      <c r="S25" s="18" t="str">
        <f t="shared" si="1"/>
        <v/>
      </c>
      <c r="T25" t="str">
        <f t="shared" si="2"/>
        <v/>
      </c>
      <c r="U25" s="4"/>
      <c r="V25" s="4"/>
      <c r="W25" s="44"/>
    </row>
    <row r="26" spans="1:23" ht="27.75" customHeight="1" x14ac:dyDescent="0.35">
      <c r="A26" s="6" t="s">
        <v>130</v>
      </c>
      <c r="B26" s="8" t="s">
        <v>168</v>
      </c>
      <c r="C26" s="7" t="s">
        <v>484</v>
      </c>
      <c r="D26" s="8">
        <f>IFERROR(INDEX(Archetype_Weights!$B$2:$F$9,MATCH($B$7,Archetype_Weights!$A$2:$A$9,0),MATCH(B26,Archetype_Weights!$B$1:$F$1,0))/5,"")</f>
        <v>4</v>
      </c>
      <c r="E26" s="8" t="s">
        <v>537</v>
      </c>
      <c r="F26" s="15"/>
      <c r="G26" s="15"/>
      <c r="H26" s="15"/>
      <c r="I26" s="15"/>
      <c r="J26" s="15"/>
      <c r="K26" s="16"/>
      <c r="L26" s="17"/>
      <c r="M26" s="18" t="str">
        <f>IFERROR(VLOOKUP(F26,Lookups!$A$2:$B$5,2,FALSE()),"")</f>
        <v/>
      </c>
      <c r="N26" s="18" t="str">
        <f>IFERROR(VLOOKUP(G26,Lookups!$D$2:$E$5,2,FALSE()),"")</f>
        <v/>
      </c>
      <c r="O26" s="18" t="str">
        <f>IFERROR(VLOOKUP(H26,Lookups!$G$2:$H$5,2,FALSE()),"")</f>
        <v/>
      </c>
      <c r="P26" s="18" t="str">
        <f>IFERROR(VLOOKUP(I26,Lookups!$J$2:$K$5,2,FALSE()),"")</f>
        <v/>
      </c>
      <c r="Q26" s="18" t="str">
        <f>IFERROR(VLOOKUP(J26,Lookups!$M$2:$N$4,2,FALSE()),"")</f>
        <v/>
      </c>
      <c r="R26" s="18" t="str">
        <f t="shared" si="0"/>
        <v/>
      </c>
      <c r="S26" s="18" t="str">
        <f t="shared" si="1"/>
        <v/>
      </c>
      <c r="T26" t="str">
        <f t="shared" si="2"/>
        <v/>
      </c>
      <c r="U26" s="4"/>
      <c r="V26" s="4"/>
      <c r="W26" s="44"/>
    </row>
    <row r="27" spans="1:23" ht="41.25" customHeight="1" x14ac:dyDescent="0.35">
      <c r="A27" s="6" t="s">
        <v>131</v>
      </c>
      <c r="B27" s="8" t="s">
        <v>169</v>
      </c>
      <c r="C27" s="7" t="s">
        <v>479</v>
      </c>
      <c r="D27" s="8">
        <f>IFERROR(INDEX(Archetype_Weights!$B$2:$F$9,MATCH($B$7,Archetype_Weights!$A$2:$A$9,0),MATCH(B27,Archetype_Weights!$B$1:$F$1,0))/5,"")</f>
        <v>4</v>
      </c>
      <c r="E27" s="8" t="s">
        <v>541</v>
      </c>
      <c r="F27" s="15"/>
      <c r="G27" s="15"/>
      <c r="H27" s="15"/>
      <c r="I27" s="15"/>
      <c r="J27" s="15"/>
      <c r="K27" s="16"/>
      <c r="L27" s="17"/>
      <c r="M27" s="18" t="str">
        <f>IFERROR(VLOOKUP(F27,Lookups!$A$2:$B$5,2,FALSE()),"")</f>
        <v/>
      </c>
      <c r="N27" s="18" t="str">
        <f>IFERROR(VLOOKUP(G27,Lookups!$D$2:$E$5,2,FALSE()),"")</f>
        <v/>
      </c>
      <c r="O27" s="18" t="str">
        <f>IFERROR(VLOOKUP(H27,Lookups!$G$2:$H$5,2,FALSE()),"")</f>
        <v/>
      </c>
      <c r="P27" s="18" t="str">
        <f>IFERROR(VLOOKUP(I27,Lookups!$J$2:$K$5,2,FALSE()),"")</f>
        <v/>
      </c>
      <c r="Q27" s="18" t="str">
        <f>IFERROR(VLOOKUP(J27,Lookups!$M$2:$N$4,2,FALSE()),"")</f>
        <v/>
      </c>
      <c r="R27" s="18" t="str">
        <f t="shared" si="0"/>
        <v/>
      </c>
      <c r="S27" s="18" t="str">
        <f t="shared" si="1"/>
        <v/>
      </c>
      <c r="T27" t="str">
        <f t="shared" si="2"/>
        <v/>
      </c>
      <c r="U27" s="4"/>
      <c r="V27" s="4"/>
      <c r="W27" s="44"/>
    </row>
    <row r="28" spans="1:23" ht="41.25" customHeight="1" x14ac:dyDescent="0.35">
      <c r="A28" s="6" t="s">
        <v>133</v>
      </c>
      <c r="B28" s="8" t="s">
        <v>169</v>
      </c>
      <c r="C28" s="7" t="s">
        <v>479</v>
      </c>
      <c r="D28" s="8">
        <f>IFERROR(INDEX(Archetype_Weights!$B$2:$F$9,MATCH($B$7,Archetype_Weights!$A$2:$A$9,0),MATCH(B28,Archetype_Weights!$B$1:$F$1,0))/5,"")</f>
        <v>4</v>
      </c>
      <c r="E28" s="8" t="s">
        <v>545</v>
      </c>
      <c r="F28" s="15"/>
      <c r="G28" s="15"/>
      <c r="H28" s="15"/>
      <c r="I28" s="15"/>
      <c r="J28" s="15"/>
      <c r="K28" s="16"/>
      <c r="L28" s="17"/>
      <c r="M28" s="18" t="str">
        <f>IFERROR(VLOOKUP(F28,Lookups!$A$2:$B$5,2,FALSE()),"")</f>
        <v/>
      </c>
      <c r="N28" s="18" t="str">
        <f>IFERROR(VLOOKUP(G28,Lookups!$D$2:$E$5,2,FALSE()),"")</f>
        <v/>
      </c>
      <c r="O28" s="18" t="str">
        <f>IFERROR(VLOOKUP(H28,Lookups!$G$2:$H$5,2,FALSE()),"")</f>
        <v/>
      </c>
      <c r="P28" s="18" t="str">
        <f>IFERROR(VLOOKUP(I28,Lookups!$J$2:$K$5,2,FALSE()),"")</f>
        <v/>
      </c>
      <c r="Q28" s="18" t="str">
        <f>IFERROR(VLOOKUP(J28,Lookups!$M$2:$N$4,2,FALSE()),"")</f>
        <v/>
      </c>
      <c r="R28" s="18" t="str">
        <f t="shared" si="0"/>
        <v/>
      </c>
      <c r="S28" s="18" t="str">
        <f t="shared" si="1"/>
        <v/>
      </c>
      <c r="T28" t="str">
        <f t="shared" si="2"/>
        <v/>
      </c>
      <c r="U28" s="4"/>
      <c r="V28" s="4"/>
      <c r="W28" s="44"/>
    </row>
    <row r="29" spans="1:23" ht="41.25" customHeight="1" x14ac:dyDescent="0.35">
      <c r="A29" s="6" t="s">
        <v>134</v>
      </c>
      <c r="B29" s="8" t="s">
        <v>169</v>
      </c>
      <c r="C29" s="7" t="s">
        <v>484</v>
      </c>
      <c r="D29" s="8">
        <f>IFERROR(INDEX(Archetype_Weights!$B$2:$F$9,MATCH($B$7,Archetype_Weights!$A$2:$A$9,0),MATCH(B29,Archetype_Weights!$B$1:$F$1,0))/5,"")</f>
        <v>4</v>
      </c>
      <c r="E29" s="8" t="s">
        <v>549</v>
      </c>
      <c r="F29" s="15"/>
      <c r="G29" s="15"/>
      <c r="H29" s="15"/>
      <c r="I29" s="15"/>
      <c r="J29" s="15"/>
      <c r="K29" s="16"/>
      <c r="L29" s="17"/>
      <c r="M29" s="18" t="str">
        <f>IFERROR(VLOOKUP(F29,Lookups!$A$2:$B$5,2,FALSE()),"")</f>
        <v/>
      </c>
      <c r="N29" s="18" t="str">
        <f>IFERROR(VLOOKUP(G29,Lookups!$D$2:$E$5,2,FALSE()),"")</f>
        <v/>
      </c>
      <c r="O29" s="18" t="str">
        <f>IFERROR(VLOOKUP(H29,Lookups!$G$2:$H$5,2,FALSE()),"")</f>
        <v/>
      </c>
      <c r="P29" s="18" t="str">
        <f>IFERROR(VLOOKUP(I29,Lookups!$J$2:$K$5,2,FALSE()),"")</f>
        <v/>
      </c>
      <c r="Q29" s="18" t="str">
        <f>IFERROR(VLOOKUP(J29,Lookups!$M$2:$N$4,2,FALSE()),"")</f>
        <v/>
      </c>
      <c r="R29" s="18" t="str">
        <f t="shared" si="0"/>
        <v/>
      </c>
      <c r="S29" s="18" t="str">
        <f t="shared" si="1"/>
        <v/>
      </c>
      <c r="T29" t="str">
        <f t="shared" si="2"/>
        <v/>
      </c>
      <c r="U29" s="4"/>
      <c r="V29" s="4"/>
      <c r="W29" s="44"/>
    </row>
    <row r="30" spans="1:23" ht="41.25" customHeight="1" x14ac:dyDescent="0.35">
      <c r="A30" s="6" t="s">
        <v>135</v>
      </c>
      <c r="B30" s="8" t="s">
        <v>169</v>
      </c>
      <c r="C30" s="7" t="s">
        <v>479</v>
      </c>
      <c r="D30" s="8">
        <f>IFERROR(INDEX(Archetype_Weights!$B$2:$F$9,MATCH($B$7,Archetype_Weights!$A$2:$A$9,0),MATCH(B30,Archetype_Weights!$B$1:$F$1,0))/5,"")</f>
        <v>4</v>
      </c>
      <c r="E30" s="8" t="s">
        <v>553</v>
      </c>
      <c r="F30" s="15"/>
      <c r="G30" s="15"/>
      <c r="H30" s="15"/>
      <c r="I30" s="15"/>
      <c r="J30" s="15"/>
      <c r="K30" s="16"/>
      <c r="L30" s="17"/>
      <c r="M30" s="18" t="str">
        <f>IFERROR(VLOOKUP(F30,Lookups!$A$2:$B$5,2,FALSE()),"")</f>
        <v/>
      </c>
      <c r="N30" s="18" t="str">
        <f>IFERROR(VLOOKUP(G30,Lookups!$D$2:$E$5,2,FALSE()),"")</f>
        <v/>
      </c>
      <c r="O30" s="18" t="str">
        <f>IFERROR(VLOOKUP(H30,Lookups!$G$2:$H$5,2,FALSE()),"")</f>
        <v/>
      </c>
      <c r="P30" s="18" t="str">
        <f>IFERROR(VLOOKUP(I30,Lookups!$J$2:$K$5,2,FALSE()),"")</f>
        <v/>
      </c>
      <c r="Q30" s="18" t="str">
        <f>IFERROR(VLOOKUP(J30,Lookups!$M$2:$N$4,2,FALSE()),"")</f>
        <v/>
      </c>
      <c r="R30" s="18" t="str">
        <f t="shared" si="0"/>
        <v/>
      </c>
      <c r="S30" s="18" t="str">
        <f t="shared" si="1"/>
        <v/>
      </c>
      <c r="T30" t="str">
        <f t="shared" si="2"/>
        <v/>
      </c>
      <c r="U30" s="4"/>
      <c r="V30" s="4"/>
      <c r="W30" s="44"/>
    </row>
    <row r="31" spans="1:23" ht="41.25" customHeight="1" x14ac:dyDescent="0.35">
      <c r="A31" s="6" t="s">
        <v>136</v>
      </c>
      <c r="B31" s="8" t="s">
        <v>169</v>
      </c>
      <c r="C31" s="7" t="s">
        <v>484</v>
      </c>
      <c r="D31" s="8">
        <f>IFERROR(INDEX(Archetype_Weights!$B$2:$F$9,MATCH($B$7,Archetype_Weights!$A$2:$A$9,0),MATCH(B31,Archetype_Weights!$B$1:$F$1,0))/5,"")</f>
        <v>4</v>
      </c>
      <c r="E31" s="8" t="s">
        <v>557</v>
      </c>
      <c r="F31" s="15"/>
      <c r="G31" s="15"/>
      <c r="H31" s="15"/>
      <c r="I31" s="15"/>
      <c r="J31" s="15"/>
      <c r="K31" s="16"/>
      <c r="L31" s="17"/>
      <c r="M31" s="18" t="str">
        <f>IFERROR(VLOOKUP(F31,Lookups!$A$2:$B$5,2,FALSE()),"")</f>
        <v/>
      </c>
      <c r="N31" s="18" t="str">
        <f>IFERROR(VLOOKUP(G31,Lookups!$D$2:$E$5,2,FALSE()),"")</f>
        <v/>
      </c>
      <c r="O31" s="18" t="str">
        <f>IFERROR(VLOOKUP(H31,Lookups!$G$2:$H$5,2,FALSE()),"")</f>
        <v/>
      </c>
      <c r="P31" s="18" t="str">
        <f>IFERROR(VLOOKUP(I31,Lookups!$J$2:$K$5,2,FALSE()),"")</f>
        <v/>
      </c>
      <c r="Q31" s="18" t="str">
        <f>IFERROR(VLOOKUP(J31,Lookups!$M$2:$N$4,2,FALSE()),"")</f>
        <v/>
      </c>
      <c r="R31" s="18" t="str">
        <f t="shared" si="0"/>
        <v/>
      </c>
      <c r="S31" s="18" t="str">
        <f t="shared" si="1"/>
        <v/>
      </c>
      <c r="T31" t="str">
        <f t="shared" si="2"/>
        <v/>
      </c>
      <c r="U31" s="4"/>
      <c r="V31" s="4"/>
      <c r="W31" s="44"/>
    </row>
    <row r="32" spans="1:23" ht="27.75" customHeight="1" x14ac:dyDescent="0.35">
      <c r="A32" s="6" t="s">
        <v>137</v>
      </c>
      <c r="B32" s="8" t="s">
        <v>170</v>
      </c>
      <c r="C32" s="7" t="s">
        <v>479</v>
      </c>
      <c r="D32" s="8">
        <f>IFERROR(INDEX(Archetype_Weights!$B$2:$F$9,MATCH($B$7,Archetype_Weights!$A$2:$A$9,0),MATCH(B32,Archetype_Weights!$B$1:$F$1,0))/5,"")</f>
        <v>2</v>
      </c>
      <c r="E32" s="8" t="s">
        <v>561</v>
      </c>
      <c r="F32" s="15"/>
      <c r="G32" s="15"/>
      <c r="H32" s="15"/>
      <c r="I32" s="15"/>
      <c r="J32" s="15"/>
      <c r="K32" s="16"/>
      <c r="L32" s="17"/>
      <c r="M32" s="18" t="str">
        <f>IFERROR(VLOOKUP(F32,Lookups!$A$2:$B$5,2,FALSE()),"")</f>
        <v/>
      </c>
      <c r="N32" s="18" t="str">
        <f>IFERROR(VLOOKUP(G32,Lookups!$D$2:$E$5,2,FALSE()),"")</f>
        <v/>
      </c>
      <c r="O32" s="18" t="str">
        <f>IFERROR(VLOOKUP(H32,Lookups!$G$2:$H$5,2,FALSE()),"")</f>
        <v/>
      </c>
      <c r="P32" s="18" t="str">
        <f>IFERROR(VLOOKUP(I32,Lookups!$J$2:$K$5,2,FALSE()),"")</f>
        <v/>
      </c>
      <c r="Q32" s="18" t="str">
        <f>IFERROR(VLOOKUP(J32,Lookups!$M$2:$N$4,2,FALSE()),"")</f>
        <v/>
      </c>
      <c r="R32" s="18" t="str">
        <f t="shared" si="0"/>
        <v/>
      </c>
      <c r="S32" s="18" t="str">
        <f t="shared" si="1"/>
        <v/>
      </c>
      <c r="T32" t="str">
        <f t="shared" si="2"/>
        <v/>
      </c>
      <c r="U32" s="4"/>
      <c r="V32" s="4"/>
      <c r="W32" s="44"/>
    </row>
    <row r="33" spans="1:23" ht="27.75" customHeight="1" x14ac:dyDescent="0.35">
      <c r="A33" s="6" t="s">
        <v>139</v>
      </c>
      <c r="B33" s="8" t="s">
        <v>170</v>
      </c>
      <c r="C33" s="7" t="s">
        <v>479</v>
      </c>
      <c r="D33" s="8">
        <f>IFERROR(INDEX(Archetype_Weights!$B$2:$F$9,MATCH($B$7,Archetype_Weights!$A$2:$A$9,0),MATCH(B33,Archetype_Weights!$B$1:$F$1,0))/5,"")</f>
        <v>2</v>
      </c>
      <c r="E33" s="8" t="s">
        <v>565</v>
      </c>
      <c r="F33" s="15"/>
      <c r="G33" s="15"/>
      <c r="H33" s="15"/>
      <c r="I33" s="15"/>
      <c r="J33" s="15"/>
      <c r="K33" s="16"/>
      <c r="L33" s="17"/>
      <c r="M33" s="18" t="str">
        <f>IFERROR(VLOOKUP(F33,Lookups!$A$2:$B$5,2,FALSE()),"")</f>
        <v/>
      </c>
      <c r="N33" s="18" t="str">
        <f>IFERROR(VLOOKUP(G33,Lookups!$D$2:$E$5,2,FALSE()),"")</f>
        <v/>
      </c>
      <c r="O33" s="18" t="str">
        <f>IFERROR(VLOOKUP(H33,Lookups!$G$2:$H$5,2,FALSE()),"")</f>
        <v/>
      </c>
      <c r="P33" s="18" t="str">
        <f>IFERROR(VLOOKUP(I33,Lookups!$J$2:$K$5,2,FALSE()),"")</f>
        <v/>
      </c>
      <c r="Q33" s="18" t="str">
        <f>IFERROR(VLOOKUP(J33,Lookups!$M$2:$N$4,2,FALSE()),"")</f>
        <v/>
      </c>
      <c r="R33" s="18" t="str">
        <f t="shared" si="0"/>
        <v/>
      </c>
      <c r="S33" s="18" t="str">
        <f t="shared" si="1"/>
        <v/>
      </c>
      <c r="T33" t="str">
        <f t="shared" si="2"/>
        <v/>
      </c>
      <c r="U33" s="4"/>
      <c r="V33" s="4"/>
      <c r="W33" s="44"/>
    </row>
    <row r="34" spans="1:23" ht="27.75" customHeight="1" x14ac:dyDescent="0.35">
      <c r="A34" s="6" t="s">
        <v>140</v>
      </c>
      <c r="B34" s="8" t="s">
        <v>170</v>
      </c>
      <c r="C34" s="7" t="s">
        <v>484</v>
      </c>
      <c r="D34" s="8">
        <f>IFERROR(INDEX(Archetype_Weights!$B$2:$F$9,MATCH($B$7,Archetype_Weights!$A$2:$A$9,0),MATCH(B34,Archetype_Weights!$B$1:$F$1,0))/5,"")</f>
        <v>2</v>
      </c>
      <c r="E34" s="8" t="s">
        <v>569</v>
      </c>
      <c r="F34" s="15"/>
      <c r="G34" s="15"/>
      <c r="H34" s="15"/>
      <c r="I34" s="15"/>
      <c r="J34" s="15"/>
      <c r="K34" s="16"/>
      <c r="L34" s="17"/>
      <c r="M34" s="18" t="str">
        <f>IFERROR(VLOOKUP(F34,Lookups!$A$2:$B$5,2,FALSE()),"")</f>
        <v/>
      </c>
      <c r="N34" s="18" t="str">
        <f>IFERROR(VLOOKUP(G34,Lookups!$D$2:$E$5,2,FALSE()),"")</f>
        <v/>
      </c>
      <c r="O34" s="18" t="str">
        <f>IFERROR(VLOOKUP(H34,Lookups!$G$2:$H$5,2,FALSE()),"")</f>
        <v/>
      </c>
      <c r="P34" s="18" t="str">
        <f>IFERROR(VLOOKUP(I34,Lookups!$J$2:$K$5,2,FALSE()),"")</f>
        <v/>
      </c>
      <c r="Q34" s="18" t="str">
        <f>IFERROR(VLOOKUP(J34,Lookups!$M$2:$N$4,2,FALSE()),"")</f>
        <v/>
      </c>
      <c r="R34" s="18" t="str">
        <f t="shared" si="0"/>
        <v/>
      </c>
      <c r="S34" s="18" t="str">
        <f t="shared" si="1"/>
        <v/>
      </c>
      <c r="T34" t="str">
        <f t="shared" si="2"/>
        <v/>
      </c>
      <c r="U34" s="4"/>
      <c r="V34" s="4"/>
      <c r="W34" s="44"/>
    </row>
    <row r="35" spans="1:23" ht="27.75" customHeight="1" x14ac:dyDescent="0.35">
      <c r="A35" s="6" t="s">
        <v>141</v>
      </c>
      <c r="B35" s="8" t="s">
        <v>170</v>
      </c>
      <c r="C35" s="7" t="s">
        <v>484</v>
      </c>
      <c r="D35" s="8">
        <f>IFERROR(INDEX(Archetype_Weights!$B$2:$F$9,MATCH($B$7,Archetype_Weights!$A$2:$A$9,0),MATCH(B35,Archetype_Weights!$B$1:$F$1,0))/5,"")</f>
        <v>2</v>
      </c>
      <c r="E35" s="8" t="s">
        <v>573</v>
      </c>
      <c r="F35" s="15"/>
      <c r="G35" s="15"/>
      <c r="H35" s="15"/>
      <c r="I35" s="15"/>
      <c r="J35" s="15"/>
      <c r="K35" s="16"/>
      <c r="L35" s="17"/>
      <c r="M35" s="18" t="str">
        <f>IFERROR(VLOOKUP(F35,Lookups!$A$2:$B$5,2,FALSE()),"")</f>
        <v/>
      </c>
      <c r="N35" s="18" t="str">
        <f>IFERROR(VLOOKUP(G35,Lookups!$D$2:$E$5,2,FALSE()),"")</f>
        <v/>
      </c>
      <c r="O35" s="18" t="str">
        <f>IFERROR(VLOOKUP(H35,Lookups!$G$2:$H$5,2,FALSE()),"")</f>
        <v/>
      </c>
      <c r="P35" s="18" t="str">
        <f>IFERROR(VLOOKUP(I35,Lookups!$J$2:$K$5,2,FALSE()),"")</f>
        <v/>
      </c>
      <c r="Q35" s="18" t="str">
        <f>IFERROR(VLOOKUP(J35,Lookups!$M$2:$N$4,2,FALSE()),"")</f>
        <v/>
      </c>
      <c r="R35" s="18" t="str">
        <f t="shared" si="0"/>
        <v/>
      </c>
      <c r="S35" s="18" t="str">
        <f t="shared" si="1"/>
        <v/>
      </c>
      <c r="T35" t="str">
        <f t="shared" si="2"/>
        <v/>
      </c>
      <c r="U35" s="4"/>
      <c r="V35" s="4"/>
      <c r="W35" s="44"/>
    </row>
    <row r="36" spans="1:23" ht="27.75" customHeight="1" x14ac:dyDescent="0.35">
      <c r="A36" s="6" t="s">
        <v>142</v>
      </c>
      <c r="B36" s="8" t="s">
        <v>170</v>
      </c>
      <c r="C36" s="7" t="s">
        <v>484</v>
      </c>
      <c r="D36" s="8">
        <f>IFERROR(INDEX(Archetype_Weights!$B$2:$F$9,MATCH($B$7,Archetype_Weights!$A$2:$A$9,0),MATCH(B36,Archetype_Weights!$B$1:$F$1,0))/5,"")</f>
        <v>2</v>
      </c>
      <c r="E36" s="8" t="s">
        <v>577</v>
      </c>
      <c r="F36" s="15"/>
      <c r="G36" s="15"/>
      <c r="H36" s="15"/>
      <c r="I36" s="15"/>
      <c r="J36" s="15"/>
      <c r="K36" s="16"/>
      <c r="L36" s="17"/>
      <c r="M36" s="18" t="str">
        <f>IFERROR(VLOOKUP(F36,Lookups!$A$2:$B$5,2,FALSE()),"")</f>
        <v/>
      </c>
      <c r="N36" s="18" t="str">
        <f>IFERROR(VLOOKUP(G36,Lookups!$D$2:$E$5,2,FALSE()),"")</f>
        <v/>
      </c>
      <c r="O36" s="18" t="str">
        <f>IFERROR(VLOOKUP(H36,Lookups!$G$2:$H$5,2,FALSE()),"")</f>
        <v/>
      </c>
      <c r="P36" s="18" t="str">
        <f>IFERROR(VLOOKUP(I36,Lookups!$J$2:$K$5,2,FALSE()),"")</f>
        <v/>
      </c>
      <c r="Q36" s="18" t="str">
        <f>IFERROR(VLOOKUP(J36,Lookups!$M$2:$N$4,2,FALSE()),"")</f>
        <v/>
      </c>
      <c r="R36" s="18" t="str">
        <f t="shared" si="0"/>
        <v/>
      </c>
      <c r="S36" s="18" t="str">
        <f t="shared" si="1"/>
        <v/>
      </c>
      <c r="T36" t="str">
        <f t="shared" si="2"/>
        <v/>
      </c>
      <c r="U36" s="4"/>
      <c r="V36" s="4"/>
      <c r="W36" s="44"/>
    </row>
  </sheetData>
  <conditionalFormatting sqref="R12:R36">
    <cfRule type="cellIs" dxfId="5" priority="2" operator="lessThan">
      <formula>52</formula>
    </cfRule>
    <cfRule type="cellIs" dxfId="4" priority="3" operator="between">
      <formula>52</formula>
      <formula>68</formula>
    </cfRule>
    <cfRule type="cellIs" dxfId="3" priority="4" operator="greaterThanOrEqual">
      <formula>82</formula>
    </cfRule>
  </conditionalFormatting>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2">
        <x14:dataValidation type="list" xr:uid="{00000000-0002-0000-0F00-000000000000}">
          <x14:formula1>
            <xm:f>Lookups!$S$2:$S$3</xm:f>
          </x14:formula1>
          <x14:formula2>
            <xm:f>0</xm:f>
          </x14:formula2>
          <xm:sqref>H4</xm:sqref>
        </x14:dataValidation>
        <x14:dataValidation type="list" allowBlank="1" xr:uid="{00000000-0002-0000-0F00-000001000000}">
          <x14:formula1>
            <xm:f>Lookups!$A$2:$A$5</xm:f>
          </x14:formula1>
          <x14:formula2>
            <xm:f>0</xm:f>
          </x14:formula2>
          <xm:sqref>D6:D13 F14:F36</xm:sqref>
        </x14:dataValidation>
        <x14:dataValidation type="list" allowBlank="1" xr:uid="{00000000-0002-0000-0F00-000002000000}">
          <x14:formula1>
            <xm:f>Lookups!$D$2:$D$5</xm:f>
          </x14:formula1>
          <x14:formula2>
            <xm:f>0</xm:f>
          </x14:formula2>
          <xm:sqref>E6:E13 G14:G36</xm:sqref>
        </x14:dataValidation>
        <x14:dataValidation type="list" allowBlank="1" xr:uid="{00000000-0002-0000-0F00-000003000000}">
          <x14:formula1>
            <xm:f>Lookups!$G$2:$G$5</xm:f>
          </x14:formula1>
          <x14:formula2>
            <xm:f>0</xm:f>
          </x14:formula2>
          <xm:sqref>F6:F13 H14:H36</xm:sqref>
        </x14:dataValidation>
        <x14:dataValidation type="list" allowBlank="1" xr:uid="{00000000-0002-0000-0F00-000004000000}">
          <x14:formula1>
            <xm:f>Lookups!$J$2:$J$5</xm:f>
          </x14:formula1>
          <x14:formula2>
            <xm:f>0</xm:f>
          </x14:formula2>
          <xm:sqref>G6:G13 I14:I36</xm:sqref>
        </x14:dataValidation>
        <x14:dataValidation type="list" allowBlank="1" xr:uid="{00000000-0002-0000-0F00-000005000000}">
          <x14:formula1>
            <xm:f>Lookups!$M$2:$M$4</xm:f>
          </x14:formula1>
          <x14:formula2>
            <xm:f>0</xm:f>
          </x14:formula2>
          <xm:sqref>H6:H13 J12:J36</xm:sqref>
        </x14:dataValidation>
        <x14:dataValidation type="list" allowBlank="1" xr:uid="{00000000-0002-0000-0F00-000006000000}">
          <x14:formula1>
            <xm:f>Lookups!$P$2:$P$5</xm:f>
          </x14:formula1>
          <x14:formula2>
            <xm:f>0</xm:f>
          </x14:formula2>
          <xm:sqref>I6:I13 K12:K36</xm:sqref>
        </x14:dataValidation>
        <x14:dataValidation type="list" xr:uid="{00000000-0002-0000-0F00-000007000000}">
          <x14:formula1>
            <xm:f>Archetype_Weights!$A$2:$A$9</xm:f>
          </x14:formula1>
          <xm:sqref>B7</xm:sqref>
        </x14:dataValidation>
        <x14:dataValidation type="list" allowBlank="1" xr:uid="{00000000-0002-0000-0F00-000008000000}">
          <x14:formula1>
            <xm:f>Lookups!$P$2:$P$10</xm:f>
          </x14:formula1>
          <xm:sqref>E5</xm:sqref>
        </x14:dataValidation>
        <x14:dataValidation type="list" allowBlank="1" xr:uid="{00000000-0002-0000-0F00-000009000000}">
          <x14:formula1>
            <xm:f>Lookups!$S$2:$S$6</xm:f>
          </x14:formula1>
          <xm:sqref>E6</xm:sqref>
        </x14:dataValidation>
        <x14:dataValidation type="list" allowBlank="1" xr:uid="{00000000-0002-0000-0F00-00000A000000}">
          <x14:formula1>
            <xm:f>Lookups!$V$2:$V$5</xm:f>
          </x14:formula1>
          <xm:sqref>H5</xm:sqref>
        </x14:dataValidation>
        <x14:dataValidation type="list" allowBlank="1" xr:uid="{00000000-0002-0000-0F00-00000B000000}">
          <x14:formula1>
            <xm:f>Lookups!$Y$2:$Y$10</xm:f>
          </x14:formula1>
          <xm:sqref>B5</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19"/>
  <sheetViews>
    <sheetView showGridLines="0" zoomScaleNormal="100" workbookViewId="0">
      <pane ySplit="4" topLeftCell="A5" activePane="bottomLeft" state="frozen"/>
      <selection pane="bottomLeft"/>
    </sheetView>
  </sheetViews>
  <sheetFormatPr defaultColWidth="8.6328125" defaultRowHeight="15" customHeight="1" x14ac:dyDescent="0.35"/>
  <cols>
    <col min="1" max="2" width="10" customWidth="1"/>
    <col min="3" max="3" width="78" customWidth="1"/>
    <col min="4" max="4" width="18" customWidth="1"/>
    <col min="5" max="5" width="26" customWidth="1"/>
    <col min="6" max="6" width="24" customWidth="1"/>
    <col min="7" max="8" width="18" customWidth="1"/>
    <col min="9" max="9" width="20" customWidth="1"/>
    <col min="10" max="10" width="48" customWidth="1"/>
    <col min="11" max="15" width="12" customWidth="1"/>
    <col min="16" max="16" width="14" customWidth="1"/>
    <col min="21" max="23" width="34" customWidth="1"/>
  </cols>
  <sheetData>
    <row r="1" spans="1:23" ht="19.5" customHeight="1" x14ac:dyDescent="0.4">
      <c r="A1" s="2" t="s">
        <v>1130</v>
      </c>
      <c r="J1" s="12" t="s">
        <v>1131</v>
      </c>
      <c r="K1" s="19" t="str">
        <f>IF(COUNTA(D6:D12)=0,"",ROUND(AVERAGE(P6:P12),1))</f>
        <v/>
      </c>
    </row>
    <row r="2" spans="1:23" ht="256.5" customHeight="1" x14ac:dyDescent="0.35">
      <c r="A2" s="4" t="s">
        <v>1132</v>
      </c>
      <c r="J2" s="12" t="s">
        <v>1103</v>
      </c>
      <c r="K2" s="20" t="str">
        <f>IF(COUNTA(D6:D12)=0,"",COUNTIFS(B6:B12,"Yes",K6:K12,"&lt;=33"))</f>
        <v/>
      </c>
    </row>
    <row r="3" spans="1:23" ht="15" customHeight="1" x14ac:dyDescent="0.35">
      <c r="J3" s="12" t="s">
        <v>1106</v>
      </c>
      <c r="K3" s="20" t="str">
        <f>IF(COUNTA(D6:D12)=0,"",COUNTIFS(B6:B12,"Yes",K6:K12,0))</f>
        <v/>
      </c>
    </row>
    <row r="5" spans="1:23" ht="27.75" customHeight="1" x14ac:dyDescent="0.35">
      <c r="A5" s="5" t="s">
        <v>957</v>
      </c>
      <c r="B5" s="5" t="s">
        <v>474</v>
      </c>
      <c r="C5" s="5" t="s">
        <v>476</v>
      </c>
      <c r="D5" s="5" t="s">
        <v>51</v>
      </c>
      <c r="E5" s="5" t="s">
        <v>1114</v>
      </c>
      <c r="F5" s="5" t="s">
        <v>1115</v>
      </c>
      <c r="G5" s="5" t="s">
        <v>56</v>
      </c>
      <c r="H5" s="5" t="s">
        <v>1116</v>
      </c>
      <c r="I5" s="5" t="s">
        <v>1117</v>
      </c>
      <c r="J5" s="5" t="s">
        <v>1118</v>
      </c>
      <c r="K5" s="5" t="s">
        <v>1119</v>
      </c>
      <c r="L5" s="5" t="s">
        <v>1120</v>
      </c>
      <c r="M5" s="5" t="s">
        <v>1121</v>
      </c>
      <c r="N5" s="5" t="s">
        <v>1122</v>
      </c>
      <c r="O5" s="5" t="s">
        <v>1123</v>
      </c>
      <c r="P5" s="5" t="s">
        <v>1124</v>
      </c>
    </row>
    <row r="6" spans="1:23" ht="15" customHeight="1" x14ac:dyDescent="0.35">
      <c r="A6" s="6" t="s">
        <v>143</v>
      </c>
      <c r="B6" s="8" t="s">
        <v>479</v>
      </c>
      <c r="C6" s="8" t="s">
        <v>958</v>
      </c>
      <c r="D6" s="15"/>
      <c r="E6" s="15"/>
      <c r="F6" s="15"/>
      <c r="G6" s="15"/>
      <c r="H6" s="15"/>
      <c r="I6" s="16"/>
      <c r="J6" s="17"/>
      <c r="K6" s="21" t="str">
        <f>IFERROR(VLOOKUP(D6,Lookups!$A$2:$B$5,2,FALSE()),"")</f>
        <v/>
      </c>
      <c r="L6" s="21" t="str">
        <f>IFERROR(VLOOKUP(E6,Lookups!$D$2:$E$5,2,FALSE()),"")</f>
        <v/>
      </c>
      <c r="M6" s="21" t="str">
        <f>IFERROR(VLOOKUP(F6,Lookups!$G$2:$H$5,2,FALSE()),"")</f>
        <v/>
      </c>
      <c r="N6" s="21" t="str">
        <f>IFERROR(VLOOKUP(G6,Lookups!$J$2:$K$5,2,FALSE()),"")</f>
        <v/>
      </c>
      <c r="O6" s="21" t="str">
        <f>IFERROR(VLOOKUP(H6,Lookups!$M$2:$N$4,2,FALSE()),"")</f>
        <v/>
      </c>
      <c r="P6" s="21" t="str">
        <f t="shared" ref="P6:P13" si="0">IF(OR(K6="",L6="",M6="",N6="",O6=""),"",ROUND(K6*L6*M6*N6*O6/10000,1))</f>
        <v/>
      </c>
    </row>
    <row r="7" spans="1:23" ht="15" customHeight="1" x14ac:dyDescent="0.35">
      <c r="A7" s="6" t="s">
        <v>147</v>
      </c>
      <c r="B7" s="8" t="s">
        <v>479</v>
      </c>
      <c r="C7" s="8" t="s">
        <v>973</v>
      </c>
      <c r="D7" s="15"/>
      <c r="E7" s="15"/>
      <c r="F7" s="15"/>
      <c r="G7" s="15"/>
      <c r="H7" s="15"/>
      <c r="I7" s="16"/>
      <c r="J7" s="17"/>
      <c r="K7" s="21" t="str">
        <f>IFERROR(VLOOKUP(D7,Lookups!$A$2:$B$5,2,FALSE()),"")</f>
        <v/>
      </c>
      <c r="L7" s="21" t="str">
        <f>IFERROR(VLOOKUP(E7,Lookups!$D$2:$E$5,2,FALSE()),"")</f>
        <v/>
      </c>
      <c r="M7" s="21" t="str">
        <f>IFERROR(VLOOKUP(F7,Lookups!$G$2:$H$5,2,FALSE()),"")</f>
        <v/>
      </c>
      <c r="N7" s="21" t="str">
        <f>IFERROR(VLOOKUP(G7,Lookups!$J$2:$K$5,2,FALSE()),"")</f>
        <v/>
      </c>
      <c r="O7" s="21" t="str">
        <f>IFERROR(VLOOKUP(H7,Lookups!$M$2:$N$4,2,FALSE()),"")</f>
        <v/>
      </c>
      <c r="P7" s="21" t="str">
        <f t="shared" si="0"/>
        <v/>
      </c>
    </row>
    <row r="8" spans="1:23" ht="27.75" customHeight="1" x14ac:dyDescent="0.35">
      <c r="A8" s="6" t="s">
        <v>148</v>
      </c>
      <c r="B8" s="8" t="s">
        <v>479</v>
      </c>
      <c r="C8" s="8" t="s">
        <v>986</v>
      </c>
      <c r="D8" s="15"/>
      <c r="E8" s="15"/>
      <c r="F8" s="15"/>
      <c r="G8" s="15"/>
      <c r="H8" s="15"/>
      <c r="I8" s="16"/>
      <c r="J8" s="17"/>
      <c r="K8" s="21" t="str">
        <f>IFERROR(VLOOKUP(D8,Lookups!$A$2:$B$5,2,FALSE()),"")</f>
        <v/>
      </c>
      <c r="L8" s="21" t="str">
        <f>IFERROR(VLOOKUP(E8,Lookups!$D$2:$E$5,2,FALSE()),"")</f>
        <v/>
      </c>
      <c r="M8" s="21" t="str">
        <f>IFERROR(VLOOKUP(F8,Lookups!$G$2:$H$5,2,FALSE()),"")</f>
        <v/>
      </c>
      <c r="N8" s="21" t="str">
        <f>IFERROR(VLOOKUP(G8,Lookups!$J$2:$K$5,2,FALSE()),"")</f>
        <v/>
      </c>
      <c r="O8" s="21" t="str">
        <f>IFERROR(VLOOKUP(H8,Lookups!$M$2:$N$4,2,FALSE()),"")</f>
        <v/>
      </c>
      <c r="P8" s="21" t="str">
        <f t="shared" si="0"/>
        <v/>
      </c>
    </row>
    <row r="9" spans="1:23" ht="15" customHeight="1" x14ac:dyDescent="0.35">
      <c r="A9" s="6" t="s">
        <v>149</v>
      </c>
      <c r="B9" s="8" t="s">
        <v>484</v>
      </c>
      <c r="C9" s="8" t="s">
        <v>999</v>
      </c>
      <c r="D9" s="15"/>
      <c r="E9" s="15"/>
      <c r="F9" s="15"/>
      <c r="G9" s="15"/>
      <c r="H9" s="15"/>
      <c r="I9" s="16"/>
      <c r="J9" s="17"/>
      <c r="K9" s="21" t="str">
        <f>IFERROR(VLOOKUP(D9,Lookups!$A$2:$B$5,2,FALSE()),"")</f>
        <v/>
      </c>
      <c r="L9" s="21" t="str">
        <f>IFERROR(VLOOKUP(E9,Lookups!$D$2:$E$5,2,FALSE()),"")</f>
        <v/>
      </c>
      <c r="M9" s="21" t="str">
        <f>IFERROR(VLOOKUP(F9,Lookups!$G$2:$H$5,2,FALSE()),"")</f>
        <v/>
      </c>
      <c r="N9" s="21" t="str">
        <f>IFERROR(VLOOKUP(G9,Lookups!$J$2:$K$5,2,FALSE()),"")</f>
        <v/>
      </c>
      <c r="O9" s="21" t="str">
        <f>IFERROR(VLOOKUP(H9,Lookups!$M$2:$N$4,2,FALSE()),"")</f>
        <v/>
      </c>
      <c r="P9" s="21" t="str">
        <f t="shared" si="0"/>
        <v/>
      </c>
    </row>
    <row r="10" spans="1:23" ht="15" customHeight="1" x14ac:dyDescent="0.35">
      <c r="A10" s="6" t="s">
        <v>150</v>
      </c>
      <c r="B10" s="8" t="s">
        <v>484</v>
      </c>
      <c r="C10" s="8" t="s">
        <v>1012</v>
      </c>
      <c r="D10" s="15"/>
      <c r="E10" s="15"/>
      <c r="F10" s="15"/>
      <c r="G10" s="15"/>
      <c r="H10" s="15"/>
      <c r="I10" s="16"/>
      <c r="J10" s="17"/>
      <c r="K10" s="21" t="str">
        <f>IFERROR(VLOOKUP(D10,Lookups!$A$2:$B$5,2,FALSE()),"")</f>
        <v/>
      </c>
      <c r="L10" s="21" t="str">
        <f>IFERROR(VLOOKUP(E10,Lookups!$D$2:$E$5,2,FALSE()),"")</f>
        <v/>
      </c>
      <c r="M10" s="21" t="str">
        <f>IFERROR(VLOOKUP(F10,Lookups!$G$2:$H$5,2,FALSE()),"")</f>
        <v/>
      </c>
      <c r="N10" s="21" t="str">
        <f>IFERROR(VLOOKUP(G10,Lookups!$J$2:$K$5,2,FALSE()),"")</f>
        <v/>
      </c>
      <c r="O10" s="21" t="str">
        <f>IFERROR(VLOOKUP(H10,Lookups!$M$2:$N$4,2,FALSE()),"")</f>
        <v/>
      </c>
      <c r="P10" s="21" t="str">
        <f t="shared" si="0"/>
        <v/>
      </c>
    </row>
    <row r="11" spans="1:23" ht="27.75" customHeight="1" x14ac:dyDescent="0.35">
      <c r="A11" s="6" t="s">
        <v>151</v>
      </c>
      <c r="B11" s="8" t="s">
        <v>484</v>
      </c>
      <c r="C11" s="8" t="s">
        <v>1025</v>
      </c>
      <c r="D11" s="15"/>
      <c r="E11" s="15"/>
      <c r="F11" s="15"/>
      <c r="G11" s="15"/>
      <c r="H11" s="15"/>
      <c r="I11" s="16"/>
      <c r="J11" s="17"/>
      <c r="K11" s="21" t="str">
        <f>IFERROR(VLOOKUP(D11,Lookups!$A$2:$B$5,2,FALSE()),"")</f>
        <v/>
      </c>
      <c r="L11" s="21" t="str">
        <f>IFERROR(VLOOKUP(E11,Lookups!$D$2:$E$5,2,FALSE()),"")</f>
        <v/>
      </c>
      <c r="M11" s="21" t="str">
        <f>IFERROR(VLOOKUP(F11,Lookups!$G$2:$H$5,2,FALSE()),"")</f>
        <v/>
      </c>
      <c r="N11" s="21" t="str">
        <f>IFERROR(VLOOKUP(G11,Lookups!$J$2:$K$5,2,FALSE()),"")</f>
        <v/>
      </c>
      <c r="O11" s="21" t="str">
        <f>IFERROR(VLOOKUP(H11,Lookups!$M$2:$N$4,2,FALSE()),"")</f>
        <v/>
      </c>
      <c r="P11" s="21" t="str">
        <f t="shared" si="0"/>
        <v/>
      </c>
      <c r="U11" s="37" t="s">
        <v>1127</v>
      </c>
      <c r="V11" s="37" t="s">
        <v>1128</v>
      </c>
      <c r="W11" s="37" t="s">
        <v>1129</v>
      </c>
    </row>
    <row r="12" spans="1:23" ht="15" customHeight="1" x14ac:dyDescent="0.35">
      <c r="A12" s="6" t="s">
        <v>152</v>
      </c>
      <c r="B12" s="8" t="s">
        <v>484</v>
      </c>
      <c r="C12" s="8" t="s">
        <v>1038</v>
      </c>
      <c r="D12" s="15"/>
      <c r="E12" s="15"/>
      <c r="F12" s="15"/>
      <c r="G12" s="15"/>
      <c r="H12" s="15"/>
      <c r="I12" s="16"/>
      <c r="J12" s="17"/>
      <c r="K12" s="21" t="str">
        <f>IFERROR(VLOOKUP(D12,Lookups!$A$2:$B$5,2,FALSE()),"")</f>
        <v/>
      </c>
      <c r="L12" s="21" t="str">
        <f>IFERROR(VLOOKUP(E12,Lookups!$D$2:$E$5,2,FALSE()),"")</f>
        <v/>
      </c>
      <c r="M12" s="21" t="str">
        <f>IFERROR(VLOOKUP(F12,Lookups!$G$2:$H$5,2,FALSE()),"")</f>
        <v/>
      </c>
      <c r="N12" s="21" t="str">
        <f>IFERROR(VLOOKUP(G12,Lookups!$J$2:$K$5,2,FALSE()),"")</f>
        <v/>
      </c>
      <c r="O12" s="21" t="str">
        <f>IFERROR(VLOOKUP(H12,Lookups!$M$2:$N$4,2,FALSE()),"")</f>
        <v/>
      </c>
      <c r="P12" s="21" t="str">
        <f t="shared" si="0"/>
        <v/>
      </c>
      <c r="U12" s="4"/>
      <c r="V12" s="4"/>
      <c r="W12" s="44"/>
    </row>
    <row r="13" spans="1:23" ht="27.75" customHeight="1" x14ac:dyDescent="0.35">
      <c r="A13" s="6" t="s">
        <v>153</v>
      </c>
      <c r="B13" s="8" t="s">
        <v>479</v>
      </c>
      <c r="C13" s="8" t="s">
        <v>1051</v>
      </c>
      <c r="D13" s="15"/>
      <c r="E13" s="15"/>
      <c r="F13" s="15"/>
      <c r="G13" s="15"/>
      <c r="H13" s="15"/>
      <c r="I13" s="16"/>
      <c r="J13" s="17"/>
      <c r="K13" s="21" t="str">
        <f>IFERROR(VLOOKUP(D13,Lookups!$A$2:$B$5,2,FALSE()),"")</f>
        <v/>
      </c>
      <c r="L13" s="21" t="str">
        <f>IFERROR(VLOOKUP(E13,Lookups!$D$2:$E$5,2,FALSE()),"")</f>
        <v/>
      </c>
      <c r="M13" s="21" t="str">
        <f>IFERROR(VLOOKUP(F13,Lookups!$G$2:$H$5,2,FALSE()),"")</f>
        <v/>
      </c>
      <c r="N13" s="21" t="str">
        <f>IFERROR(VLOOKUP(G13,Lookups!$J$2:$K$5,2,FALSE()),"")</f>
        <v/>
      </c>
      <c r="O13" s="21" t="str">
        <f>IFERROR(VLOOKUP(H13,Lookups!$M$2:$N$4,2,FALSE()),"")</f>
        <v/>
      </c>
      <c r="P13" s="21" t="str">
        <f t="shared" si="0"/>
        <v/>
      </c>
      <c r="U13" s="4"/>
      <c r="V13" s="4"/>
      <c r="W13" s="44"/>
    </row>
    <row r="14" spans="1:23" ht="14.5" x14ac:dyDescent="0.35">
      <c r="U14" s="4"/>
      <c r="V14" s="4"/>
      <c r="W14" s="44"/>
    </row>
    <row r="15" spans="1:23" ht="14.5" x14ac:dyDescent="0.35">
      <c r="U15" s="4"/>
      <c r="V15" s="4"/>
      <c r="W15" s="44"/>
    </row>
    <row r="16" spans="1:23" ht="14.5" x14ac:dyDescent="0.35">
      <c r="U16" s="4"/>
      <c r="V16" s="4"/>
      <c r="W16" s="44"/>
    </row>
    <row r="17" spans="21:23" ht="14.5" x14ac:dyDescent="0.35">
      <c r="U17" s="4"/>
      <c r="V17" s="4"/>
      <c r="W17" s="44"/>
    </row>
    <row r="18" spans="21:23" ht="14.5" x14ac:dyDescent="0.35">
      <c r="U18" s="4"/>
      <c r="V18" s="4"/>
      <c r="W18" s="44"/>
    </row>
    <row r="19" spans="21:23" ht="14.5" x14ac:dyDescent="0.35">
      <c r="U19" s="4"/>
      <c r="V19" s="4"/>
      <c r="W19" s="44"/>
    </row>
  </sheetData>
  <conditionalFormatting sqref="P6:P13">
    <cfRule type="cellIs" dxfId="2" priority="2" operator="lessThan">
      <formula>52</formula>
    </cfRule>
    <cfRule type="cellIs" dxfId="1" priority="3" operator="between">
      <formula>52</formula>
      <formula>68</formula>
    </cfRule>
    <cfRule type="cellIs" dxfId="0" priority="4" operator="greaterThanOrEqual">
      <formula>82</formula>
    </cfRule>
  </conditionalFormatting>
  <pageMargins left="0.75" right="0.75" top="1" bottom="1" header="0.511811023622047" footer="0.511811023622047"/>
  <pageSetup paperSize="9" orientation="portrait" horizontalDpi="300" verticalDpi="30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4"/>
  <sheetViews>
    <sheetView showGridLines="0" zoomScaleNormal="100" workbookViewId="0">
      <pane ySplit="3" topLeftCell="A4" activePane="bottomLeft" state="frozen"/>
      <selection pane="bottomLeft"/>
    </sheetView>
  </sheetViews>
  <sheetFormatPr defaultColWidth="8.6328125" defaultRowHeight="15" customHeight="1" x14ac:dyDescent="0.35"/>
  <cols>
    <col min="1" max="1" width="28" customWidth="1"/>
    <col min="2" max="2" width="34" customWidth="1"/>
    <col min="3" max="3" width="6" customWidth="1"/>
    <col min="4" max="4" width="24" customWidth="1"/>
    <col min="5" max="5" width="16" customWidth="1"/>
    <col min="6" max="6" width="6" customWidth="1"/>
    <col min="7" max="7" width="26" customWidth="1"/>
    <col min="8" max="8" width="16" customWidth="1"/>
  </cols>
  <sheetData>
    <row r="1" spans="1:11" ht="24" customHeight="1" x14ac:dyDescent="0.4">
      <c r="A1" s="2" t="s">
        <v>1133</v>
      </c>
    </row>
    <row r="2" spans="1:11" ht="24" customHeight="1" x14ac:dyDescent="0.35">
      <c r="A2" s="38" t="s">
        <v>1134</v>
      </c>
    </row>
    <row r="3" spans="1:11" ht="24" customHeight="1" x14ac:dyDescent="0.35"/>
    <row r="4" spans="1:11" ht="24" customHeight="1" x14ac:dyDescent="0.35">
      <c r="A4" s="12" t="s">
        <v>247</v>
      </c>
      <c r="B4" s="22" t="str">
        <f>Working_Scorecard_Core!H4</f>
        <v>Challenger</v>
      </c>
      <c r="D4" s="12" t="s">
        <v>1101</v>
      </c>
      <c r="E4" s="23" t="str">
        <f>Working_Scorecard_Core!K4</f>
        <v/>
      </c>
      <c r="G4" s="12" t="s">
        <v>1135</v>
      </c>
      <c r="H4" s="23" t="str">
        <f>IF(B4="Incumbent",Working_Scorecard_Inc!K1,"n/a")</f>
        <v>n/a</v>
      </c>
      <c r="J4" t="s">
        <v>1136</v>
      </c>
      <c r="K4" t="str">
        <f>IF(B4="Challenger",Working_Scorecard_Chal!K1,"n/a")</f>
        <v/>
      </c>
    </row>
    <row r="5" spans="1:11" ht="24" customHeight="1" x14ac:dyDescent="0.35">
      <c r="D5" s="12" t="s">
        <v>1137</v>
      </c>
      <c r="E5" s="22" t="str">
        <f>Working_Scorecard_Core!K5</f>
        <v/>
      </c>
      <c r="G5" s="12" t="s">
        <v>1138</v>
      </c>
      <c r="H5" s="22" t="str">
        <f>IF(B4="Incumbent",Working_Scorecard_Inc!K2,"n/a")</f>
        <v>n/a</v>
      </c>
      <c r="J5" t="s">
        <v>1139</v>
      </c>
      <c r="K5" t="str">
        <f>IF(B4="Challenger",Working_Scorecard_Chal!K2,"n/a")</f>
        <v/>
      </c>
    </row>
    <row r="6" spans="1:11" ht="24" customHeight="1" x14ac:dyDescent="0.35">
      <c r="D6" s="12" t="s">
        <v>1140</v>
      </c>
      <c r="E6" s="22" t="str">
        <f>Working_Scorecard_Core!K6</f>
        <v/>
      </c>
      <c r="G6" s="12" t="s">
        <v>1141</v>
      </c>
      <c r="H6" s="22" t="str">
        <f>IF(B4="Incumbent",Working_Scorecard_Inc!K3,"n/a")</f>
        <v>n/a</v>
      </c>
      <c r="J6" t="s">
        <v>1142</v>
      </c>
      <c r="K6" t="str">
        <f>IF(B4="Challenger",Working_Scorecard_Chal!K3,"n/a")</f>
        <v/>
      </c>
    </row>
    <row r="7" spans="1:11" ht="24" customHeight="1" x14ac:dyDescent="0.35">
      <c r="A7" s="31" t="s">
        <v>165</v>
      </c>
      <c r="B7" t="str">
        <f>Working_Scorecard_Core!B7</f>
        <v>Professional Consulting / Advisory</v>
      </c>
      <c r="D7" s="31" t="s">
        <v>1107</v>
      </c>
      <c r="E7" t="str">
        <f>Working_Scorecard_Core!E7</f>
        <v/>
      </c>
    </row>
    <row r="8" spans="1:11" ht="24" customHeight="1" x14ac:dyDescent="0.35">
      <c r="A8" s="12" t="s">
        <v>1143</v>
      </c>
      <c r="B8" s="23" t="str">
        <f>IF(E4="","",IF(B4="Incumbent",ROUND(E4*0.8+H4*0.2,1),IF(B4="Challenger",ROUND(E4*0.8+K4*0.2,1),E4)))</f>
        <v/>
      </c>
    </row>
    <row r="9" spans="1:11" ht="24" customHeight="1" x14ac:dyDescent="0.35">
      <c r="A9" s="12" t="s">
        <v>1109</v>
      </c>
      <c r="B9" s="23" t="str">
        <f>IF(B8="","",IF(B8&gt;=82,"Strong winnability",IF(B8&gt;=68,"Credible / action needed",IF(B8&gt;=52,"Fragile / conditional","Weak winnability"))))</f>
        <v/>
      </c>
    </row>
    <row r="10" spans="1:11" ht="48" customHeight="1" x14ac:dyDescent="0.35">
      <c r="A10" s="12" t="s">
        <v>1144</v>
      </c>
      <c r="B10" s="22" t="str">
        <f>IF(B8="","",IF(OR(E6&gt;=2,AND(B4="Incumbent",H6&gt;=2),AND(B4="Challenger",K6&gt;=2)),"Default to Watch / Shape or No Bid unless a compelling fix plan exists",IF(OR(E5&gt;=3,AND(B4="Incumbent",H5&gt;=3),AND(B4="Challenger",K5&gt;=3)),"Do not classify above Fragile / Conditional until critical weaknesses are reduced",IF(B8&gt;=82,"Full Go possible if leadership accepts residual risk",IF(B8&gt;=68,"Conditional Go — action plan required",IF(B8&gt;=52,"Watch / Shape or tightly conditional go","No Bid or hold unless facts change materially"))))))</f>
        <v/>
      </c>
    </row>
    <row r="11" spans="1:11" ht="24" customHeight="1" x14ac:dyDescent="0.35"/>
    <row r="12" spans="1:11" ht="24" customHeight="1" x14ac:dyDescent="0.35">
      <c r="A12" s="24" t="s">
        <v>1145</v>
      </c>
    </row>
    <row r="13" spans="1:11" ht="24" customHeight="1" x14ac:dyDescent="0.35">
      <c r="A13" s="5" t="s">
        <v>1146</v>
      </c>
      <c r="B13" s="5" t="s">
        <v>1147</v>
      </c>
    </row>
    <row r="14" spans="1:11" ht="24" customHeight="1" x14ac:dyDescent="0.35">
      <c r="A14" t="s">
        <v>166</v>
      </c>
      <c r="B14" t="str">
        <f>IFERROR(ROUND(AVERAGEIF(Working_Scorecard_Core!$B$12:$B$36,A14,Working_Scorecard_Core!$R$12:$R$36),1),"")</f>
        <v/>
      </c>
    </row>
    <row r="15" spans="1:11" ht="24" customHeight="1" x14ac:dyDescent="0.35">
      <c r="A15" t="s">
        <v>167</v>
      </c>
      <c r="B15" t="str">
        <f>IFERROR(ROUND(AVERAGEIF(Working_Scorecard_Core!$B$12:$B$36,A15,Working_Scorecard_Core!$R$12:$R$36),1),"")</f>
        <v/>
      </c>
    </row>
    <row r="16" spans="1:11" ht="24" customHeight="1" x14ac:dyDescent="0.35">
      <c r="A16" t="s">
        <v>168</v>
      </c>
      <c r="B16" t="str">
        <f>IFERROR(ROUND(AVERAGEIF(Working_Scorecard_Core!$B$12:$B$36,A16,Working_Scorecard_Core!$R$12:$R$36),1),"")</f>
        <v/>
      </c>
    </row>
    <row r="17" spans="1:2" ht="24" customHeight="1" x14ac:dyDescent="0.35">
      <c r="A17" t="s">
        <v>169</v>
      </c>
      <c r="B17" t="str">
        <f>IFERROR(ROUND(AVERAGEIF(Working_Scorecard_Core!$B$12:$B$36,A17,Working_Scorecard_Core!$R$12:$R$36),1),"")</f>
        <v/>
      </c>
    </row>
    <row r="18" spans="1:2" ht="24" customHeight="1" x14ac:dyDescent="0.35">
      <c r="A18" t="s">
        <v>170</v>
      </c>
      <c r="B18" t="str">
        <f>IFERROR(ROUND(AVERAGEIF(Working_Scorecard_Core!$B$12:$B$36,A18,Working_Scorecard_Core!$R$12:$R$36),1),"")</f>
        <v/>
      </c>
    </row>
    <row r="19" spans="1:2" ht="24" customHeight="1" x14ac:dyDescent="0.35"/>
    <row r="20" spans="1:2" ht="24" customHeight="1" x14ac:dyDescent="0.35"/>
    <row r="21" spans="1:2" ht="24" customHeight="1" x14ac:dyDescent="0.35"/>
    <row r="22" spans="1:2" ht="24" customHeight="1" x14ac:dyDescent="0.35"/>
    <row r="23" spans="1:2" ht="24" customHeight="1" x14ac:dyDescent="0.35"/>
    <row r="24" spans="1:2" ht="24" customHeight="1" x14ac:dyDescent="0.35"/>
  </sheetData>
  <pageMargins left="0.75" right="0.75" top="1" bottom="1" header="0.511811023622047" footer="0.511811023622047"/>
  <pageSetup paperSize="9" orientation="portrait" horizontalDpi="300" verticalDpi="300"/>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12"/>
  <sheetViews>
    <sheetView workbookViewId="0"/>
  </sheetViews>
  <sheetFormatPr defaultColWidth="8.6328125" defaultRowHeight="15" customHeight="1" x14ac:dyDescent="0.35"/>
  <cols>
    <col min="1" max="1" width="10" customWidth="1"/>
    <col min="2" max="2" width="22" customWidth="1"/>
    <col min="3" max="3" width="10" customWidth="1"/>
    <col min="4" max="4" width="28" customWidth="1"/>
    <col min="5" max="5" width="44" customWidth="1"/>
    <col min="6" max="6" width="28" customWidth="1"/>
    <col min="7" max="7" width="26" customWidth="1"/>
    <col min="8" max="8" width="34" customWidth="1"/>
    <col min="9" max="12" width="24" customWidth="1"/>
    <col min="13" max="13" width="36" customWidth="1"/>
    <col min="14" max="17" width="48" customWidth="1"/>
    <col min="18" max="21" width="34" customWidth="1"/>
    <col min="22" max="22" width="24" customWidth="1"/>
    <col min="23" max="26" width="34" customWidth="1"/>
    <col min="27" max="27" width="28" customWidth="1"/>
  </cols>
  <sheetData>
    <row r="1" spans="1:27" ht="22" customHeight="1" x14ac:dyDescent="0.45">
      <c r="A1" s="35" t="s">
        <v>1148</v>
      </c>
      <c r="M1" s="4"/>
    </row>
    <row r="2" spans="1:27" ht="42" customHeight="1" x14ac:dyDescent="0.35">
      <c r="A2" s="4" t="s">
        <v>1149</v>
      </c>
      <c r="M2" s="4"/>
    </row>
    <row r="3" spans="1:27" ht="14.5" x14ac:dyDescent="0.35">
      <c r="M3" s="4"/>
    </row>
    <row r="4" spans="1:27" ht="27.75" customHeight="1" x14ac:dyDescent="0.35">
      <c r="A4" s="36" t="s">
        <v>957</v>
      </c>
      <c r="B4" s="36" t="s">
        <v>474</v>
      </c>
      <c r="C4" s="36" t="s">
        <v>476</v>
      </c>
      <c r="D4" s="36" t="s">
        <v>633</v>
      </c>
      <c r="E4" s="36" t="s">
        <v>634</v>
      </c>
      <c r="F4" s="36" t="s">
        <v>635</v>
      </c>
      <c r="G4" s="36" t="s">
        <v>636</v>
      </c>
      <c r="H4" s="36" t="s">
        <v>637</v>
      </c>
      <c r="I4" s="36" t="s">
        <v>638</v>
      </c>
      <c r="J4" s="36" t="s">
        <v>639</v>
      </c>
      <c r="K4" s="36" t="s">
        <v>640</v>
      </c>
      <c r="L4" s="36" t="s">
        <v>642</v>
      </c>
      <c r="M4" s="4" t="s">
        <v>641</v>
      </c>
      <c r="N4" s="36" t="s">
        <v>643</v>
      </c>
      <c r="O4" s="36" t="s">
        <v>644</v>
      </c>
      <c r="P4" s="36" t="s">
        <v>645</v>
      </c>
      <c r="Q4" s="36" t="s">
        <v>646</v>
      </c>
      <c r="R4" s="36" t="s">
        <v>647</v>
      </c>
      <c r="S4" s="36" t="s">
        <v>648</v>
      </c>
      <c r="T4" s="36" t="s">
        <v>649</v>
      </c>
      <c r="U4" s="36" t="s">
        <v>650</v>
      </c>
      <c r="V4" s="36" t="s">
        <v>651</v>
      </c>
      <c r="W4" s="36" t="s">
        <v>652</v>
      </c>
      <c r="X4" s="36" t="s">
        <v>653</v>
      </c>
      <c r="Y4" s="36" t="s">
        <v>654</v>
      </c>
      <c r="Z4" s="36" t="s">
        <v>655</v>
      </c>
      <c r="AA4" s="36" t="s">
        <v>656</v>
      </c>
    </row>
    <row r="5" spans="1:27" ht="60" customHeight="1" x14ac:dyDescent="0.35">
      <c r="A5" s="39" t="s">
        <v>154</v>
      </c>
      <c r="B5" s="39" t="s">
        <v>479</v>
      </c>
      <c r="C5" s="39" t="s">
        <v>1150</v>
      </c>
      <c r="D5" s="39" t="s">
        <v>1151</v>
      </c>
      <c r="E5" s="26" t="s">
        <v>1152</v>
      </c>
      <c r="F5" s="26" t="s">
        <v>1153</v>
      </c>
      <c r="G5" s="26" t="s">
        <v>1154</v>
      </c>
      <c r="H5" s="26" t="s">
        <v>660</v>
      </c>
      <c r="I5" s="26" t="s">
        <v>661</v>
      </c>
      <c r="J5" s="26" t="s">
        <v>662</v>
      </c>
      <c r="K5" s="26" t="s">
        <v>663</v>
      </c>
      <c r="L5" s="26" t="s">
        <v>1155</v>
      </c>
      <c r="M5" s="4" t="s">
        <v>1156</v>
      </c>
      <c r="N5" s="26" t="s">
        <v>1157</v>
      </c>
      <c r="O5" s="26" t="s">
        <v>1158</v>
      </c>
      <c r="P5" s="26" t="s">
        <v>1159</v>
      </c>
      <c r="Q5" s="26" t="s">
        <v>1160</v>
      </c>
      <c r="R5" s="26" t="s">
        <v>1161</v>
      </c>
      <c r="S5" s="26" t="s">
        <v>1162</v>
      </c>
      <c r="T5" s="26" t="s">
        <v>1163</v>
      </c>
      <c r="U5" s="26" t="s">
        <v>1164</v>
      </c>
      <c r="V5" s="26" t="s">
        <v>1165</v>
      </c>
      <c r="W5" s="26" t="s">
        <v>1166</v>
      </c>
      <c r="X5" s="26" t="s">
        <v>1167</v>
      </c>
      <c r="Y5" s="26" t="s">
        <v>1168</v>
      </c>
      <c r="Z5" s="26" t="s">
        <v>1169</v>
      </c>
      <c r="AA5" s="26" t="s">
        <v>1170</v>
      </c>
    </row>
    <row r="6" spans="1:27" ht="60" customHeight="1" x14ac:dyDescent="0.35">
      <c r="A6" s="40" t="s">
        <v>158</v>
      </c>
      <c r="B6" s="40" t="s">
        <v>479</v>
      </c>
      <c r="C6" s="40" t="s">
        <v>1171</v>
      </c>
      <c r="D6" s="40" t="s">
        <v>1172</v>
      </c>
      <c r="E6" s="26" t="s">
        <v>1173</v>
      </c>
      <c r="F6" s="26" t="s">
        <v>1174</v>
      </c>
      <c r="G6" s="26" t="s">
        <v>1175</v>
      </c>
      <c r="H6" s="26" t="s">
        <v>660</v>
      </c>
      <c r="I6" s="26" t="s">
        <v>661</v>
      </c>
      <c r="J6" s="26" t="s">
        <v>662</v>
      </c>
      <c r="K6" s="26" t="s">
        <v>663</v>
      </c>
      <c r="L6" s="26" t="s">
        <v>1176</v>
      </c>
      <c r="M6" s="4" t="s">
        <v>1156</v>
      </c>
      <c r="N6" s="26" t="s">
        <v>1177</v>
      </c>
      <c r="O6" s="26" t="s">
        <v>1178</v>
      </c>
      <c r="P6" s="26" t="s">
        <v>1179</v>
      </c>
      <c r="Q6" s="26" t="s">
        <v>1180</v>
      </c>
      <c r="R6" s="26" t="s">
        <v>1181</v>
      </c>
      <c r="S6" s="26" t="s">
        <v>1182</v>
      </c>
      <c r="T6" s="26" t="s">
        <v>1183</v>
      </c>
      <c r="U6" s="26" t="s">
        <v>1184</v>
      </c>
      <c r="V6" s="26" t="s">
        <v>1185</v>
      </c>
      <c r="W6" s="26" t="s">
        <v>1186</v>
      </c>
      <c r="X6" s="26" t="s">
        <v>1187</v>
      </c>
      <c r="Y6" s="26" t="s">
        <v>1188</v>
      </c>
      <c r="Z6" s="26" t="s">
        <v>1189</v>
      </c>
      <c r="AA6" s="26" t="s">
        <v>1190</v>
      </c>
    </row>
    <row r="7" spans="1:27" ht="60" customHeight="1" x14ac:dyDescent="0.35">
      <c r="A7" s="39" t="s">
        <v>159</v>
      </c>
      <c r="B7" s="39" t="s">
        <v>479</v>
      </c>
      <c r="C7" s="39" t="s">
        <v>1191</v>
      </c>
      <c r="D7" s="39" t="s">
        <v>1192</v>
      </c>
      <c r="E7" s="26" t="s">
        <v>1193</v>
      </c>
      <c r="F7" s="26" t="s">
        <v>1194</v>
      </c>
      <c r="G7" s="26" t="s">
        <v>1195</v>
      </c>
      <c r="H7" s="26" t="s">
        <v>660</v>
      </c>
      <c r="I7" s="26" t="s">
        <v>661</v>
      </c>
      <c r="J7" s="26" t="s">
        <v>662</v>
      </c>
      <c r="K7" s="26" t="s">
        <v>663</v>
      </c>
      <c r="L7" s="26" t="s">
        <v>1196</v>
      </c>
      <c r="M7" s="4" t="s">
        <v>1197</v>
      </c>
      <c r="N7" s="26" t="s">
        <v>1198</v>
      </c>
      <c r="O7" s="26" t="s">
        <v>1199</v>
      </c>
      <c r="P7" s="26" t="s">
        <v>1200</v>
      </c>
      <c r="Q7" s="26" t="s">
        <v>1201</v>
      </c>
      <c r="R7" s="26" t="s">
        <v>1202</v>
      </c>
      <c r="S7" s="26" t="s">
        <v>1203</v>
      </c>
      <c r="T7" s="26" t="s">
        <v>1204</v>
      </c>
      <c r="U7" s="26" t="s">
        <v>1205</v>
      </c>
      <c r="V7" s="26" t="s">
        <v>1206</v>
      </c>
      <c r="W7" s="26" t="s">
        <v>1207</v>
      </c>
      <c r="X7" s="26" t="s">
        <v>1208</v>
      </c>
      <c r="Y7" s="26" t="s">
        <v>1209</v>
      </c>
      <c r="Z7" s="26" t="s">
        <v>1210</v>
      </c>
      <c r="AA7" s="26" t="s">
        <v>1211</v>
      </c>
    </row>
    <row r="8" spans="1:27" ht="60" customHeight="1" x14ac:dyDescent="0.35">
      <c r="A8" s="40" t="s">
        <v>160</v>
      </c>
      <c r="B8" s="40" t="s">
        <v>479</v>
      </c>
      <c r="C8" s="40" t="s">
        <v>1212</v>
      </c>
      <c r="D8" s="40" t="s">
        <v>1213</v>
      </c>
      <c r="E8" s="26" t="s">
        <v>1214</v>
      </c>
      <c r="F8" s="26" t="s">
        <v>1215</v>
      </c>
      <c r="G8" s="26" t="s">
        <v>1216</v>
      </c>
      <c r="H8" s="26" t="s">
        <v>660</v>
      </c>
      <c r="I8" s="26" t="s">
        <v>661</v>
      </c>
      <c r="J8" s="26" t="s">
        <v>662</v>
      </c>
      <c r="K8" s="26" t="s">
        <v>663</v>
      </c>
      <c r="L8" s="26" t="s">
        <v>1217</v>
      </c>
      <c r="M8" s="4" t="s">
        <v>1218</v>
      </c>
      <c r="N8" s="26" t="s">
        <v>1219</v>
      </c>
      <c r="O8" s="26" t="s">
        <v>1220</v>
      </c>
      <c r="P8" s="26" t="s">
        <v>1221</v>
      </c>
      <c r="Q8" s="26" t="s">
        <v>1222</v>
      </c>
      <c r="R8" s="26" t="s">
        <v>1223</v>
      </c>
      <c r="S8" s="26" t="s">
        <v>1224</v>
      </c>
      <c r="T8" s="26" t="s">
        <v>1225</v>
      </c>
      <c r="U8" s="26" t="s">
        <v>1226</v>
      </c>
      <c r="V8" s="26" t="s">
        <v>1227</v>
      </c>
      <c r="W8" s="26" t="s">
        <v>1228</v>
      </c>
      <c r="X8" s="26" t="s">
        <v>1229</v>
      </c>
      <c r="Y8" s="26" t="s">
        <v>1230</v>
      </c>
      <c r="Z8" s="26" t="s">
        <v>1231</v>
      </c>
      <c r="AA8" s="26" t="s">
        <v>1232</v>
      </c>
    </row>
    <row r="9" spans="1:27" ht="60" customHeight="1" x14ac:dyDescent="0.35">
      <c r="A9" s="39" t="s">
        <v>161</v>
      </c>
      <c r="B9" s="39" t="s">
        <v>484</v>
      </c>
      <c r="C9" s="39" t="s">
        <v>1233</v>
      </c>
      <c r="D9" s="39" t="s">
        <v>1234</v>
      </c>
      <c r="E9" s="26" t="s">
        <v>1235</v>
      </c>
      <c r="F9" s="26" t="s">
        <v>1236</v>
      </c>
      <c r="G9" s="26" t="s">
        <v>1237</v>
      </c>
      <c r="H9" s="26" t="s">
        <v>660</v>
      </c>
      <c r="I9" s="26" t="s">
        <v>661</v>
      </c>
      <c r="J9" s="26" t="s">
        <v>662</v>
      </c>
      <c r="K9" s="26" t="s">
        <v>663</v>
      </c>
      <c r="L9" s="26" t="s">
        <v>1238</v>
      </c>
      <c r="M9" s="4" t="s">
        <v>1239</v>
      </c>
      <c r="N9" s="26" t="s">
        <v>1240</v>
      </c>
      <c r="O9" s="26" t="s">
        <v>1241</v>
      </c>
      <c r="P9" s="26" t="s">
        <v>1242</v>
      </c>
      <c r="Q9" s="26" t="s">
        <v>1243</v>
      </c>
      <c r="R9" s="26" t="s">
        <v>1244</v>
      </c>
      <c r="S9" s="26" t="s">
        <v>1245</v>
      </c>
      <c r="T9" s="26" t="s">
        <v>1246</v>
      </c>
      <c r="U9" s="26" t="s">
        <v>1247</v>
      </c>
      <c r="V9" s="26" t="s">
        <v>1248</v>
      </c>
      <c r="W9" s="26" t="s">
        <v>1249</v>
      </c>
      <c r="X9" s="26" t="s">
        <v>1250</v>
      </c>
      <c r="Y9" s="26" t="s">
        <v>1251</v>
      </c>
      <c r="Z9" s="26" t="s">
        <v>1252</v>
      </c>
      <c r="AA9" s="26" t="s">
        <v>1253</v>
      </c>
    </row>
    <row r="10" spans="1:27" ht="60" customHeight="1" x14ac:dyDescent="0.35">
      <c r="A10" s="40" t="s">
        <v>162</v>
      </c>
      <c r="B10" s="40" t="s">
        <v>479</v>
      </c>
      <c r="C10" s="40" t="s">
        <v>1254</v>
      </c>
      <c r="D10" s="40" t="s">
        <v>1255</v>
      </c>
      <c r="E10" s="26" t="s">
        <v>1256</v>
      </c>
      <c r="F10" s="26" t="s">
        <v>1257</v>
      </c>
      <c r="G10" s="26" t="s">
        <v>1258</v>
      </c>
      <c r="H10" s="26" t="s">
        <v>660</v>
      </c>
      <c r="I10" s="26" t="s">
        <v>661</v>
      </c>
      <c r="J10" s="26" t="s">
        <v>662</v>
      </c>
      <c r="K10" s="26" t="s">
        <v>663</v>
      </c>
      <c r="L10" s="26" t="s">
        <v>1259</v>
      </c>
      <c r="M10" s="4" t="s">
        <v>1260</v>
      </c>
      <c r="N10" s="26" t="s">
        <v>1261</v>
      </c>
      <c r="O10" s="26" t="s">
        <v>1262</v>
      </c>
      <c r="P10" s="26" t="s">
        <v>1263</v>
      </c>
      <c r="Q10" s="26" t="s">
        <v>1264</v>
      </c>
      <c r="R10" s="26" t="s">
        <v>1265</v>
      </c>
      <c r="S10" s="26" t="s">
        <v>1266</v>
      </c>
      <c r="T10" s="26" t="s">
        <v>1267</v>
      </c>
      <c r="U10" s="26" t="s">
        <v>1268</v>
      </c>
      <c r="V10" s="26" t="s">
        <v>1269</v>
      </c>
      <c r="W10" s="26" t="s">
        <v>1270</v>
      </c>
      <c r="X10" s="26" t="s">
        <v>1271</v>
      </c>
      <c r="Y10" s="26" t="s">
        <v>1272</v>
      </c>
      <c r="Z10" s="26" t="s">
        <v>1273</v>
      </c>
      <c r="AA10" s="26" t="s">
        <v>1274</v>
      </c>
    </row>
    <row r="11" spans="1:27" ht="60" customHeight="1" x14ac:dyDescent="0.35">
      <c r="A11" s="39" t="s">
        <v>163</v>
      </c>
      <c r="B11" s="39" t="s">
        <v>484</v>
      </c>
      <c r="C11" s="39" t="s">
        <v>1275</v>
      </c>
      <c r="D11" s="39" t="s">
        <v>1276</v>
      </c>
      <c r="E11" s="26" t="s">
        <v>1277</v>
      </c>
      <c r="F11" s="26" t="s">
        <v>1278</v>
      </c>
      <c r="G11" s="26" t="s">
        <v>1279</v>
      </c>
      <c r="H11" s="26" t="s">
        <v>660</v>
      </c>
      <c r="I11" s="26" t="s">
        <v>661</v>
      </c>
      <c r="J11" s="26" t="s">
        <v>662</v>
      </c>
      <c r="K11" s="26" t="s">
        <v>663</v>
      </c>
      <c r="L11" s="26" t="s">
        <v>1280</v>
      </c>
      <c r="M11" s="4" t="s">
        <v>1281</v>
      </c>
      <c r="N11" s="26" t="s">
        <v>1282</v>
      </c>
      <c r="O11" s="26" t="s">
        <v>1283</v>
      </c>
      <c r="P11" s="26" t="s">
        <v>1284</v>
      </c>
      <c r="Q11" s="26" t="s">
        <v>1285</v>
      </c>
      <c r="R11" s="26" t="s">
        <v>1286</v>
      </c>
      <c r="S11" s="26" t="s">
        <v>1287</v>
      </c>
      <c r="T11" s="26" t="s">
        <v>1288</v>
      </c>
      <c r="U11" s="26" t="s">
        <v>1289</v>
      </c>
      <c r="V11" s="26" t="s">
        <v>1290</v>
      </c>
      <c r="W11" s="26" t="s">
        <v>1291</v>
      </c>
      <c r="X11" s="26" t="s">
        <v>1292</v>
      </c>
      <c r="Y11" s="26" t="s">
        <v>1293</v>
      </c>
      <c r="Z11" s="26" t="s">
        <v>1294</v>
      </c>
      <c r="AA11" s="26" t="s">
        <v>1295</v>
      </c>
    </row>
    <row r="12" spans="1:27" ht="60" customHeight="1" x14ac:dyDescent="0.35">
      <c r="A12" s="40" t="s">
        <v>164</v>
      </c>
      <c r="B12" s="40" t="s">
        <v>479</v>
      </c>
      <c r="C12" s="40" t="s">
        <v>1296</v>
      </c>
      <c r="D12" s="40" t="s">
        <v>1297</v>
      </c>
      <c r="E12" s="26" t="s">
        <v>1298</v>
      </c>
      <c r="F12" s="26" t="s">
        <v>1299</v>
      </c>
      <c r="G12" s="26" t="s">
        <v>1300</v>
      </c>
      <c r="H12" s="26" t="s">
        <v>660</v>
      </c>
      <c r="I12" s="26" t="s">
        <v>661</v>
      </c>
      <c r="J12" s="26" t="s">
        <v>662</v>
      </c>
      <c r="K12" s="26" t="s">
        <v>663</v>
      </c>
      <c r="L12" s="26" t="s">
        <v>1301</v>
      </c>
      <c r="M12" s="4" t="s">
        <v>1302</v>
      </c>
      <c r="N12" s="26" t="s">
        <v>1303</v>
      </c>
      <c r="O12" s="26" t="s">
        <v>1304</v>
      </c>
      <c r="P12" s="26" t="s">
        <v>1305</v>
      </c>
      <c r="Q12" s="26" t="s">
        <v>1306</v>
      </c>
      <c r="R12" s="26" t="s">
        <v>1307</v>
      </c>
      <c r="S12" s="26" t="s">
        <v>1308</v>
      </c>
      <c r="T12" s="26" t="s">
        <v>1309</v>
      </c>
      <c r="U12" s="26" t="s">
        <v>1310</v>
      </c>
      <c r="V12" s="26" t="s">
        <v>1311</v>
      </c>
      <c r="W12" s="26" t="s">
        <v>1312</v>
      </c>
      <c r="X12" s="26" t="s">
        <v>1313</v>
      </c>
      <c r="Y12" s="26" t="s">
        <v>1314</v>
      </c>
      <c r="Z12" s="26" t="s">
        <v>1315</v>
      </c>
      <c r="AA12" s="26" t="s">
        <v>1316</v>
      </c>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19"/>
  <sheetViews>
    <sheetView workbookViewId="0"/>
  </sheetViews>
  <sheetFormatPr defaultColWidth="8.6328125" defaultRowHeight="15" customHeight="1" x14ac:dyDescent="0.35"/>
  <cols>
    <col min="1" max="2" width="10" customWidth="1"/>
    <col min="3" max="3" width="78" customWidth="1"/>
    <col min="4" max="4" width="18" customWidth="1"/>
    <col min="5" max="5" width="26" customWidth="1"/>
    <col min="6" max="6" width="24" customWidth="1"/>
    <col min="7" max="8" width="18" customWidth="1"/>
    <col min="9" max="9" width="20" customWidth="1"/>
    <col min="10" max="10" width="48" customWidth="1"/>
    <col min="11" max="15" width="12" customWidth="1"/>
    <col min="16" max="16" width="14" customWidth="1"/>
    <col min="21" max="23" width="34" customWidth="1"/>
  </cols>
  <sheetData>
    <row r="1" spans="1:23" ht="19.5" customHeight="1" x14ac:dyDescent="0.4">
      <c r="A1" s="2" t="s">
        <v>1317</v>
      </c>
      <c r="J1" s="12" t="s">
        <v>1131</v>
      </c>
      <c r="K1" s="19" t="str">
        <f>IF(COUNTA(D6:D13)=0,"",ROUND(AVERAGE(P6:P13),1))</f>
        <v/>
      </c>
    </row>
    <row r="2" spans="1:23" ht="256.5" customHeight="1" x14ac:dyDescent="0.35">
      <c r="A2" s="4" t="s">
        <v>1318</v>
      </c>
      <c r="J2" s="12" t="s">
        <v>1103</v>
      </c>
      <c r="K2" s="20" t="str">
        <f>IF(COUNTA(D6:D13)=0,"",COUNTIFS(B6:B13,"Yes",K6:K13,"&lt;=33"))</f>
        <v/>
      </c>
    </row>
    <row r="3" spans="1:23" ht="15" customHeight="1" x14ac:dyDescent="0.35">
      <c r="J3" s="12" t="s">
        <v>1106</v>
      </c>
      <c r="K3" s="20" t="str">
        <f>IF(COUNTA(D6:D13)=0,"",COUNTIFS(B6:B13,"Yes",K6:K13,0))</f>
        <v/>
      </c>
    </row>
    <row r="5" spans="1:23" ht="27.75" customHeight="1" x14ac:dyDescent="0.35">
      <c r="A5" s="5" t="s">
        <v>957</v>
      </c>
      <c r="B5" s="5" t="s">
        <v>474</v>
      </c>
      <c r="C5" s="5" t="s">
        <v>476</v>
      </c>
      <c r="D5" s="5" t="s">
        <v>51</v>
      </c>
      <c r="E5" s="5" t="s">
        <v>1114</v>
      </c>
      <c r="F5" s="5" t="s">
        <v>1115</v>
      </c>
      <c r="G5" s="5" t="s">
        <v>56</v>
      </c>
      <c r="H5" s="5" t="s">
        <v>1116</v>
      </c>
      <c r="I5" s="5" t="s">
        <v>1117</v>
      </c>
      <c r="J5" s="5" t="s">
        <v>1118</v>
      </c>
      <c r="K5" s="5" t="s">
        <v>1119</v>
      </c>
      <c r="L5" s="5" t="s">
        <v>1120</v>
      </c>
      <c r="M5" s="5" t="s">
        <v>1121</v>
      </c>
      <c r="N5" s="5" t="s">
        <v>1122</v>
      </c>
      <c r="O5" s="5" t="s">
        <v>1123</v>
      </c>
      <c r="P5" s="5" t="s">
        <v>1124</v>
      </c>
    </row>
    <row r="6" spans="1:23" ht="15" customHeight="1" x14ac:dyDescent="0.35">
      <c r="A6" s="6" t="s">
        <v>154</v>
      </c>
      <c r="B6" s="8" t="s">
        <v>479</v>
      </c>
      <c r="C6" s="8" t="s">
        <v>1150</v>
      </c>
      <c r="D6" s="15"/>
      <c r="E6" s="15"/>
      <c r="F6" s="15"/>
      <c r="G6" s="15"/>
      <c r="H6" s="15"/>
      <c r="I6" s="16"/>
      <c r="J6" s="17"/>
      <c r="K6" s="21" t="str">
        <f>IFERROR(VLOOKUP(D6,Lookups!$A$2:$B$5,2,FALSE()),"")</f>
        <v/>
      </c>
      <c r="L6" s="21" t="str">
        <f>IFERROR(VLOOKUP(E6,Lookups!$D$2:$E$5,2,FALSE()),"")</f>
        <v/>
      </c>
      <c r="M6" s="21" t="str">
        <f>IFERROR(VLOOKUP(F6,Lookups!$G$2:$H$5,2,FALSE()),"")</f>
        <v/>
      </c>
      <c r="N6" s="21" t="str">
        <f>IFERROR(VLOOKUP(G6,Lookups!$J$2:$K$5,2,FALSE()),"")</f>
        <v/>
      </c>
      <c r="O6" s="21" t="str">
        <f>IFERROR(VLOOKUP(H6,Lookups!$M$2:$N$4,2,FALSE()),"")</f>
        <v/>
      </c>
      <c r="P6" s="21" t="str">
        <f t="shared" ref="P6:P13" si="0">IF(OR(K6="",L6="",M6="",N6="",O6=""),"",ROUND(K6*L6*M6*N6*O6/10000,1))</f>
        <v/>
      </c>
    </row>
    <row r="7" spans="1:23" ht="15" customHeight="1" x14ac:dyDescent="0.35">
      <c r="A7" s="6" t="s">
        <v>158</v>
      </c>
      <c r="B7" s="8" t="s">
        <v>479</v>
      </c>
      <c r="C7" s="8" t="s">
        <v>1171</v>
      </c>
      <c r="D7" s="15"/>
      <c r="E7" s="15"/>
      <c r="F7" s="15"/>
      <c r="G7" s="15"/>
      <c r="H7" s="15"/>
      <c r="I7" s="16"/>
      <c r="J7" s="17"/>
      <c r="K7" s="21" t="str">
        <f>IFERROR(VLOOKUP(D7,Lookups!$A$2:$B$5,2,FALSE()),"")</f>
        <v/>
      </c>
      <c r="L7" s="21" t="str">
        <f>IFERROR(VLOOKUP(E7,Lookups!$D$2:$E$5,2,FALSE()),"")</f>
        <v/>
      </c>
      <c r="M7" s="21" t="str">
        <f>IFERROR(VLOOKUP(F7,Lookups!$G$2:$H$5,2,FALSE()),"")</f>
        <v/>
      </c>
      <c r="N7" s="21" t="str">
        <f>IFERROR(VLOOKUP(G7,Lookups!$J$2:$K$5,2,FALSE()),"")</f>
        <v/>
      </c>
      <c r="O7" s="21" t="str">
        <f>IFERROR(VLOOKUP(H7,Lookups!$M$2:$N$4,2,FALSE()),"")</f>
        <v/>
      </c>
      <c r="P7" s="21" t="str">
        <f t="shared" si="0"/>
        <v/>
      </c>
    </row>
    <row r="8" spans="1:23" ht="27.75" customHeight="1" x14ac:dyDescent="0.35">
      <c r="A8" s="6" t="s">
        <v>159</v>
      </c>
      <c r="B8" s="8" t="s">
        <v>479</v>
      </c>
      <c r="C8" s="8" t="s">
        <v>1191</v>
      </c>
      <c r="D8" s="15"/>
      <c r="E8" s="15"/>
      <c r="F8" s="15"/>
      <c r="G8" s="15"/>
      <c r="H8" s="15"/>
      <c r="I8" s="16"/>
      <c r="J8" s="17"/>
      <c r="K8" s="21" t="str">
        <f>IFERROR(VLOOKUP(D8,Lookups!$A$2:$B$5,2,FALSE()),"")</f>
        <v/>
      </c>
      <c r="L8" s="21" t="str">
        <f>IFERROR(VLOOKUP(E8,Lookups!$D$2:$E$5,2,FALSE()),"")</f>
        <v/>
      </c>
      <c r="M8" s="21" t="str">
        <f>IFERROR(VLOOKUP(F8,Lookups!$G$2:$H$5,2,FALSE()),"")</f>
        <v/>
      </c>
      <c r="N8" s="21" t="str">
        <f>IFERROR(VLOOKUP(G8,Lookups!$J$2:$K$5,2,FALSE()),"")</f>
        <v/>
      </c>
      <c r="O8" s="21" t="str">
        <f>IFERROR(VLOOKUP(H8,Lookups!$M$2:$N$4,2,FALSE()),"")</f>
        <v/>
      </c>
      <c r="P8" s="21" t="str">
        <f t="shared" si="0"/>
        <v/>
      </c>
    </row>
    <row r="9" spans="1:23" ht="15" customHeight="1" x14ac:dyDescent="0.35">
      <c r="A9" s="6" t="s">
        <v>160</v>
      </c>
      <c r="B9" s="8" t="s">
        <v>479</v>
      </c>
      <c r="C9" s="8" t="s">
        <v>1212</v>
      </c>
      <c r="D9" s="15"/>
      <c r="E9" s="15"/>
      <c r="F9" s="15"/>
      <c r="G9" s="15"/>
      <c r="H9" s="15"/>
      <c r="I9" s="16"/>
      <c r="J9" s="17"/>
      <c r="K9" s="21" t="str">
        <f>IFERROR(VLOOKUP(D9,Lookups!$A$2:$B$5,2,FALSE()),"")</f>
        <v/>
      </c>
      <c r="L9" s="21" t="str">
        <f>IFERROR(VLOOKUP(E9,Lookups!$D$2:$E$5,2,FALSE()),"")</f>
        <v/>
      </c>
      <c r="M9" s="21" t="str">
        <f>IFERROR(VLOOKUP(F9,Lookups!$G$2:$H$5,2,FALSE()),"")</f>
        <v/>
      </c>
      <c r="N9" s="21" t="str">
        <f>IFERROR(VLOOKUP(G9,Lookups!$J$2:$K$5,2,FALSE()),"")</f>
        <v/>
      </c>
      <c r="O9" s="21" t="str">
        <f>IFERROR(VLOOKUP(H9,Lookups!$M$2:$N$4,2,FALSE()),"")</f>
        <v/>
      </c>
      <c r="P9" s="21" t="str">
        <f t="shared" si="0"/>
        <v/>
      </c>
    </row>
    <row r="10" spans="1:23" ht="15" customHeight="1" x14ac:dyDescent="0.35">
      <c r="A10" s="6" t="s">
        <v>161</v>
      </c>
      <c r="B10" s="8" t="s">
        <v>484</v>
      </c>
      <c r="C10" s="8" t="s">
        <v>1233</v>
      </c>
      <c r="D10" s="15"/>
      <c r="E10" s="15"/>
      <c r="F10" s="15"/>
      <c r="G10" s="15"/>
      <c r="H10" s="15"/>
      <c r="I10" s="16"/>
      <c r="J10" s="17"/>
      <c r="K10" s="21" t="str">
        <f>IFERROR(VLOOKUP(D10,Lookups!$A$2:$B$5,2,FALSE()),"")</f>
        <v/>
      </c>
      <c r="L10" s="21" t="str">
        <f>IFERROR(VLOOKUP(E10,Lookups!$D$2:$E$5,2,FALSE()),"")</f>
        <v/>
      </c>
      <c r="M10" s="21" t="str">
        <f>IFERROR(VLOOKUP(F10,Lookups!$G$2:$H$5,2,FALSE()),"")</f>
        <v/>
      </c>
      <c r="N10" s="21" t="str">
        <f>IFERROR(VLOOKUP(G10,Lookups!$J$2:$K$5,2,FALSE()),"")</f>
        <v/>
      </c>
      <c r="O10" s="21" t="str">
        <f>IFERROR(VLOOKUP(H10,Lookups!$M$2:$N$4,2,FALSE()),"")</f>
        <v/>
      </c>
      <c r="P10" s="21" t="str">
        <f t="shared" si="0"/>
        <v/>
      </c>
    </row>
    <row r="11" spans="1:23" ht="27.75" customHeight="1" x14ac:dyDescent="0.35">
      <c r="A11" s="6" t="s">
        <v>162</v>
      </c>
      <c r="B11" s="8" t="s">
        <v>479</v>
      </c>
      <c r="C11" s="8" t="s">
        <v>1254</v>
      </c>
      <c r="D11" s="15"/>
      <c r="E11" s="15"/>
      <c r="F11" s="15"/>
      <c r="G11" s="15"/>
      <c r="H11" s="15"/>
      <c r="I11" s="16"/>
      <c r="J11" s="17"/>
      <c r="K11" s="21" t="str">
        <f>IFERROR(VLOOKUP(D11,Lookups!$A$2:$B$5,2,FALSE()),"")</f>
        <v/>
      </c>
      <c r="L11" s="21" t="str">
        <f>IFERROR(VLOOKUP(E11,Lookups!$D$2:$E$5,2,FALSE()),"")</f>
        <v/>
      </c>
      <c r="M11" s="21" t="str">
        <f>IFERROR(VLOOKUP(F11,Lookups!$G$2:$H$5,2,FALSE()),"")</f>
        <v/>
      </c>
      <c r="N11" s="21" t="str">
        <f>IFERROR(VLOOKUP(G11,Lookups!$J$2:$K$5,2,FALSE()),"")</f>
        <v/>
      </c>
      <c r="O11" s="21" t="str">
        <f>IFERROR(VLOOKUP(H11,Lookups!$M$2:$N$4,2,FALSE()),"")</f>
        <v/>
      </c>
      <c r="P11" s="21" t="str">
        <f t="shared" si="0"/>
        <v/>
      </c>
      <c r="U11" s="37" t="s">
        <v>1127</v>
      </c>
      <c r="V11" s="37" t="s">
        <v>1128</v>
      </c>
      <c r="W11" s="37" t="s">
        <v>1129</v>
      </c>
    </row>
    <row r="12" spans="1:23" ht="15" customHeight="1" x14ac:dyDescent="0.35">
      <c r="A12" s="6" t="s">
        <v>163</v>
      </c>
      <c r="B12" s="8" t="s">
        <v>484</v>
      </c>
      <c r="C12" s="8" t="s">
        <v>1275</v>
      </c>
      <c r="D12" s="15"/>
      <c r="E12" s="15"/>
      <c r="F12" s="15"/>
      <c r="G12" s="15"/>
      <c r="H12" s="15"/>
      <c r="I12" s="16"/>
      <c r="J12" s="17"/>
      <c r="K12" s="21" t="str">
        <f>IFERROR(VLOOKUP(D12,Lookups!$A$2:$B$5,2,FALSE()),"")</f>
        <v/>
      </c>
      <c r="L12" s="21" t="str">
        <f>IFERROR(VLOOKUP(E12,Lookups!$D$2:$E$5,2,FALSE()),"")</f>
        <v/>
      </c>
      <c r="M12" s="21" t="str">
        <f>IFERROR(VLOOKUP(F12,Lookups!$G$2:$H$5,2,FALSE()),"")</f>
        <v/>
      </c>
      <c r="N12" s="21" t="str">
        <f>IFERROR(VLOOKUP(G12,Lookups!$J$2:$K$5,2,FALSE()),"")</f>
        <v/>
      </c>
      <c r="O12" s="21" t="str">
        <f>IFERROR(VLOOKUP(H12,Lookups!$M$2:$N$4,2,FALSE()),"")</f>
        <v/>
      </c>
      <c r="P12" s="21" t="str">
        <f t="shared" si="0"/>
        <v/>
      </c>
      <c r="U12" s="4"/>
      <c r="V12" s="4"/>
      <c r="W12" s="44"/>
    </row>
    <row r="13" spans="1:23" ht="27.75" customHeight="1" x14ac:dyDescent="0.35">
      <c r="A13" s="6" t="s">
        <v>164</v>
      </c>
      <c r="B13" s="8" t="s">
        <v>479</v>
      </c>
      <c r="C13" s="8" t="s">
        <v>1296</v>
      </c>
      <c r="D13" s="15"/>
      <c r="E13" s="15"/>
      <c r="F13" s="15"/>
      <c r="G13" s="15"/>
      <c r="H13" s="15"/>
      <c r="I13" s="16"/>
      <c r="J13" s="17"/>
      <c r="K13" s="21" t="str">
        <f>IFERROR(VLOOKUP(D13,Lookups!$A$2:$B$5,2,FALSE()),"")</f>
        <v/>
      </c>
      <c r="L13" s="21" t="str">
        <f>IFERROR(VLOOKUP(E13,Lookups!$D$2:$E$5,2,FALSE()),"")</f>
        <v/>
      </c>
      <c r="M13" s="21" t="str">
        <f>IFERROR(VLOOKUP(F13,Lookups!$G$2:$H$5,2,FALSE()),"")</f>
        <v/>
      </c>
      <c r="N13" s="21" t="str">
        <f>IFERROR(VLOOKUP(G13,Lookups!$J$2:$K$5,2,FALSE()),"")</f>
        <v/>
      </c>
      <c r="O13" s="21" t="str">
        <f>IFERROR(VLOOKUP(H13,Lookups!$M$2:$N$4,2,FALSE()),"")</f>
        <v/>
      </c>
      <c r="P13" s="21" t="str">
        <f t="shared" si="0"/>
        <v/>
      </c>
      <c r="U13" s="4"/>
      <c r="V13" s="4"/>
      <c r="W13" s="44"/>
    </row>
    <row r="14" spans="1:23" ht="14.5" x14ac:dyDescent="0.35">
      <c r="U14" s="4"/>
      <c r="V14" s="4"/>
      <c r="W14" s="44"/>
    </row>
    <row r="15" spans="1:23" ht="14.5" x14ac:dyDescent="0.35">
      <c r="U15" s="4"/>
      <c r="V15" s="4"/>
      <c r="W15" s="44"/>
    </row>
    <row r="16" spans="1:23" ht="14.5" x14ac:dyDescent="0.35">
      <c r="U16" s="4"/>
      <c r="V16" s="4"/>
      <c r="W16" s="44"/>
    </row>
    <row r="17" spans="21:23" ht="14.5" x14ac:dyDescent="0.35">
      <c r="U17" s="4"/>
      <c r="V17" s="4"/>
      <c r="W17" s="44"/>
    </row>
    <row r="18" spans="21:23" ht="14.5" x14ac:dyDescent="0.35">
      <c r="U18" s="4"/>
      <c r="V18" s="4"/>
      <c r="W18" s="44"/>
    </row>
    <row r="19" spans="21:23" ht="14.5" x14ac:dyDescent="0.35">
      <c r="U19" s="4"/>
      <c r="V19" s="4"/>
      <c r="W19" s="44"/>
    </row>
  </sheetData>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Lookups</vt:lpstr>
      <vt:lpstr>Benchmark_Scenarios</vt:lpstr>
      <vt:lpstr>AI_Benchmark_Guide</vt:lpstr>
      <vt:lpstr>Archetype_Weights</vt:lpstr>
      <vt:lpstr>Context_Action_Guide</vt:lpstr>
      <vt:lpstr>Archetype_Criticality</vt:lpstr>
      <vt:lpstr>Overview</vt:lpstr>
      <vt:lpstr>Artifact_Library</vt:lpstr>
      <vt:lpstr>Original_24Q</vt:lpstr>
      <vt:lpstr>Core_25Q_Model</vt:lpstr>
      <vt:lpstr>Original_vs_New</vt:lpstr>
      <vt:lpstr>Core_25Q_Rubric</vt:lpstr>
      <vt:lpstr>Incumbent_Overlay_Rubric</vt:lpstr>
      <vt:lpstr>Question_Artifact_Matrix</vt:lpstr>
      <vt:lpstr>Scoring_Rules</vt:lpstr>
      <vt:lpstr>Working_Scorecard_Core</vt:lpstr>
      <vt:lpstr>Working_Scorecard_Inc</vt:lpstr>
      <vt:lpstr>Dashboard</vt:lpstr>
      <vt:lpstr>Challenger_Overlay_Rubric</vt:lpstr>
      <vt:lpstr>Working_Scorecard_Chal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Fenton</cp:lastModifiedBy>
  <cp:revision>0</cp:revision>
  <dcterms:created xsi:type="dcterms:W3CDTF">2026-04-15T16:15:20Z</dcterms:created>
  <dcterms:modified xsi:type="dcterms:W3CDTF">2026-04-16T13:13:23Z</dcterms:modified>
  <dc:language>en-US</dc:language>
</cp:coreProperties>
</file>